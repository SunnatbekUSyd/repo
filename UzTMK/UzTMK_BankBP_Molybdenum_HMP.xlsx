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зюме" sheetId="1" state="visible" r:id="rId3"/>
    <sheet name="ИНФОРМАЦИЯ" sheetId="2" state="visible" r:id="rId4"/>
    <sheet name="ProjCost" sheetId="3" state="visible" r:id="rId5"/>
    <sheet name="FinPlan" sheetId="4" state="visible" r:id="rId6"/>
    <sheet name="Share of costs" sheetId="5" state="visible" r:id="rId7"/>
    <sheet name="Depreciate" sheetId="6" state="visible" r:id="rId8"/>
    <sheet name="ProdPlan" sheetId="7" state="visible" r:id="rId9"/>
    <sheet name="SalePlan" sheetId="8" state="visible" r:id="rId10"/>
    <sheet name="RawMat" sheetId="9" state="visible" r:id="rId11"/>
    <sheet name="Labour" sheetId="10" state="visible" r:id="rId12"/>
    <sheet name="Taxes" sheetId="11" state="visible" r:id="rId13"/>
    <sheet name="CostTotal" sheetId="12" state="visible" r:id="rId14"/>
    <sheet name="CostSold" sheetId="13" state="visible" r:id="rId15"/>
    <sheet name="LOANS" sheetId="14" state="visible" r:id="rId16"/>
    <sheet name="ProfLoss" sheetId="15" state="visible" r:id="rId17"/>
    <sheet name="WorkCap" sheetId="16" state="visible" r:id="rId18"/>
    <sheet name="CashFlow" sheetId="17" state="visible" r:id="rId19"/>
    <sheet name="BreakPoint" sheetId="18" state="visible" r:id="rId20"/>
    <sheet name="NPV_IRR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<sst xmlns="http://schemas.openxmlformats.org/spreadsheetml/2006/main" count="965" uniqueCount="571">
  <si>
    <t xml:space="preserve">БИЗНЕС-ПЛАН ИНВЕСТИЦИОННОГО ПРОЕКТА</t>
  </si>
  <si>
    <t xml:space="preserve">Строительство нового гидрометаллургического завода по переработке промышленного продукта - молибденового огарка</t>
  </si>
  <si>
    <t xml:space="preserve">(Цех по производству триоксида молибдена)</t>
  </si>
  <si>
    <t xml:space="preserve">1. ОБЩИЕ СВЕДЕНИЯ</t>
  </si>
  <si>
    <t xml:space="preserve">Суть проекта</t>
  </si>
  <si>
    <t xml:space="preserve">Строительство нового гидрометаллургического завода по переработке промышленного продукта - молибденового огарка. Переработка 5 000 т молибденового огарка (концентрата) в год; выпуск основной продукции - Триоксид молибдена MoO3  1 983.1 t/год при проектной мощности; реализация - экспорт.</t>
  </si>
  <si>
    <t xml:space="preserve">Заемщик</t>
  </si>
  <si>
    <t xml:space="preserve">АО «Узбекский комбинат технологических металлов» (АО «Ўзбекистон ТМК», UzTMK)</t>
  </si>
  <si>
    <t xml:space="preserve">Местоположение</t>
  </si>
  <si>
    <t xml:space="preserve">Ташкентская область, Ахангаранский район - новая площадка, 10,4 га</t>
  </si>
  <si>
    <t xml:space="preserve">Продукция</t>
  </si>
  <si>
    <t xml:space="preserve">Триоксид молибдена MoO3, Медный шлак (25% Cu) (попутная), Кальциевая селитра (попутная)</t>
  </si>
  <si>
    <t xml:space="preserve">Производственная мощность</t>
  </si>
  <si>
    <t xml:space="preserve">Переработка 5 000 т молибденового огарка (концентрата) в год; выпуск основной продукции - 1 983 t/год</t>
  </si>
  <si>
    <t xml:space="preserve">Рынок сбыта</t>
  </si>
  <si>
    <t xml:space="preserve">экспорт (100% выручки в USD)</t>
  </si>
  <si>
    <t xml:space="preserve">Сроки</t>
  </si>
  <si>
    <t xml:space="preserve">начало строительства - 01.10.2026; начало производства - 01.10.2027; выход на проектную мощность - 2030 г.</t>
  </si>
  <si>
    <t xml:space="preserve">Стадия проработки</t>
  </si>
  <si>
    <t xml:space="preserve">ТЭО</t>
  </si>
  <si>
    <t xml:space="preserve">2. ПАРАМЕТРЫ КРЕДИТА</t>
  </si>
  <si>
    <t xml:space="preserve">Сумма кредита, USD</t>
  </si>
  <si>
    <t xml:space="preserve">Процентная ставка</t>
  </si>
  <si>
    <t xml:space="preserve">Срок кредита</t>
  </si>
  <si>
    <t xml:space="preserve">84 месяца (7 лет): льготный (инвестиционный) период - 12 месяцев (2027 г.), погашение - 72 месяца (2028-2033 гг.)</t>
  </si>
  <si>
    <t xml:space="preserve">Порядок погашения</t>
  </si>
  <si>
    <t xml:space="preserve">основной долг - ежемесячно равными долями; проценты - ежемесячно на остаток задолженности</t>
  </si>
  <si>
    <t xml:space="preserve">Проценты льготного периода</t>
  </si>
  <si>
    <t xml:space="preserve">Целевое назначение</t>
  </si>
  <si>
    <t xml:space="preserve">30% авансовый платёж по EPC-контракту (E - проектирование, P - поставка оборудования, C - строительство)</t>
  </si>
  <si>
    <t xml:space="preserve">3. СТОИМОСТЬ ПРОЕКТА И ИСТОЧНИКИ ФИНАНСИРОВАНИЯ</t>
  </si>
  <si>
    <t xml:space="preserve">Статья</t>
  </si>
  <si>
    <t xml:space="preserve">USD</t>
  </si>
  <si>
    <t xml:space="preserve">Доля</t>
  </si>
  <si>
    <t xml:space="preserve">Фиксированные активы</t>
  </si>
  <si>
    <t xml:space="preserve">Рабочий капитал</t>
  </si>
  <si>
    <t xml:space="preserve">Проценты льготного периода и расходы подготовительного периода</t>
  </si>
  <si>
    <t xml:space="preserve">Резерв</t>
  </si>
  <si>
    <t xml:space="preserve">ВСЕГО СТОИМОСТЬ ПРОЕКТА</t>
  </si>
  <si>
    <t xml:space="preserve">Собственные средства заемщика</t>
  </si>
  <si>
    <t xml:space="preserve">Кредит банка</t>
  </si>
  <si>
    <t xml:space="preserve">4. ОСНОВНЫЕ ФИНАНСОВЫЕ ПОКАЗАТЕЛИ ПО ГОДАМ</t>
  </si>
  <si>
    <t xml:space="preserve">ПОКАЗАТЕЛИ</t>
  </si>
  <si>
    <t xml:space="preserve">Ед. изм.</t>
  </si>
  <si>
    <t xml:space="preserve">1 год (льготный / инвест.)</t>
  </si>
  <si>
    <t xml:space="preserve">2 год</t>
  </si>
  <si>
    <t xml:space="preserve">3 год</t>
  </si>
  <si>
    <t xml:space="preserve">4 год</t>
  </si>
  <si>
    <t xml:space="preserve">5 год</t>
  </si>
  <si>
    <t xml:space="preserve">6 год</t>
  </si>
  <si>
    <t xml:space="preserve">7 год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</si>
  <si>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</si>
  <si>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</si>
  <si>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</si>
  <si>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</si>
  <si>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</si>
  <si>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</si>
  <si>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</si>
  <si>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Выручка (без НДС)</t>
  </si>
  <si>
    <t xml:space="preserve">EBITDA</t>
  </si>
  <si>
    <t xml:space="preserve">Чистая прибыль</t>
  </si>
  <si>
    <t xml:space="preserve">Операционный поток наличности (A)</t>
  </si>
  <si>
    <t xml:space="preserve">Обслуживание долга (проценты + основной долг)</t>
  </si>
  <si>
    <t xml:space="preserve">Чистый поток наличности</t>
  </si>
  <si>
    <t xml:space="preserve">Кумулятивный поток наличности</t>
  </si>
  <si>
    <t xml:space="preserve">DSCR (с учётом поддерживающих капвложений)</t>
  </si>
  <si>
    <t xml:space="preserve">x</t>
  </si>
  <si>
    <t xml:space="preserve">Задолженность по кредиту на конец года</t>
  </si>
  <si>
    <t xml:space="preserve">5. ПОКАЗАТЕЛИ ЭФФЕКТИВНОСТИ И УСТОЙЧИВОСТИ</t>
  </si>
  <si>
    <t xml:space="preserve">NPV проекта за 7 лет, USD</t>
  </si>
  <si>
    <t xml:space="preserve">IRR проекта за 7 лет</t>
  </si>
  <si>
    <t xml:space="preserve">Индекс доходности (PI)</t>
  </si>
  <si>
    <t xml:space="preserve">Простой срок окупаемости, лет</t>
  </si>
  <si>
    <t xml:space="preserve">Дисконтированный срок окупаемости, лет</t>
  </si>
  <si>
    <t xml:space="preserve">Минимальный / средний DSCR (2-7 годы)</t>
  </si>
  <si>
    <t xml:space="preserve">Точка безубыточности (2030 г.), % от выручки</t>
  </si>
  <si>
    <t xml:space="preserve">6. ВЫПОЛНЕНИЕ УСЛОВИЙ ФИНАНСИРОВАНИЯ</t>
  </si>
  <si>
    <t xml:space="preserve">Положительный чистый поток наличности в каждом из 1-7 годов</t>
  </si>
  <si>
    <t xml:space="preserve">Чистая прибыль в каждом из 1-7 годов</t>
  </si>
  <si>
    <t xml:space="preserve">Погашение кредита в течение 6 лет после льготного периода</t>
  </si>
  <si>
    <t xml:space="preserve">Проценты льготного периода покрыты собственными средствами</t>
  </si>
  <si>
    <t xml:space="preserve">Дисконтированный срок окупаемости - в пределах срока кредита (7 лет)</t>
  </si>
  <si>
    <t xml:space="preserve">7. ОСНОВНЫЕ ДОПУЩЕНИЯ</t>
  </si>
  <si>
    <t xml:space="preserve">- Производственные, затратные, налоговые и инвестиционные показатели приняты по ТЭО проекта; цены реализации - на консервативном уровне.</t>
  </si>
  <si>
    <t xml:space="preserve">- Сумма кредита определена по 30% авансу по EPC-контрактам (распределение 78 млн USD между тремя проектами - лист «ИНФОРМАЦИЯ»).</t>
  </si>
  <si>
    <t xml:space="preserve">- Кредит: 7% годовых, 84 месяца, льготный период 12 месяцев, погашение основного долга ежемесячно равными долями; база начисления процентов - 360 дней.</t>
  </si>
  <si>
    <t xml:space="preserve">- Все затраты сверх суммы кредита финансируются за счёт собственных средств заемщика.</t>
  </si>
  <si>
    <t xml:space="preserve">- Кредит выдаётся единовременно 01.01.2027; проценты 2027 г. капитализируются в стоимость основных средств.</t>
  </si>
  <si>
    <t xml:space="preserve">- Резерв на непредвиденные расходы - 1% суммы кредита.</t>
  </si>
  <si>
    <t xml:space="preserve">8. ОСНОВНЫЕ РИСКИ И МЕРЫ ПО ИХ СНИЖЕНИЮ</t>
  </si>
  <si>
    <t xml:space="preserve">Ценовой риск</t>
  </si>
  <si>
    <t xml:space="preserve">Валютный риск</t>
  </si>
  <si>
    <t xml:space="preserve">Риск освоения мощностей</t>
  </si>
  <si>
    <t xml:space="preserve">Строительный риск</t>
  </si>
  <si>
    <t xml:space="preserve">Сырьевой риск</t>
  </si>
  <si>
    <t xml:space="preserve">ДАННЫЕ ПО ПРОЕКТУ</t>
  </si>
  <si>
    <t xml:space="preserve">ЗАЕМЩИК</t>
  </si>
  <si>
    <t xml:space="preserve">ИНН</t>
  </si>
  <si>
    <t xml:space="preserve">- (заполняется заемщиком)</t>
  </si>
  <si>
    <t xml:space="preserve">ДЕЯТЕЛЬНОСТЬ</t>
  </si>
  <si>
    <t xml:space="preserve">Добыча и переработка редких и тугоплавких металлов (вольфрам, молибден)</t>
  </si>
  <si>
    <t xml:space="preserve">НАИМЕНОВАНИЕ ПРОЕКТА</t>
  </si>
  <si>
    <t xml:space="preserve">Строительство нового гидрометаллургического завода по переработке промышленного продукта - молибденового огарка
(Цех по производству триоксида молибдена)</t>
  </si>
  <si>
    <t xml:space="preserve">МЕСТО РЕАЛИЗАЦИИ</t>
  </si>
  <si>
    <t xml:space="preserve">ПРОИЗВОДСТВЕННАЯ МОЩНОСТЬ</t>
  </si>
  <si>
    <t xml:space="preserve">Переработка 5 000 т молибденового огарка (концентрата) в год</t>
  </si>
  <si>
    <t xml:space="preserve">ОСНОВНАЯ ПРОДУКЦИЯ</t>
  </si>
  <si>
    <t xml:space="preserve">Триоксид молибдена MoO3, Медный шлак (25% Cu), Кальциевая селитра</t>
  </si>
  <si>
    <t xml:space="preserve">СТАДИЯ ПРОРАБОТКИ</t>
  </si>
  <si>
    <t xml:space="preserve">ТЭО (технико-экономическое обоснование)</t>
  </si>
  <si>
    <t xml:space="preserve">НАЧАЛО СТРОИТЕЛЬСТВА</t>
  </si>
  <si>
    <t xml:space="preserve">01.10.2026</t>
  </si>
  <si>
    <t xml:space="preserve">НАЧАЛО ПРОИЗВОДСТВА</t>
  </si>
  <si>
    <t xml:space="preserve">01.10.2027</t>
  </si>
  <si>
    <t xml:space="preserve">СРОК РЕАЛИЗАЦИИ (по данным заемщика)</t>
  </si>
  <si>
    <t xml:space="preserve">декабрь 2027 г.</t>
  </si>
  <si>
    <t xml:space="preserve">УЧАСТНИКИ ПРОЕКТА</t>
  </si>
  <si>
    <t xml:space="preserve">Заемщик (инициатор проекта)</t>
  </si>
  <si>
    <t xml:space="preserve">Доля заемщика в проекте</t>
  </si>
  <si>
    <t xml:space="preserve">100%</t>
  </si>
  <si>
    <t xml:space="preserve">Кредитор №1</t>
  </si>
  <si>
    <t xml:space="preserve">Банк-кредитор (наименование уточняется)</t>
  </si>
  <si>
    <t xml:space="preserve">Генеральный подрядчик</t>
  </si>
  <si>
    <t xml:space="preserve">EPC-подрядчик (по EPC-контракту)</t>
  </si>
  <si>
    <t xml:space="preserve">ВАЛЮТА ПРОЕКТА</t>
  </si>
  <si>
    <t xml:space="preserve">Доллар США (экв.)</t>
  </si>
  <si>
    <t xml:space="preserve">1 USD = (сум, средний курс 1-го года)</t>
  </si>
  <si>
    <t xml:space="preserve">УСЛОВИЯ КРЕДИТА</t>
  </si>
  <si>
    <t xml:space="preserve">Процентная ставка, % годовых</t>
  </si>
  <si>
    <t xml:space="preserve">Срок кредита, месяцев</t>
  </si>
  <si>
    <t xml:space="preserve">Льготный период по основному долгу, месяцев</t>
  </si>
  <si>
    <t xml:space="preserve">Инвестиционный период, месяцев</t>
  </si>
  <si>
    <t xml:space="preserve">Дата выдачи кредита</t>
  </si>
  <si>
    <t xml:space="preserve">База начисления процентов, дней в году (по форме банка)</t>
  </si>
  <si>
    <t xml:space="preserve">Погашение основного долга</t>
  </si>
  <si>
    <t xml:space="preserve">ежемесячно равными долями (72 платежа), с 31.01.2028 по 31.12.2033</t>
  </si>
  <si>
    <t xml:space="preserve">Уплата процентов</t>
  </si>
  <si>
    <t xml:space="preserve">ежемесячно; в льготный период (2027 г.) - за счёт собственных средств заемщика (включены в стоимость проекта)</t>
  </si>
  <si>
    <t xml:space="preserve">30% авансовый платёж по EPC-контракту (данные заемщика)</t>
  </si>
  <si>
    <t xml:space="preserve">Резерв (непредвиденные расходы) - % от суммы кредита (по форме банка)</t>
  </si>
  <si>
    <t xml:space="preserve">РАСПРЕДЕЛЕНИЕ КРЕДИТА 78 МЛН USD МЕЖДУ ПРОЕКТАМИ (по 30% авансу EPC-контрактов, файл заемщика от 14.10.2026)</t>
  </si>
  <si>
    <t xml:space="preserve">Проект</t>
  </si>
  <si>
    <t xml:space="preserve">Мощность</t>
  </si>
  <si>
    <t xml:space="preserve">Стоимость проекта, млн USD</t>
  </si>
  <si>
    <t xml:space="preserve">EPC: E (Engineering), млрд сум</t>
  </si>
  <si>
    <t xml:space="preserve">EPC: P (Procurement), млрд сум</t>
  </si>
  <si>
    <t xml:space="preserve">EPC: C (Construction), млрд сум</t>
  </si>
  <si>
    <t xml:space="preserve">EPC итого, млрд сум</t>
  </si>
  <si>
    <t xml:space="preserve">Курс EPC (тыс. сум/USD)</t>
  </si>
  <si>
    <t xml:space="preserve">EPC итого, экв. млн USD</t>
  </si>
  <si>
    <t xml:space="preserve">30% аванс, млрд сум</t>
  </si>
  <si>
    <t xml:space="preserve">Курс аванса (тыс. сум/USD)</t>
  </si>
  <si>
    <t xml:space="preserve">30% аванс, млн USD</t>
  </si>
  <si>
    <t xml:space="preserve">Доля в кредите</t>
  </si>
  <si>
    <t xml:space="preserve">Кредит, USD</t>
  </si>
  <si>
    <t xml:space="preserve">Освоение центральной части вольфрамового месторождения Сарикуль (1-я очередь)</t>
  </si>
  <si>
    <t xml:space="preserve">Переработка 600 тыс. т руды в год</t>
  </si>
  <si>
    <t xml:space="preserve">Строительство нового гидрометаллургического завода по переработке вольфрамового концентрата (1-я очередь)</t>
  </si>
  <si>
    <t xml:space="preserve">Переработка 5 000 т вольфрамового концентрата в год</t>
  </si>
  <si>
    <t xml:space="preserve">ИТОГО</t>
  </si>
  <si>
    <t xml:space="preserve">Лимит кредита, USD</t>
  </si>
  <si>
    <t xml:space="preserve">Распределение кредита - пропорционально 30% авансу по EPC-контрактам, с приведением к лимиту 78,0 млн USD.</t>
  </si>
  <si>
    <t xml:space="preserve">ПЕРВОНАЧАЛЬНАЯ СТОИМОСТЬ ПРОЕКТА (в экв. долл. США)</t>
  </si>
  <si>
    <t xml:space="preserve">Приложение 1</t>
  </si>
  <si>
    <t xml:space="preserve">Инвестиционный период: с начала строительства по 31.12.2027 (1-й год кредита, льготный период).</t>
  </si>
  <si>
    <t xml:space="preserve">Наименование затрат</t>
  </si>
  <si>
    <t xml:space="preserve">МЕСТНАЯ ВАЛЮТА</t>
  </si>
  <si>
    <t xml:space="preserve">ТВЕРДАЯ ВАЛЮТА</t>
  </si>
  <si>
    <t xml:space="preserve">ВСЕГО</t>
  </si>
  <si>
    <t xml:space="preserve">СТРУКТУРА (%)</t>
  </si>
  <si>
    <t xml:space="preserve">ВСЕГО ФИКСИРОВАННЫЕ АКТИВЫ</t>
  </si>
  <si>
    <t xml:space="preserve">Здания, сооружения и передаточные устройства</t>
  </si>
  <si>
    <t xml:space="preserve">Машины и оборудование</t>
  </si>
  <si>
    <t xml:space="preserve">Мебель, оргтехника и офисное оборудование</t>
  </si>
  <si>
    <t xml:space="preserve">РАБОЧИЙ КАПИТАЛ (на 31.12.2027), ВКЛЮЧАЯ:</t>
  </si>
  <si>
    <t xml:space="preserve">   Запасы сырья, материалов и готовой продукции</t>
  </si>
  <si>
    <t xml:space="preserve">   Дебиторская задолженность покупателей</t>
  </si>
  <si>
    <t xml:space="preserve">   НДС к возмещению (в т.ч. по капитальным вложениям)</t>
  </si>
  <si>
    <t xml:space="preserve">   Кредиторская задолженность поставщикам (уменьшает потребность)</t>
  </si>
  <si>
    <t xml:space="preserve">   Задолженность по оплате труда и налогам с ФОТ (уменьшает потребность)</t>
  </si>
  <si>
    <t xml:space="preserve">ПРОЧИЕ ФИНАНСОВЫЕ ИЗДЕРЖКИ, ВКЛЮЧАЯ:</t>
  </si>
  <si>
    <t xml:space="preserve">   Проценты по кредиту за льготный период (2027 г.) - за счёт собственных средств</t>
  </si>
  <si>
    <t xml:space="preserve">   Расходы подготовительного периода 2026 г. (административные и пусковые расходы)</t>
  </si>
  <si>
    <t xml:space="preserve">НЕПРЕДВИДЕННЫЕ РАСХОДЫ/РЕЗЕРВ (1% от суммы кредита)</t>
  </si>
  <si>
    <t xml:space="preserve">ВСЕГО ПЕРВОНАЧАЛЬНАЯ СТОИМОСТЬ ПРОЕКТА</t>
  </si>
  <si>
    <t xml:space="preserve">ФИНАНСОВЫЙ ПЛАН (в экв. долл. США)</t>
  </si>
  <si>
    <t xml:space="preserve">Приложение 2</t>
  </si>
  <si>
    <t xml:space="preserve">ТВЁРДАЯ ВАЛЮТА</t>
  </si>
  <si>
    <t xml:space="preserve">ДОЛЯ В ФИНАНСИРОВАНИИ</t>
  </si>
  <si>
    <t xml:space="preserve">СОБСТВЕННЫЙ КАПИТАЛ</t>
  </si>
  <si>
    <t xml:space="preserve">Денежные средства (финансовые издержки льготного периода, расходы подготовительного периода, резерв)</t>
  </si>
  <si>
    <t xml:space="preserve">КРЕДИТЫ</t>
  </si>
  <si>
    <t xml:space="preserve">Банк (кредит 7% годовых, 84 мес., льготный период 12 мес.)</t>
  </si>
  <si>
    <t xml:space="preserve">   Фиксированные активы (30% аванс по EPC-контракту)</t>
  </si>
  <si>
    <t xml:space="preserve">ВСЕГО ФИНАНСИРОВАНИЯ</t>
  </si>
  <si>
    <t xml:space="preserve">ПЕРВОНАЧАЛЬНАЯ СТОИМОСТЬ ПРОЕКТА ПО ИСТОЧНИКАМ ФИНАНСИРОВАНИЯ (в экв. долл. США)</t>
  </si>
  <si>
    <t xml:space="preserve">Приложение 3</t>
  </si>
  <si>
    <t xml:space="preserve">Всего</t>
  </si>
  <si>
    <t xml:space="preserve">в местной валюте</t>
  </si>
  <si>
    <t xml:space="preserve">в твердой валюте</t>
  </si>
  <si>
    <t xml:space="preserve">РАБОЧИЙ КАПИТАЛ</t>
  </si>
  <si>
    <t xml:space="preserve">ПРОЧИЕ ФИНАНСОВЫЕ ИЗДЕРЖКИ</t>
  </si>
  <si>
    <t xml:space="preserve">   в т.ч. проценты по кредиту за льготный период</t>
  </si>
  <si>
    <t xml:space="preserve">   в т.ч. расходы подготовительного периода 2026 г.</t>
  </si>
  <si>
    <t xml:space="preserve">НЕПРЕДВИДЕННЫЕ РАСХОДЫ/РЕЗЕРВ</t>
  </si>
  <si>
    <t xml:space="preserve">Итого по источнику</t>
  </si>
  <si>
    <t xml:space="preserve">Кредит банка направляется на 30% авансовый платёж по EPC-контракту; распределение по группам активов - пропорционально составу EPC-контракта: P (поставка оборудования) - машины и оборудование, E+C (проектирование и строительство) - здания, сооружения и прочие объекты.</t>
  </si>
  <si>
    <t xml:space="preserve">АМОРТИЗАЦИЯ (в долл. США)</t>
  </si>
  <si>
    <t xml:space="preserve">Приложение 4</t>
  </si>
  <si>
    <t xml:space="preserve">Линейный метод. Проценты льготного периода капитализированы в стоимость основных средств (МСФО IAS 23).</t>
  </si>
  <si>
    <t xml:space="preserve">ОБЪЕКТЫ АМОРТИЗАЦИИ</t>
  </si>
  <si>
    <t xml:space="preserve">Группа основных средств</t>
  </si>
  <si>
    <t xml:space="preserve">Первоначальная стоимость</t>
  </si>
  <si>
    <t xml:space="preserve">Срок, лет</t>
  </si>
  <si>
    <t xml:space="preserve">Норма, %</t>
  </si>
  <si>
    <t xml:space="preserve">1 год</t>
  </si>
  <si>
    <t xml:space="preserve">Проектирование: ТЭО/ЗВОС и PFS</t>
  </si>
  <si>
    <t xml:space="preserve">Строительство - цеха</t>
  </si>
  <si>
    <t xml:space="preserve">Строительство - АБК и соцобъекты</t>
  </si>
  <si>
    <t xml:space="preserve">Прочие затраты на строительство</t>
  </si>
  <si>
    <t xml:space="preserve">Инфраструктура (вода, газ, эл.)</t>
  </si>
  <si>
    <t xml:space="preserve">Строительство ж.д.</t>
  </si>
  <si>
    <t xml:space="preserve">Технол. оборудование с монтажом</t>
  </si>
  <si>
    <t xml:space="preserve">Оборудование АБК и соцобъектов</t>
  </si>
  <si>
    <t xml:space="preserve">Непредвиденные расходы</t>
  </si>
  <si>
    <t xml:space="preserve">Поддерживающие капвложения (% от первоначальной стоимости ОС)</t>
  </si>
  <si>
    <t xml:space="preserve">Капитализированные проценты по кредиту за льготный период (2027 г.)</t>
  </si>
  <si>
    <t xml:space="preserve">Затраты по займам (МСФО IAS 23)</t>
  </si>
  <si>
    <t xml:space="preserve">Х</t>
  </si>
  <si>
    <t xml:space="preserve">в т.ч. в себестоимости продукции</t>
  </si>
  <si>
    <t xml:space="preserve">в т.ч. в административных расходах</t>
  </si>
  <si>
    <t xml:space="preserve">Накопленная амортизация</t>
  </si>
  <si>
    <t xml:space="preserve">Остаточная стоимость основных средств (на конец года)</t>
  </si>
  <si>
    <t xml:space="preserve">ПРОИЗВОДСТВЕННЫЙ ПЛАН</t>
  </si>
  <si>
    <t xml:space="preserve">Приложение 5</t>
  </si>
  <si>
    <t xml:space="preserve">Н А И М Е Н О В А Н И Е</t>
  </si>
  <si>
    <t xml:space="preserve">Мощность в год</t>
  </si>
  <si>
    <t xml:space="preserve">Цена за единицу, USD (2030 г.)</t>
  </si>
  <si>
    <t xml:space="preserve">Выручка при полной мощности: экспорт</t>
  </si>
  <si>
    <t xml:space="preserve">Выручка при полной мощности: внутр. рынок</t>
  </si>
  <si>
    <t xml:space="preserve">Триоксид молибдена MoO3</t>
  </si>
  <si>
    <t xml:space="preserve">t</t>
  </si>
  <si>
    <t xml:space="preserve">экспорт</t>
  </si>
  <si>
    <t xml:space="preserve">Медный шлак (25% Cu)</t>
  </si>
  <si>
    <t xml:space="preserve">внутренний рынок</t>
  </si>
  <si>
    <t xml:space="preserve">Кальциевая селитра</t>
  </si>
  <si>
    <t xml:space="preserve">ОСВОЕНИЕ МОЩНОСТЕЙ</t>
  </si>
  <si>
    <t xml:space="preserve">%</t>
  </si>
  <si>
    <t xml:space="preserve">КОЛИЧЕСТВО ПРОИЗВОДСТВА</t>
  </si>
  <si>
    <t xml:space="preserve">КОЛИЧЕСТВО ДЛЯ РЕАЛИЗАЦИИ</t>
  </si>
  <si>
    <t xml:space="preserve">Триоксид молибдена MoO3 - экспорт</t>
  </si>
  <si>
    <t xml:space="preserve">Триоксид молибдена MoO3 - внутренний рынок</t>
  </si>
  <si>
    <t xml:space="preserve">Медный шлак (25% Cu) - экспорт</t>
  </si>
  <si>
    <t xml:space="preserve">Медный шлак (25% Cu) - внутренний рынок</t>
  </si>
  <si>
    <t xml:space="preserve">Кальциевая селитра - экспорт</t>
  </si>
  <si>
    <t xml:space="preserve">Кальциевая селитра - внутренний рынок</t>
  </si>
  <si>
    <t xml:space="preserve">КОЛИЧЕСТВО ЗАПАСА ГОТОВОЙ ПРОДУКЦИИ НА КОНЕЦ ГОДА</t>
  </si>
  <si>
    <t xml:space="preserve">ЦЕНА РЕАЛИЗАЦИИ</t>
  </si>
  <si>
    <t xml:space="preserve">USD/t</t>
  </si>
  <si>
    <t xml:space="preserve">Попутная продукция (медный шлак, кальциевая селитра) в базовом сценарии ТЭО выручки не формирует - отражена в натуральном выражении (консервативный подход).</t>
  </si>
  <si>
    <t xml:space="preserve">ПЛАН ПРОДАЖ (в экв. долл. США, без НДС)</t>
  </si>
  <si>
    <t xml:space="preserve">Приложение 6</t>
  </si>
  <si>
    <t xml:space="preserve">ЭКСПОРТ</t>
  </si>
  <si>
    <t xml:space="preserve">   Триоксид молибдена MoO3</t>
  </si>
  <si>
    <t xml:space="preserve">   Медный шлак (25% Cu)</t>
  </si>
  <si>
    <t xml:space="preserve">   Кальциевая селитра</t>
  </si>
  <si>
    <t xml:space="preserve">ВНУТРЕННИЕ ПРОДАЖИ</t>
  </si>
  <si>
    <t xml:space="preserve">ВСЕГО ПРОДАЖ</t>
  </si>
  <si>
    <t xml:space="preserve">Доля экспорта в выручке</t>
  </si>
  <si>
    <t xml:space="preserve">СТОИМОСТЬ СЫРЬЯ И МАТЕРИАЛОВ ПРИ ПРОЕКТНОЙ МОЩНОСТИ (в экв. долл. США, 2030 г.)</t>
  </si>
  <si>
    <t xml:space="preserve">Приложение 7</t>
  </si>
  <si>
    <t xml:space="preserve">Базовый год - 2030 г. (освоение мощности 100%); цены - в номинальном выражении ТЭО; без НДС.</t>
  </si>
  <si>
    <t xml:space="preserve">НАИМЕНОВАНИЕ</t>
  </si>
  <si>
    <t xml:space="preserve">Цена за единицу, USD</t>
  </si>
  <si>
    <t xml:space="preserve">Годовая потребность</t>
  </si>
  <si>
    <t xml:space="preserve">Годовая стоимость, USD</t>
  </si>
  <si>
    <t xml:space="preserve">ДОЛЯ (%)</t>
  </si>
  <si>
    <t xml:space="preserve">Примечание</t>
  </si>
  <si>
    <t xml:space="preserve">СЫРЬЁ, МАТЕРИАЛЫ И ПЕРЕМЕННЫЕ ЗАТРАТЫ С ЦЕНОЙ В ТВЁРДОЙ ВАЛЮТЕ (USD)</t>
  </si>
  <si>
    <t xml:space="preserve">Ингибитор</t>
  </si>
  <si>
    <t xml:space="preserve">Вспомогательные материалы</t>
  </si>
  <si>
    <t xml:space="preserve">Фильтроткань</t>
  </si>
  <si>
    <t xml:space="preserve">m2</t>
  </si>
  <si>
    <t xml:space="preserve">ВСЕГО В ТВЁРДОЙ ВАЛЮТЕ</t>
  </si>
  <si>
    <t xml:space="preserve">СЫРЬЁ, МАТЕРИАЛЫ И ПЕРЕМЕННЫЕ ЗАТРАТЫ С ЦЕНОЙ В НАЦИОНАЛЬНОЙ ВАЛЮТЕ (UZS)</t>
  </si>
  <si>
    <t xml:space="preserve">Молибденовый огарок</t>
  </si>
  <si>
    <t xml:space="preserve">Сырьё</t>
  </si>
  <si>
    <t xml:space="preserve">Аммиачная вода</t>
  </si>
  <si>
    <t xml:space="preserve">Азотная кислота</t>
  </si>
  <si>
    <t xml:space="preserve">Гидроксид натрия</t>
  </si>
  <si>
    <t xml:space="preserve">Оксид кальция</t>
  </si>
  <si>
    <t xml:space="preserve">Сульфид аммония</t>
  </si>
  <si>
    <t xml:space="preserve">ВСЕГО В НАЦИОНАЛЬНОЙ ВАЛЮТЕ</t>
  </si>
  <si>
    <t xml:space="preserve">ИТОГО СЫРЬЁ, МАТЕРИАЛЫ И ПРОЧИЕ ПЕРЕМЕННЫЕ ЗАТРАТЫ</t>
  </si>
  <si>
    <t xml:space="preserve">ПРОЧИЕ ПРОИЗВОДСТВЕННЫЕ РАСХОДЫ (постоянные)</t>
  </si>
  <si>
    <t xml:space="preserve">Статьи затрат</t>
  </si>
  <si>
    <t xml:space="preserve">Состав затрат</t>
  </si>
  <si>
    <t xml:space="preserve">Ремонт и техническое обслуживание</t>
  </si>
  <si>
    <t xml:space="preserve">Ремонт и содержание зданий; Ремонт и обслуживание оборудования</t>
  </si>
  <si>
    <t xml:space="preserve">Прочие производственные расходы (охрана труда, накладные и др.)</t>
  </si>
  <si>
    <t xml:space="preserve">Охрана труда; Стоки (канализация); Кек возвратный, вода из скважин, прочее</t>
  </si>
  <si>
    <t xml:space="preserve">Налог за пользование недрами (НДПИ)</t>
  </si>
  <si>
    <t xml:space="preserve">Итого:</t>
  </si>
  <si>
    <t xml:space="preserve">ЭНЕРГОРЕСУРСЫ И ОПЛАТА ТРУДА ПРИ ПРОЕКТНОЙ МОЩНОСТИ (в экв. долл. США, 2030 г.)</t>
  </si>
  <si>
    <t xml:space="preserve">Приложение 8</t>
  </si>
  <si>
    <t xml:space="preserve">СТАТЬИ ЗАТРАТ</t>
  </si>
  <si>
    <t xml:space="preserve">Электроэнергия - переменная часть</t>
  </si>
  <si>
    <t xml:space="preserve">kWh</t>
  </si>
  <si>
    <t xml:space="preserve">Природный газ - переменная часть</t>
  </si>
  <si>
    <t xml:space="preserve">m3</t>
  </si>
  <si>
    <t xml:space="preserve">Электроэнергия - постоянная часть</t>
  </si>
  <si>
    <t xml:space="preserve">Природный газ / топливо - постоянная часть</t>
  </si>
  <si>
    <t xml:space="preserve">Вода - постоянная часть</t>
  </si>
  <si>
    <t xml:space="preserve">ВСЕГО ЭНЕРГОРЕСУРСЫ</t>
  </si>
  <si>
    <t xml:space="preserve">РАСЧЕТ ЗАРАБОТНОЙ ПЛАТЫ</t>
  </si>
  <si>
    <t xml:space="preserve">Количество, чел.</t>
  </si>
  <si>
    <t xml:space="preserve">Среднемесячная з/плата на 1 чел., сум (в ценах 2026 г.)</t>
  </si>
  <si>
    <t xml:space="preserve">Среднемесячная з/плата на 1 чел., USD</t>
  </si>
  <si>
    <t xml:space="preserve">Годовой фонд з/платы, USD</t>
  </si>
  <si>
    <t xml:space="preserve">Отчисления (соц. налог), USD</t>
  </si>
  <si>
    <t xml:space="preserve">ПРОИЗВОДСТВЕННЫЙ ПЕРСОНАЛ</t>
  </si>
  <si>
    <t xml:space="preserve">Начальник цеха</t>
  </si>
  <si>
    <t xml:space="preserve">Операторы промывки и выщелачивания</t>
  </si>
  <si>
    <t xml:space="preserve">Операторы очистки и осаждения</t>
  </si>
  <si>
    <t xml:space="preserve">Операторы фильтр-прессов и прокалки</t>
  </si>
  <si>
    <t xml:space="preserve">Бригадир очистки сточных вод</t>
  </si>
  <si>
    <t xml:space="preserve">Рабочие очистки сточных вод</t>
  </si>
  <si>
    <t xml:space="preserve">Операторы котельной</t>
  </si>
  <si>
    <t xml:space="preserve">Персонал РУ и обслуживания систем</t>
  </si>
  <si>
    <t xml:space="preserve">Водители</t>
  </si>
  <si>
    <t xml:space="preserve">Автовесовая и охрана КПП</t>
  </si>
  <si>
    <t xml:space="preserve">ИТОГО (фонд оплаты труда + социальный налог)</t>
  </si>
  <si>
    <t xml:space="preserve">АДМИНИСТРАЦИЯ</t>
  </si>
  <si>
    <t xml:space="preserve">Генеральный директор</t>
  </si>
  <si>
    <t xml:space="preserve">Заместитель ген. директора</t>
  </si>
  <si>
    <t xml:space="preserve">Офисные служащие</t>
  </si>
  <si>
    <t xml:space="preserve">Руководитель фин.-эконом. отдела</t>
  </si>
  <si>
    <t xml:space="preserve">Бухгалтер</t>
  </si>
  <si>
    <t xml:space="preserve">Кассир</t>
  </si>
  <si>
    <t xml:space="preserve">Руководитель отдела снабжения и сбыта</t>
  </si>
  <si>
    <t xml:space="preserve">Специалист по закупкам</t>
  </si>
  <si>
    <t xml:space="preserve">Менеджер по продажам</t>
  </si>
  <si>
    <t xml:space="preserve">Руководитель отдела кадров</t>
  </si>
  <si>
    <t xml:space="preserve">Специалист по кадрам</t>
  </si>
  <si>
    <t xml:space="preserve">Специалист по обучению</t>
  </si>
  <si>
    <t xml:space="preserve">Главный инженер</t>
  </si>
  <si>
    <t xml:space="preserve">Инженер-металлург</t>
  </si>
  <si>
    <t xml:space="preserve">Инженер-электрик</t>
  </si>
  <si>
    <t xml:space="preserve">Прочие технические специалисты</t>
  </si>
  <si>
    <t xml:space="preserve">Отдел ОТ и ООС</t>
  </si>
  <si>
    <t xml:space="preserve">Прочий обслуживающий персонал</t>
  </si>
  <si>
    <t xml:space="preserve">ОБЩАЯ СУММА</t>
  </si>
  <si>
    <t xml:space="preserve">Заработная плата установлена в сумах (в ценах 2026 г.) и пересчитана в USD с учётом индексации и курса.</t>
  </si>
  <si>
    <t xml:space="preserve">НАЛОГИ И СБОРЫ (в экв. долл. США)</t>
  </si>
  <si>
    <t xml:space="preserve">Приложение 9</t>
  </si>
  <si>
    <t xml:space="preserve">Ставка</t>
  </si>
  <si>
    <t xml:space="preserve">Налоги и сборы, включаемые в расходы</t>
  </si>
  <si>
    <t xml:space="preserve">   Налог на имущество</t>
  </si>
  <si>
    <t xml:space="preserve">1.50%</t>
  </si>
  <si>
    <t xml:space="preserve">   Земельный налог</t>
  </si>
  <si>
    <t xml:space="preserve">   Специальный рентный налог</t>
  </si>
  <si>
    <t xml:space="preserve">   Налог за пользование недрами (НДПИ) - в себестоимости</t>
  </si>
  <si>
    <t xml:space="preserve">   Социальный налог (производственный и административный персонал)</t>
  </si>
  <si>
    <t xml:space="preserve">12%</t>
  </si>
  <si>
    <t xml:space="preserve">Прочие налоги</t>
  </si>
  <si>
    <t xml:space="preserve">   Налог на прибыль (Приложение 13)</t>
  </si>
  <si>
    <t xml:space="preserve">   НДС к уплате в бюджет (при превышении входящего НДС - к возмещению, см. ниже)</t>
  </si>
  <si>
    <t xml:space="preserve">ВСЕГО НАЛОГОВ И ОТЧИСЛЕНИЙ</t>
  </si>
  <si>
    <t xml:space="preserve">Расчет НДС</t>
  </si>
  <si>
    <t xml:space="preserve">НДС исходящий (реализация на внутреннем рынке; экспорт - 0%)</t>
  </si>
  <si>
    <t xml:space="preserve">НДС входящий - по операционным затратам</t>
  </si>
  <si>
    <t xml:space="preserve">НДС входящий - по капитальным вложениям (1-й год вкл. 2026 г.)</t>
  </si>
  <si>
    <t xml:space="preserve">НДС к уплате (+) / к возмещению из бюджета (-)</t>
  </si>
  <si>
    <t xml:space="preserve">Расчет налога на прибыль</t>
  </si>
  <si>
    <t xml:space="preserve">Прибыль (убыток) до налогообложения (Приложение 13)</t>
  </si>
  <si>
    <t xml:space="preserve">Налоговые корректировки</t>
  </si>
  <si>
    <t xml:space="preserve">Налогооблагаемая прибыль</t>
  </si>
  <si>
    <t xml:space="preserve">Ставка налога на прибыль</t>
  </si>
  <si>
    <t xml:space="preserve">Налог на прибыль</t>
  </si>
  <si>
    <t xml:space="preserve">СТОИМОСТЬ ПРОДУКЦИИ ПРИ ПРОЕКТНОЙ МОЩНОСТИ (в экв. долл. США, 2030 г.)</t>
  </si>
  <si>
    <t xml:space="preserve">Приложение 10</t>
  </si>
  <si>
    <t xml:space="preserve">Разделение на постоянные и переменные затраты.</t>
  </si>
  <si>
    <t xml:space="preserve">Статьи издержек</t>
  </si>
  <si>
    <t xml:space="preserve">Всего стоимость</t>
  </si>
  <si>
    <t xml:space="preserve">Доля постоянных затрат (%)</t>
  </si>
  <si>
    <t xml:space="preserve">Доля переменных затрат (%)</t>
  </si>
  <si>
    <t xml:space="preserve">Фиксированная стоимость</t>
  </si>
  <si>
    <t xml:space="preserve">Переменная стоимость</t>
  </si>
  <si>
    <t xml:space="preserve">Сырьё, материалы и прочие переменные затраты по статьям ТЭО</t>
  </si>
  <si>
    <t xml:space="preserve">   с ценой в твёрдой валюте (USD)</t>
  </si>
  <si>
    <t xml:space="preserve">0</t>
  </si>
  <si>
    <t xml:space="preserve">   с ценой в национальной валюте</t>
  </si>
  <si>
    <t xml:space="preserve">Энергоресурсы (электроэнергия, газ, вода)</t>
  </si>
  <si>
    <t xml:space="preserve">Зарплата производственного персонала (с соц. налогом)</t>
  </si>
  <si>
    <t xml:space="preserve">Зарплата административного персонала (с соц. налогом)</t>
  </si>
  <si>
    <t xml:space="preserve">Ремонт и техническое обслуживание (постоянная часть)</t>
  </si>
  <si>
    <t xml:space="preserve">Прочие производственные расходы (постоянная часть)</t>
  </si>
  <si>
    <t xml:space="preserve">Административные расходы (без персонала и амортизации)</t>
  </si>
  <si>
    <t xml:space="preserve">Коммерческие расходы</t>
  </si>
  <si>
    <t xml:space="preserve">Налог на имущество и земельный налог</t>
  </si>
  <si>
    <t xml:space="preserve">Специальный рентный налог</t>
  </si>
  <si>
    <t xml:space="preserve">Резерв на непредвиденные операционные расходы</t>
  </si>
  <si>
    <t xml:space="preserve">Прочие операционные расходы / (доходы)</t>
  </si>
  <si>
    <t xml:space="preserve">Амортизация (Приложение 4)</t>
  </si>
  <si>
    <t xml:space="preserve">в т.ч. в местной валюте</t>
  </si>
  <si>
    <t xml:space="preserve">в т.ч. в твёрдой валюте (производственные затраты в USD)</t>
  </si>
  <si>
    <t xml:space="preserve">Выручка (2030 г.)</t>
  </si>
  <si>
    <t xml:space="preserve">Затраты на 1 USD выручки</t>
  </si>
  <si>
    <t xml:space="preserve">Полная себестоимость единицы основной продукции, USD/t</t>
  </si>
  <si>
    <t xml:space="preserve">ГОДОВАЯ СТОИМОСТЬ ПРОДАННОЙ ПРОДУКЦИИ (в экв. долл. США)</t>
  </si>
  <si>
    <t xml:space="preserve">Приложение 11</t>
  </si>
  <si>
    <t xml:space="preserve">Освоение мощностей (основная продукция)</t>
  </si>
  <si>
    <t xml:space="preserve">ПРОИЗВОДСТВЕННАЯ СЕБЕСТОИМОСТЬ ПО ЭЛЕМЕНТАМ</t>
  </si>
  <si>
    <t xml:space="preserve">   Сырьё</t>
  </si>
  <si>
    <t xml:space="preserve">   Вспомогательные материалы</t>
  </si>
  <si>
    <t xml:space="preserve">   Электроэнергия</t>
  </si>
  <si>
    <t xml:space="preserve">   Природный газ / топливо</t>
  </si>
  <si>
    <t xml:space="preserve">   Вода</t>
  </si>
  <si>
    <t xml:space="preserve">   Заработная плата</t>
  </si>
  <si>
    <t xml:space="preserve">   Социальный налог</t>
  </si>
  <si>
    <t xml:space="preserve">   Амортизация (Приложение 4)</t>
  </si>
  <si>
    <t xml:space="preserve">   Ремонт и техобслуживание</t>
  </si>
  <si>
    <t xml:space="preserve">   Прочие производственные расходы (без НДПИ)</t>
  </si>
  <si>
    <t xml:space="preserve">   Налог за пользование недрами (НДПИ)</t>
  </si>
  <si>
    <t xml:space="preserve">Себестоимость произведенной продукции</t>
  </si>
  <si>
    <t xml:space="preserve">   Изменение остатков готовой продукции (- прирост запаса)</t>
  </si>
  <si>
    <t xml:space="preserve">Себестоимость реализованной продукции</t>
  </si>
  <si>
    <t xml:space="preserve">   в т.ч. затраты в твёрдой валюте (USD)</t>
  </si>
  <si>
    <t xml:space="preserve">   в т.ч. затраты в национальной валюте</t>
  </si>
  <si>
    <t xml:space="preserve">РАСХОДЫ ПЕРИОДА</t>
  </si>
  <si>
    <t xml:space="preserve">   Зарплата административного персонала (с соц. налогом)</t>
  </si>
  <si>
    <t xml:space="preserve">   Амортизация административных активов</t>
  </si>
  <si>
    <t xml:space="preserve">   Прочие административные расходы (аренда, налог за воду, прочие)</t>
  </si>
  <si>
    <t xml:space="preserve">   Коммерческие расходы (расходы по реализации)</t>
  </si>
  <si>
    <t xml:space="preserve">Итого расходы периода</t>
  </si>
  <si>
    <t xml:space="preserve">НАЛОГИ И ПРОЧИЕ ОПЕРАЦИОННЫЕ РАСХОДЫ</t>
  </si>
  <si>
    <t xml:space="preserve">   Резерв на непредвиденные операционные расходы</t>
  </si>
  <si>
    <t xml:space="preserve">   Прочие операционные расходы / (доходы)</t>
  </si>
  <si>
    <t xml:space="preserve">Итого налоги и прочие операционные расходы</t>
  </si>
  <si>
    <t xml:space="preserve">ФИНАНСОВЫЕ ИЗДЕРЖКИ</t>
  </si>
  <si>
    <t xml:space="preserve">   Проценты за кредит (1-й год - капитализированы, оплачены за счёт собственных средств)</t>
  </si>
  <si>
    <t xml:space="preserve">ПОЛНАЯ СТОИМОСТЬ ПРОДАННОЙ ПРОДУКЦИИ</t>
  </si>
  <si>
    <t xml:space="preserve">Полная себестоимость единицы основной продукции</t>
  </si>
  <si>
    <t xml:space="preserve">СХЕМА ВЫПЛАТЫ КРЕДИТА (в долл. США)</t>
  </si>
  <si>
    <t xml:space="preserve">Приложение 12</t>
  </si>
  <si>
    <t xml:space="preserve">месяцев</t>
  </si>
  <si>
    <t xml:space="preserve">Льготный период</t>
  </si>
  <si>
    <t xml:space="preserve">Инвестиционный период</t>
  </si>
  <si>
    <t xml:space="preserve">годовых</t>
  </si>
  <si>
    <t xml:space="preserve">Сумма кредита</t>
  </si>
  <si>
    <t xml:space="preserve">Дата выдачи</t>
  </si>
  <si>
    <t xml:space="preserve">База начисления процентов</t>
  </si>
  <si>
    <t xml:space="preserve">дней</t>
  </si>
  <si>
    <t xml:space="preserve">Количество платежей по основному долгу</t>
  </si>
  <si>
    <t xml:space="preserve">платежей</t>
  </si>
  <si>
    <t xml:space="preserve">Ежемесячный платёж по основному долгу</t>
  </si>
  <si>
    <t xml:space="preserve">№</t>
  </si>
  <si>
    <t xml:space="preserve">Дата платежа</t>
  </si>
  <si>
    <t xml:space="preserve">Остаток на начало</t>
  </si>
  <si>
    <t xml:space="preserve">Проценты</t>
  </si>
  <si>
    <t xml:space="preserve">Всего выплат</t>
  </si>
  <si>
    <t xml:space="preserve">Остаток на конец</t>
  </si>
  <si>
    <t xml:space="preserve">Год</t>
  </si>
  <si>
    <t xml:space="preserve">№ года</t>
  </si>
  <si>
    <t xml:space="preserve">ГОДОВАЯ СВОДКА ПО КРЕДИТУ</t>
  </si>
  <si>
    <t xml:space="preserve">1 год (2027)</t>
  </si>
  <si>
    <t xml:space="preserve">2 год (2028)</t>
  </si>
  <si>
    <t xml:space="preserve">3 год (2029)</t>
  </si>
  <si>
    <t xml:space="preserve">4 год (2030)</t>
  </si>
  <si>
    <t xml:space="preserve">5 год (2031)</t>
  </si>
  <si>
    <t xml:space="preserve">6 год (2032)</t>
  </si>
  <si>
    <t xml:space="preserve">7 год (2033)</t>
  </si>
  <si>
    <t xml:space="preserve">Выдача кредита</t>
  </si>
  <si>
    <t xml:space="preserve">Всего обслуживание долга</t>
  </si>
  <si>
    <t xml:space="preserve">Остаток задолженности на конец года</t>
  </si>
  <si>
    <t xml:space="preserve">ПРЕДПОЛАГАЕМЫЕ СЧЕТА ПРИБЫЛЕЙ И УБЫТКОВ (в экв. долл. США)</t>
  </si>
  <si>
    <t xml:space="preserve">Приложение 13</t>
  </si>
  <si>
    <t xml:space="preserve">Выручка от реализации продукции (с НДС)</t>
  </si>
  <si>
    <t xml:space="preserve">   экспорт (в твёрдой валюте)</t>
  </si>
  <si>
    <t xml:space="preserve">   внутренний рынок (с НДС)</t>
  </si>
  <si>
    <t xml:space="preserve">НДС, начисленный с реализации</t>
  </si>
  <si>
    <t xml:space="preserve">Чистая выручка от реализации продукции</t>
  </si>
  <si>
    <t xml:space="preserve">   в твёрдой валюте</t>
  </si>
  <si>
    <t xml:space="preserve">   в местной валюте</t>
  </si>
  <si>
    <t xml:space="preserve">Валовая прибыль (убыток)</t>
  </si>
  <si>
    <t xml:space="preserve">Расходы периода (административные и коммерческие)</t>
  </si>
  <si>
    <t xml:space="preserve">Налоги и прочие операционные расходы</t>
  </si>
  <si>
    <t xml:space="preserve">Прибыль (убыток) от основной деятельности (EBIT)</t>
  </si>
  <si>
    <t xml:space="preserve">Финансовые расходы</t>
  </si>
  <si>
    <t xml:space="preserve">   Проценты за кредит</t>
  </si>
  <si>
    <t xml:space="preserve">Прибыль (убыток) до налогообложения</t>
  </si>
  <si>
    <t xml:space="preserve">Налог на прибыль (Приложение 9)</t>
  </si>
  <si>
    <t xml:space="preserve">Чистая прибыль (убыток)</t>
  </si>
  <si>
    <t xml:space="preserve">Коэффициенты рентабельности и покрытия</t>
  </si>
  <si>
    <t xml:space="preserve">Валовая рентабельность</t>
  </si>
  <si>
    <t xml:space="preserve">Чистая рентабельность</t>
  </si>
  <si>
    <t xml:space="preserve">Маржа EBITDA</t>
  </si>
  <si>
    <t xml:space="preserve">EBIT / Проценты за кредит</t>
  </si>
  <si>
    <t xml:space="preserve">Долг / EBITDA</t>
  </si>
  <si>
    <t xml:space="preserve">1-й год: проценты за кредит льготного периода оплачиваются за счёт собственных средств и капитализируются в стоимость основных средств (МСФО IAS 23, Приложения 1 и 4); в отчёт о прибылях и убытках не включаются.</t>
  </si>
  <si>
    <t xml:space="preserve">ПРЕДПОЛОЖЕНИЯ ПО РАБОЧЕМУ КАПИТАЛУ (в экв. долл. США)</t>
  </si>
  <si>
    <t xml:space="preserve">Приложение 14</t>
  </si>
  <si>
    <t xml:space="preserve">Показатели</t>
  </si>
  <si>
    <t xml:space="preserve">Дни покрытия</t>
  </si>
  <si>
    <t xml:space="preserve">Период поступления от продаж (дебиторская задолженность)</t>
  </si>
  <si>
    <t xml:space="preserve">Запасы сырья и материалов на складе</t>
  </si>
  <si>
    <t xml:space="preserve">Незавершенная продукция</t>
  </si>
  <si>
    <t xml:space="preserve">Запасы готовой продукции (минимальный запас)</t>
  </si>
  <si>
    <t xml:space="preserve">Период оплаты поставщикам (кредиторская задолженность)</t>
  </si>
  <si>
    <t xml:space="preserve">Задолженность по заработной плате</t>
  </si>
  <si>
    <t xml:space="preserve">Возмещение НДС (операционный)</t>
  </si>
  <si>
    <t xml:space="preserve">Возмещение НДС по капитальным вложениям</t>
  </si>
  <si>
    <t xml:space="preserve">ПОКАЗАТЕЛИ (на конец года)</t>
  </si>
  <si>
    <t xml:space="preserve">Начало</t>
  </si>
  <si>
    <t xml:space="preserve">01.01.2026</t>
  </si>
  <si>
    <t xml:space="preserve">Дебиторская задолженность</t>
  </si>
  <si>
    <t xml:space="preserve">Запасы (сырьё, материалы, НЗП, готовая продукция)</t>
  </si>
  <si>
    <t xml:space="preserve">НДС к возмещению</t>
  </si>
  <si>
    <t xml:space="preserve">Итого текущих активов</t>
  </si>
  <si>
    <t xml:space="preserve">Кредиторская задолженность</t>
  </si>
  <si>
    <t xml:space="preserve">Задолженность по оплате труда и налогам с ФОТ</t>
  </si>
  <si>
    <t xml:space="preserve">Итого текущих обязательств</t>
  </si>
  <si>
    <t xml:space="preserve">Чистый рабочий капитал</t>
  </si>
  <si>
    <t xml:space="preserve">Изменения в рабочем капитале (- рост / + снижение)</t>
  </si>
  <si>
    <t xml:space="preserve">Прочие изменения операционных статей (налоги к уплате и пр.)</t>
  </si>
  <si>
    <t xml:space="preserve">Изменение рабочего капитала для потока наличности (Приложение 15)</t>
  </si>
  <si>
    <t xml:space="preserve">1-й год: изменение рассчитано от начала строительства (01.01.2026), т.е. включает 2026 г.</t>
  </si>
  <si>
    <t xml:space="preserve">ПОТОКИ НАЛИЧНОСТИ (в экв. долл. США)</t>
  </si>
  <si>
    <t xml:space="preserve">Приложение 15</t>
  </si>
  <si>
    <t xml:space="preserve">1-й год (2027) - инвестиционный и льготный период; включает также освоение капвложений и расходы подготовительного периода 2026 г.</t>
  </si>
  <si>
    <t xml:space="preserve">Изменения в рабочем капитале (Приложение 14)</t>
  </si>
  <si>
    <t xml:space="preserve">Наличность от продаж</t>
  </si>
  <si>
    <t xml:space="preserve">Валовые поступления наличности</t>
  </si>
  <si>
    <t xml:space="preserve">Расходы периода</t>
  </si>
  <si>
    <t xml:space="preserve">Расходы подготовительного периода 2026 г.</t>
  </si>
  <si>
    <t xml:space="preserve">Амортизация (неденежная статья, прибавляется)</t>
  </si>
  <si>
    <t xml:space="preserve">Собственный капитал (взнос заемщика)</t>
  </si>
  <si>
    <t xml:space="preserve">Привлеченный кредит банка</t>
  </si>
  <si>
    <t xml:space="preserve">Инвестиции (капитальные вложения; 1-й год вкл. 2026 г.)</t>
  </si>
  <si>
    <t xml:space="preserve">Проценты за кредит (B)</t>
  </si>
  <si>
    <t xml:space="preserve">Прочие финансовые издержки в инвестиционный период (проценты льготного периода)</t>
  </si>
  <si>
    <t xml:space="preserve">Чистые поступления наличности</t>
  </si>
  <si>
    <t xml:space="preserve">Выплата основного долга (C)</t>
  </si>
  <si>
    <t xml:space="preserve">Коэффициент обслуживания долга, DSCR [(A)/(B+C)]</t>
  </si>
  <si>
    <t xml:space="preserve">DSCR с учётом поддерживающих капвложений [(A - инвестиции)/(B+C)]</t>
  </si>
  <si>
    <t xml:space="preserve">Минимальный DSCR (2-7 годы)</t>
  </si>
  <si>
    <t xml:space="preserve">Средний DSCR (2-7 годы)</t>
  </si>
  <si>
    <t xml:space="preserve">Проценты льготного периода (1-й год) уплачиваются за счёт собственных средств заемщика (включены в стоимость проекта, Приложение 1). Налог на прибыль - в размере начисленного (без учёта отсрочки уплаты).</t>
  </si>
  <si>
    <t xml:space="preserve">ТОЧКА БЕЗУБЫТОЧНОСТИ (в экв. долл. США, 2030 г.)</t>
  </si>
  <si>
    <t xml:space="preserve">Приложение 16</t>
  </si>
  <si>
    <t xml:space="preserve">Общие продажи при проектной мощности</t>
  </si>
  <si>
    <t xml:space="preserve">Маржинальный доход</t>
  </si>
  <si>
    <t xml:space="preserve">Точка безубыточности (доля от выручки при проектной мощности)</t>
  </si>
  <si>
    <t xml:space="preserve">Точка безубыточности, USD выручки</t>
  </si>
  <si>
    <t xml:space="preserve">Точка безубыточности в натуральном выражении (основная продукция)</t>
  </si>
  <si>
    <t xml:space="preserve">Запас финансовой прочности</t>
  </si>
  <si>
    <t xml:space="preserve">РАСЧЁТ NPV, IRR И СРОКА ОКУПАЕМОСТИ ПРОЕКТА (в экв. долл. США)</t>
  </si>
  <si>
    <t xml:space="preserve">Денежный поток проекта (до финансирования) = операционный поток (A) - инвестиции; горизонт - срок кредита (7 лет), без остаточной стоимости.</t>
  </si>
  <si>
    <t xml:space="preserve">Период (лет)</t>
  </si>
  <si>
    <t xml:space="preserve">Инвестиции</t>
  </si>
  <si>
    <t xml:space="preserve">Поток наличности проекта (FCFF)</t>
  </si>
  <si>
    <t xml:space="preserve">Ставка дисконта (WACC)</t>
  </si>
  <si>
    <t xml:space="preserve">Коэффициент дисконтирования</t>
  </si>
  <si>
    <t xml:space="preserve">Дисконтированный поток</t>
  </si>
  <si>
    <t xml:space="preserve">Накопленный поток</t>
  </si>
  <si>
    <t xml:space="preserve">Накопленный дисконтированный поток (NPV нарастающим итогом)</t>
  </si>
  <si>
    <t xml:space="preserve">вспом.: окупаемость</t>
  </si>
  <si>
    <t xml:space="preserve">вспом.: дисконтированная окупаемость</t>
  </si>
  <si>
    <t xml:space="preserve">NPV (чистая приведённая стоимость), USD</t>
  </si>
  <si>
    <t xml:space="preserve">IRR (внутренняя норма доходности)</t>
  </si>
  <si>
    <t xml:space="preserve">Простой срок окупаемости, лет (от начала 1-го года)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</si>
</sst>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0.0%;\(0.0%\);\-"/>
    <numFmt numFmtId="167" formatCode="0.00\x;\(0.00&quot;x)&quot;;\-"/>
    <numFmt numFmtId="168" formatCode="0.00"/>
    <numFmt numFmtId="169" formatCode="0.0"/>
    <numFmt numFmtId="170" formatCode="#,##0.00;\(#,##0.00\);\-"/>
    <numFmt numFmtId="171" formatCode="0"/>
    <numFmt numFmtId="172" formatCode="dd\.mm\.yyyy"/>
    <numFmt numFmtId="173" formatCode="0.000"/>
    <numFmt numFmtId="174" formatCode="#,##0.0;\(#,##0.0\);\-"/>
    <numFmt numFmtId="175" formatCode="#,##0.0000"/>
    <numFmt numFmtId="176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2"/>
    <col collapsed="false" customWidth="true" hidden="false" outlineLevel="0" max="11" min="4" style="1" width="15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  <c r="C6" s="6"/>
      <c r="D6" s="6"/>
      <c r="E6" s="6"/>
      <c r="F6" s="6"/>
      <c r="G6" s="6"/>
      <c r="H6" s="6"/>
      <c r="I6" s="6"/>
      <c r="J6" s="6"/>
      <c r="K6" s="6"/>
    </row>
    <row r="7" customFormat="false" ht="30" hidden="false" customHeight="true" outlineLevel="0" collapsed="false">
      <c r="B7" s="7" t="s">
        <v>4</v>
      </c>
      <c r="C7" s="8" t="s">
        <v>5</v>
      </c>
      <c r="D7" s="8"/>
      <c r="E7" s="8"/>
      <c r="F7" s="8"/>
      <c r="G7" s="8"/>
      <c r="H7" s="8"/>
      <c r="I7" s="8"/>
      <c r="J7" s="8"/>
      <c r="K7" s="8"/>
    </row>
    <row r="8" customFormat="false" ht="15" hidden="false" customHeight="true" outlineLevel="0" collapsed="false">
      <c r="B8" s="7" t="s">
        <v>6</v>
      </c>
      <c r="C8" s="8" t="s">
        <v>7</v>
      </c>
      <c r="D8" s="8"/>
      <c r="E8" s="8"/>
      <c r="F8" s="8"/>
      <c r="G8" s="8"/>
      <c r="H8" s="8"/>
      <c r="I8" s="8"/>
      <c r="J8" s="8"/>
      <c r="K8" s="8"/>
    </row>
    <row r="9" customFormat="false" ht="15" hidden="false" customHeight="true" outlineLevel="0" collapsed="false">
      <c r="B9" s="7" t="s">
        <v>8</v>
      </c>
      <c r="C9" s="8" t="s">
        <v>9</v>
      </c>
      <c r="D9" s="8"/>
      <c r="E9" s="8"/>
      <c r="F9" s="8"/>
      <c r="G9" s="8"/>
      <c r="H9" s="8"/>
      <c r="I9" s="8"/>
      <c r="J9" s="8"/>
      <c r="K9" s="8"/>
    </row>
    <row r="10" customFormat="false" ht="15" hidden="false" customHeight="true" outlineLevel="0" collapsed="false">
      <c r="B10" s="7" t="s">
        <v>10</v>
      </c>
      <c r="C10" s="8" t="s">
        <v>11</v>
      </c>
      <c r="D10" s="8"/>
      <c r="E10" s="8"/>
      <c r="F10" s="8"/>
      <c r="G10" s="8"/>
      <c r="H10" s="8"/>
      <c r="I10" s="8"/>
      <c r="J10" s="8"/>
      <c r="K10" s="8"/>
    </row>
    <row r="11" customFormat="false" ht="15" hidden="false" customHeight="true" outlineLevel="0" collapsed="false">
      <c r="B11" s="7" t="s">
        <v>12</v>
      </c>
      <c r="C11" s="8" t="s">
        <v>13</v>
      </c>
      <c r="D11" s="8"/>
      <c r="E11" s="8"/>
      <c r="F11" s="8"/>
      <c r="G11" s="8"/>
      <c r="H11" s="8"/>
      <c r="I11" s="8"/>
      <c r="J11" s="8"/>
      <c r="K11" s="8"/>
    </row>
    <row r="12" customFormat="false" ht="15" hidden="false" customHeight="true" outlineLevel="0" collapsed="false">
      <c r="B12" s="7" t="s">
        <v>14</v>
      </c>
      <c r="C12" s="8" t="s">
        <v>15</v>
      </c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true" outlineLevel="0" collapsed="false">
      <c r="B13" s="7" t="s">
        <v>16</v>
      </c>
      <c r="C13" s="8" t="s">
        <v>17</v>
      </c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true" outlineLevel="0" collapsed="false">
      <c r="B14" s="7" t="s">
        <v>18</v>
      </c>
      <c r="C14" s="8" t="s">
        <v>19</v>
      </c>
      <c r="D14" s="8"/>
      <c r="E14" s="8"/>
      <c r="F14" s="8"/>
      <c r="G14" s="8"/>
      <c r="H14" s="8"/>
      <c r="I14" s="8"/>
      <c r="J14" s="8"/>
      <c r="K14" s="8"/>
    </row>
    <row r="16" customFormat="false" ht="15" hidden="false" customHeight="true" outlineLevel="0" collapsed="false">
      <c r="B16" s="5" t="s">
        <v>20</v>
      </c>
      <c r="C16" s="6"/>
      <c r="D16" s="6"/>
      <c r="E16" s="6"/>
      <c r="F16" s="6"/>
      <c r="G16" s="6"/>
      <c r="H16" s="6"/>
      <c r="I16" s="6"/>
      <c r="J16" s="6"/>
      <c r="K16" s="6"/>
    </row>
    <row r="17" customFormat="false" ht="15" hidden="false" customHeight="true" outlineLevel="0" collapsed="false">
      <c r="B17" s="7" t="s">
        <v>21</v>
      </c>
      <c r="C17" s="9" t="n">
        <f aca="false">ИНФОРМАЦИЯ!$C$26</f>
        <v>18191813.9660399</v>
      </c>
      <c r="D17" s="9"/>
      <c r="E17" s="9"/>
      <c r="F17" s="9"/>
      <c r="G17" s="9"/>
      <c r="H17" s="9"/>
      <c r="I17" s="9"/>
      <c r="J17" s="9"/>
      <c r="K17" s="9"/>
    </row>
    <row r="18" customFormat="false" ht="15" hidden="false" customHeight="true" outlineLevel="0" collapsed="false">
      <c r="B18" s="7" t="s">
        <v>22</v>
      </c>
      <c r="C18" s="10" t="n">
        <f aca="false">ИНФОРМАЦИЯ!$C$27</f>
        <v>0.07</v>
      </c>
      <c r="D18" s="10"/>
      <c r="E18" s="10"/>
      <c r="F18" s="10"/>
      <c r="G18" s="10"/>
      <c r="H18" s="10"/>
      <c r="I18" s="10"/>
      <c r="J18" s="10"/>
      <c r="K18" s="10"/>
    </row>
    <row r="19" customFormat="false" ht="30" hidden="false" customHeight="true" outlineLevel="0" collapsed="false">
      <c r="B19" s="7" t="s">
        <v>23</v>
      </c>
      <c r="C19" s="8" t="s">
        <v>24</v>
      </c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true" outlineLevel="0" collapsed="false">
      <c r="B20" s="7" t="s">
        <v>25</v>
      </c>
      <c r="C20" s="8" t="s">
        <v>26</v>
      </c>
      <c r="D20" s="8"/>
      <c r="E20" s="8"/>
      <c r="F20" s="8"/>
      <c r="G20" s="8"/>
      <c r="H20" s="8"/>
      <c r="I20" s="8"/>
      <c r="J20" s="8"/>
      <c r="K20" s="8"/>
    </row>
    <row r="21" customFormat="false" ht="30" hidden="false" customHeight="true" outlineLevel="0" collapsed="false">
      <c r="B21" s="7" t="s">
        <v>27</v>
      </c>
      <c r="C21" s="8" t="str">
        <f aca="false">TEXT(LOANS!$C$106,"#,##0") &amp; " USD - уплачиваются за счёт собственных средств заемщика (включены в стоимость проекта)"</f>
        <v>1,291,113 USD - уплачиваются за счёт собственных средств заемщика (включены в стоимость проекта)</v>
      </c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true" outlineLevel="0" collapsed="false">
      <c r="B22" s="7" t="s">
        <v>28</v>
      </c>
      <c r="C22" s="8" t="s">
        <v>29</v>
      </c>
      <c r="D22" s="8"/>
      <c r="E22" s="8"/>
      <c r="F22" s="8"/>
      <c r="G22" s="8"/>
      <c r="H22" s="8"/>
      <c r="I22" s="8"/>
      <c r="J22" s="8"/>
      <c r="K22" s="8"/>
    </row>
    <row r="24" customFormat="false" ht="15" hidden="false" customHeight="true" outlineLevel="0" collapsed="false">
      <c r="B24" s="5" t="s">
        <v>30</v>
      </c>
      <c r="C24" s="6"/>
      <c r="D24" s="6"/>
      <c r="E24" s="6"/>
      <c r="F24" s="6"/>
      <c r="G24" s="6"/>
      <c r="H24" s="6"/>
      <c r="I24" s="6"/>
      <c r="J24" s="6"/>
      <c r="K24" s="6"/>
    </row>
    <row r="25" customFormat="false" ht="15" hidden="false" customHeight="true" outlineLevel="0" collapsed="false">
      <c r="B25" s="11" t="s">
        <v>31</v>
      </c>
      <c r="C25" s="12" t="s">
        <v>32</v>
      </c>
      <c r="D25" s="12" t="s">
        <v>33</v>
      </c>
    </row>
    <row r="26" customFormat="false" ht="15" hidden="false" customHeight="true" outlineLevel="0" collapsed="false">
      <c r="B26" s="7" t="s">
        <v>34</v>
      </c>
      <c r="C26" s="13" t="n">
        <f aca="false">ProjCost!E5</f>
        <v>54094705.5866072</v>
      </c>
      <c r="D26" s="14" t="n">
        <f aca="false">IFERROR(C26/ProjCost!$E$20,0)</f>
        <v>0.782320470011164</v>
      </c>
    </row>
    <row r="27" customFormat="false" ht="15" hidden="false" customHeight="true" outlineLevel="0" collapsed="false">
      <c r="B27" s="7" t="s">
        <v>35</v>
      </c>
      <c r="C27" s="13" t="n">
        <f aca="false">ProjCost!E9</f>
        <v>12384487.2794094</v>
      </c>
      <c r="D27" s="14" t="n">
        <f aca="false">IFERROR(C27/ProjCost!$E$20,0)</f>
        <v>0.179105104727173</v>
      </c>
    </row>
    <row r="28" customFormat="false" ht="15" hidden="false" customHeight="true" outlineLevel="0" collapsed="false">
      <c r="B28" s="7" t="s">
        <v>36</v>
      </c>
      <c r="C28" s="13" t="n">
        <f aca="false">ProjCost!E15</f>
        <v>2485367.52866996</v>
      </c>
      <c r="D28" s="14" t="n">
        <f aca="false">IFERROR(C28/ProjCost!$E$20,0)</f>
        <v>0.0359435155824373</v>
      </c>
    </row>
    <row r="29" customFormat="false" ht="15" hidden="false" customHeight="true" outlineLevel="0" collapsed="false">
      <c r="B29" s="7" t="s">
        <v>37</v>
      </c>
      <c r="C29" s="13" t="n">
        <f aca="false">ProjCost!E18</f>
        <v>181918.139660399</v>
      </c>
      <c r="D29" s="14" t="n">
        <f aca="false">IFERROR(C29/ProjCost!$E$20,0)</f>
        <v>0.0026309096792259</v>
      </c>
    </row>
    <row r="30" customFormat="false" ht="15" hidden="false" customHeight="true" outlineLevel="0" collapsed="false">
      <c r="B30" s="15" t="s">
        <v>38</v>
      </c>
      <c r="C30" s="16" t="n">
        <f aca="false">ProjCost!E20</f>
        <v>69146478.534347</v>
      </c>
      <c r="D30" s="17" t="n">
        <f aca="false">IFERROR(C30/ProjCost!$E$20,0)</f>
        <v>1</v>
      </c>
    </row>
    <row r="31" customFormat="false" ht="15" hidden="false" customHeight="true" outlineLevel="0" collapsed="false">
      <c r="B31" s="7" t="s">
        <v>39</v>
      </c>
      <c r="C31" s="13" t="n">
        <f aca="false">FinPlan!$E$10</f>
        <v>50954664.568307</v>
      </c>
      <c r="D31" s="14" t="n">
        <f aca="false">IFERROR(C31/ProjCost!$E$20,0)</f>
        <v>0.73690903207741</v>
      </c>
    </row>
    <row r="32" customFormat="false" ht="15" hidden="false" customHeight="true" outlineLevel="0" collapsed="false">
      <c r="B32" s="7" t="s">
        <v>40</v>
      </c>
      <c r="C32" s="13" t="n">
        <f aca="false">FinPlan!$E$14</f>
        <v>18191813.96604</v>
      </c>
      <c r="D32" s="14" t="n">
        <f aca="false">IFERROR(C32/ProjCost!$E$20,0)</f>
        <v>0.26309096792259</v>
      </c>
    </row>
    <row r="34" customFormat="false" ht="15" hidden="false" customHeight="true" outlineLevel="0" collapsed="false">
      <c r="B34" s="5" t="s">
        <v>41</v>
      </c>
      <c r="C34" s="6"/>
      <c r="D34" s="6"/>
      <c r="E34" s="6"/>
      <c r="F34" s="6"/>
      <c r="G34" s="6"/>
      <c r="H34" s="6"/>
      <c r="I34" s="6"/>
      <c r="J34" s="6"/>
      <c r="K34" s="6"/>
    </row>
    <row r="35" customFormat="false" ht="30" hidden="false" customHeight="true" outlineLevel="0" collapsed="false">
      <c r="B35" s="18" t="s">
        <v>42</v>
      </c>
      <c r="C35" s="19" t="s">
        <v>43</v>
      </c>
      <c r="D35" s="19" t="s">
        <v>44</v>
      </c>
      <c r="E35" s="19" t="s">
        <v>45</v>
      </c>
      <c r="F35" s="19" t="s">
        <v>46</v>
      </c>
      <c r="G35" s="19" t="s">
        <v>47</v>
      </c>
      <c r="H35" s="19" t="s">
        <v>48</v>
      </c>
      <c r="I35" s="19" t="s">
        <v>49</v>
      </c>
      <c r="J35" s="19" t="s">
        <v>50</v>
      </c>
    </row>
    <row r="36" customFormat="false" ht="15" hidden="false" customHeight="true" outlineLevel="0" collapsed="false">
      <c r="B36" s="6"/>
      <c r="C36" s="6"/>
      <c r="D36" s="18" t="s">
        <v>51</v>
      </c>
      <c r="E36" s="18" t="s">
        <v>52</v>
      </c>
      <c r="F36" s="18" t="s">
        <v>53</v>
      </c>
      <c r="G36" s="18" t="s">
        <v>54</v>
      </c>
      <c r="H36" s="18" t="s">
        <v>55</v>
      </c>
      <c r="I36" s="18" t="s">
        <v>56</v>
      </c>
      <c r="J36" s="18" t="s">
        <v>57</v>
      </c>
    </row>
    <row r="37" customFormat="false" ht="15" hidden="false" customHeight="true" outlineLevel="0" collapsed="false">
      <c r="B37" s="20" t="s">
        <v>58</v>
      </c>
      <c r="C37" s="21" t="s">
        <v>32</v>
      </c>
      <c r="D37" s="13" t="n">
        <f aca="false">ProfLoss!D10</f>
        <v>9058233.4074603</v>
      </c>
      <c r="E37" s="13" t="n">
        <f aca="false">ProfLoss!E10</f>
        <v>36777950.1176668</v>
      </c>
      <c r="F37" s="13" t="n">
        <f aca="false">ProfLoss!F10</f>
        <v>48825711.8142501</v>
      </c>
      <c r="G37" s="13" t="n">
        <f aca="false">ProfLoss!G10</f>
        <v>58917294.7663125</v>
      </c>
      <c r="H37" s="13" t="n">
        <f aca="false">ProfLoss!H10</f>
        <v>60592703.85</v>
      </c>
      <c r="I37" s="13" t="n">
        <f aca="false">ProfLoss!I10</f>
        <v>61925326.89</v>
      </c>
      <c r="J37" s="13" t="n">
        <f aca="false">ProfLoss!J10</f>
        <v>63287695.98</v>
      </c>
    </row>
    <row r="38" customFormat="false" ht="15" hidden="false" customHeight="true" outlineLevel="0" collapsed="false">
      <c r="B38" s="20" t="s">
        <v>59</v>
      </c>
      <c r="C38" s="21" t="s">
        <v>32</v>
      </c>
      <c r="D38" s="13" t="n">
        <f aca="false">ProfLoss!D27</f>
        <v>731448.935790865</v>
      </c>
      <c r="E38" s="13" t="n">
        <f aca="false">ProfLoss!E27</f>
        <v>11251688.101859</v>
      </c>
      <c r="F38" s="13" t="n">
        <f aca="false">ProfLoss!F27</f>
        <v>16832637.1521353</v>
      </c>
      <c r="G38" s="13" t="n">
        <f aca="false">ProfLoss!G27</f>
        <v>21369559.4452465</v>
      </c>
      <c r="H38" s="13" t="n">
        <f aca="false">ProfLoss!H27</f>
        <v>21930327.1923702</v>
      </c>
      <c r="I38" s="13" t="n">
        <f aca="false">ProfLoss!I27</f>
        <v>22433613.341568</v>
      </c>
      <c r="J38" s="13" t="n">
        <f aca="false">ProfLoss!J27</f>
        <v>22948165.1352589</v>
      </c>
    </row>
    <row r="39" customFormat="false" ht="15" hidden="false" customHeight="true" outlineLevel="0" collapsed="false">
      <c r="B39" s="20" t="s">
        <v>60</v>
      </c>
      <c r="C39" s="21" t="s">
        <v>32</v>
      </c>
      <c r="D39" s="13" t="n">
        <f aca="false">ProfLoss!D22</f>
        <v>54544.3369456161</v>
      </c>
      <c r="E39" s="13" t="n">
        <f aca="false">ProfLoss!E22</f>
        <v>6229315.91001298</v>
      </c>
      <c r="F39" s="13" t="n">
        <f aca="false">ProfLoss!F22</f>
        <v>11113129.4510666</v>
      </c>
      <c r="G39" s="13" t="n">
        <f aca="false">ProfLoss!G22</f>
        <v>15106555.3057021</v>
      </c>
      <c r="H39" s="13" t="n">
        <f aca="false">ProfLoss!H22</f>
        <v>15720249.7962481</v>
      </c>
      <c r="I39" s="13" t="n">
        <f aca="false">ProfLoss!I22</f>
        <v>16284124.4541199</v>
      </c>
      <c r="J39" s="13" t="n">
        <f aca="false">ProfLoss!J22</f>
        <v>16859495.8586853</v>
      </c>
    </row>
    <row r="40" customFormat="false" ht="15" hidden="false" customHeight="true" outlineLevel="0" collapsed="false">
      <c r="B40" s="20" t="s">
        <v>61</v>
      </c>
      <c r="C40" s="21" t="s">
        <v>32</v>
      </c>
      <c r="D40" s="13" t="n">
        <f aca="false">CashFlow!D18</f>
        <v>-12856917.8800911</v>
      </c>
      <c r="E40" s="13" t="n">
        <f aca="false">CashFlow!E18</f>
        <v>16865939.9007855</v>
      </c>
      <c r="F40" s="13" t="n">
        <f aca="false">CashFlow!F18</f>
        <v>13020260.6447673</v>
      </c>
      <c r="G40" s="13" t="n">
        <f aca="false">CashFlow!G18</f>
        <v>17181750.2820009</v>
      </c>
      <c r="H40" s="13" t="n">
        <f aca="false">CashFlow!H18</f>
        <v>18926303.9741256</v>
      </c>
      <c r="I40" s="13" t="n">
        <f aca="false">CashFlow!I18</f>
        <v>19356302.0598304</v>
      </c>
      <c r="J40" s="13" t="n">
        <f aca="false">CashFlow!J18</f>
        <v>19764802.3872907</v>
      </c>
    </row>
    <row r="41" customFormat="false" ht="15" hidden="false" customHeight="true" outlineLevel="0" collapsed="false">
      <c r="B41" s="20" t="s">
        <v>62</v>
      </c>
      <c r="C41" s="21" t="s">
        <v>32</v>
      </c>
      <c r="D41" s="13" t="n">
        <f aca="false">LOANS!$C$107</f>
        <v>1291113.46342311</v>
      </c>
      <c r="E41" s="13" t="n">
        <f aca="false">LOANS!$D$107</f>
        <v>4227477.17618695</v>
      </c>
      <c r="F41" s="13" t="n">
        <f aca="false">LOANS!$E$107</f>
        <v>4008803.43091692</v>
      </c>
      <c r="G41" s="13" t="n">
        <f aca="false">LOANS!$F$107</f>
        <v>3793617.85367974</v>
      </c>
      <c r="H41" s="13" t="n">
        <f aca="false">LOANS!$G$107</f>
        <v>3578432.27644255</v>
      </c>
      <c r="I41" s="13" t="n">
        <f aca="false">LOANS!$H$107</f>
        <v>3364376.6691315</v>
      </c>
      <c r="J41" s="13" t="n">
        <f aca="false">LOANS!$I$107</f>
        <v>3148061.12196818</v>
      </c>
    </row>
    <row r="42" customFormat="false" ht="15" hidden="false" customHeight="true" outlineLevel="0" collapsed="false">
      <c r="B42" s="20" t="s">
        <v>63</v>
      </c>
      <c r="C42" s="21" t="s">
        <v>32</v>
      </c>
      <c r="D42" s="13" t="n">
        <f aca="false">CashFlow!D26</f>
        <v>903741.604225626</v>
      </c>
      <c r="E42" s="13" t="n">
        <f aca="false">CashFlow!E26</f>
        <v>12098864.6638843</v>
      </c>
      <c r="F42" s="13" t="n">
        <f aca="false">CashFlow!F26</f>
        <v>8471859.15313605</v>
      </c>
      <c r="G42" s="13" t="n">
        <f aca="false">CashFlow!G26</f>
        <v>12848534.3676069</v>
      </c>
      <c r="H42" s="13" t="n">
        <f aca="false">CashFlow!H26</f>
        <v>14808273.6369688</v>
      </c>
      <c r="I42" s="13" t="n">
        <f aca="false">CashFlow!I26</f>
        <v>15452327.3299846</v>
      </c>
      <c r="J42" s="13" t="n">
        <f aca="false">CashFlow!J26</f>
        <v>16077143.2046083</v>
      </c>
    </row>
    <row r="43" customFormat="false" ht="15" hidden="false" customHeight="true" outlineLevel="0" collapsed="false">
      <c r="B43" s="20" t="s">
        <v>64</v>
      </c>
      <c r="C43" s="21" t="s">
        <v>32</v>
      </c>
      <c r="D43" s="13" t="n">
        <f aca="false">CashFlow!D27</f>
        <v>903741.604225626</v>
      </c>
      <c r="E43" s="13" t="n">
        <f aca="false">CashFlow!E27</f>
        <v>13002606.2681099</v>
      </c>
      <c r="F43" s="13" t="n">
        <f aca="false">CashFlow!F27</f>
        <v>21474465.4212459</v>
      </c>
      <c r="G43" s="13" t="n">
        <f aca="false">CashFlow!G27</f>
        <v>34322999.7888528</v>
      </c>
      <c r="H43" s="13" t="n">
        <f aca="false">CashFlow!H27</f>
        <v>49131273.4258216</v>
      </c>
      <c r="I43" s="13" t="n">
        <f aca="false">CashFlow!I27</f>
        <v>64583600.7558062</v>
      </c>
      <c r="J43" s="13" t="n">
        <f aca="false">CashFlow!J27</f>
        <v>80660743.9604145</v>
      </c>
    </row>
    <row r="44" customFormat="false" ht="15" hidden="false" customHeight="true" outlineLevel="0" collapsed="false">
      <c r="B44" s="20" t="s">
        <v>65</v>
      </c>
      <c r="C44" s="21" t="s">
        <v>66</v>
      </c>
      <c r="D44" s="22" t="str">
        <f aca="false">CashFlow!D30</f>
        <v>-</v>
      </c>
      <c r="E44" s="22" t="n">
        <f aca="false">CashFlow!E30</f>
        <v>3.86195860075513</v>
      </c>
      <c r="F44" s="22" t="n">
        <f aca="false">CashFlow!F30</f>
        <v>3.11331368552493</v>
      </c>
      <c r="G44" s="22" t="n">
        <f aca="false">CashFlow!G30</f>
        <v>4.38688156350383</v>
      </c>
      <c r="H44" s="22" t="n">
        <f aca="false">CashFlow!H30</f>
        <v>5.13820145052185</v>
      </c>
      <c r="I44" s="22" t="n">
        <f aca="false">CashFlow!I30</f>
        <v>5.59292429167083</v>
      </c>
      <c r="J44" s="22" t="n">
        <f aca="false">CashFlow!J30</f>
        <v>6.1069984291019</v>
      </c>
    </row>
    <row r="45" customFormat="false" ht="15" hidden="false" customHeight="true" outlineLevel="0" collapsed="false">
      <c r="B45" s="20" t="s">
        <v>67</v>
      </c>
      <c r="C45" s="21" t="s">
        <v>32</v>
      </c>
      <c r="D45" s="13" t="n">
        <f aca="false">LOANS!$C$108</f>
        <v>18191813.9660399</v>
      </c>
      <c r="E45" s="13" t="n">
        <f aca="false">LOANS!$D$108</f>
        <v>15159844.9717</v>
      </c>
      <c r="F45" s="13" t="n">
        <f aca="false">LOANS!$E$108</f>
        <v>12127875.97736</v>
      </c>
      <c r="G45" s="13" t="n">
        <f aca="false">LOANS!$F$108</f>
        <v>9095906.98301997</v>
      </c>
      <c r="H45" s="13" t="n">
        <f aca="false">LOANS!$G$108</f>
        <v>6063937.98867998</v>
      </c>
      <c r="I45" s="13" t="n">
        <f aca="false">LOANS!$H$108</f>
        <v>3031968.99433999</v>
      </c>
      <c r="J45" s="13" t="n">
        <f aca="false">LOANS!$I$108</f>
        <v>0</v>
      </c>
    </row>
    <row r="47" customFormat="false" ht="15" hidden="false" customHeight="true" outlineLevel="0" collapsed="false">
      <c r="B47" s="5" t="s">
        <v>68</v>
      </c>
      <c r="C47" s="6"/>
      <c r="D47" s="6"/>
      <c r="E47" s="6"/>
      <c r="F47" s="6"/>
      <c r="G47" s="6"/>
      <c r="H47" s="6"/>
      <c r="I47" s="6"/>
      <c r="J47" s="6"/>
      <c r="K47" s="6"/>
    </row>
    <row r="48" customFormat="false" ht="15" hidden="false" customHeight="true" outlineLevel="0" collapsed="false">
      <c r="B48" s="7" t="s">
        <v>69</v>
      </c>
      <c r="C48" s="23" t="n">
        <f aca="false">NPV_IRR!D18</f>
        <v>2921942.35760997</v>
      </c>
    </row>
    <row r="49" customFormat="false" ht="15" hidden="false" customHeight="true" outlineLevel="0" collapsed="false">
      <c r="B49" s="7" t="s">
        <v>70</v>
      </c>
      <c r="C49" s="24" t="n">
        <f aca="false">NPV_IRR!D19</f>
        <v>0.127593983562719</v>
      </c>
    </row>
    <row r="50" customFormat="false" ht="15" hidden="false" customHeight="true" outlineLevel="0" collapsed="false">
      <c r="B50" s="7" t="s">
        <v>71</v>
      </c>
      <c r="C50" s="25" t="n">
        <f aca="false">NPV_IRR!D20</f>
        <v>1.04851782462375</v>
      </c>
    </row>
    <row r="51" customFormat="false" ht="15" hidden="false" customHeight="true" outlineLevel="0" collapsed="false">
      <c r="B51" s="7" t="s">
        <v>72</v>
      </c>
      <c r="C51" s="26" t="n">
        <f aca="false">NPV_IRR!D21</f>
        <v>5.16558483930142</v>
      </c>
    </row>
    <row r="52" customFormat="false" ht="15" hidden="false" customHeight="true" outlineLevel="0" collapsed="false">
      <c r="B52" s="7" t="s">
        <v>73</v>
      </c>
      <c r="C52" s="26" t="n">
        <f aca="false">NPV_IRR!D22</f>
        <v>6.68104001674324</v>
      </c>
    </row>
    <row r="53" customFormat="false" ht="15" hidden="false" customHeight="true" outlineLevel="0" collapsed="false">
      <c r="B53" s="7" t="s">
        <v>74</v>
      </c>
      <c r="C53" s="27" t="str">
        <f aca="false">TEXT(CashFlow!D31,"0.00") &amp; "x / " &amp; TEXT(CashFlow!D32,"0.00") &amp; "x"</f>
        <v>3.11x / 4.70x</v>
      </c>
      <c r="D53" s="27"/>
      <c r="E53" s="27"/>
    </row>
    <row r="54" customFormat="false" ht="15" hidden="false" customHeight="true" outlineLevel="0" collapsed="false">
      <c r="B54" s="7" t="s">
        <v>75</v>
      </c>
      <c r="C54" s="24" t="n">
        <f aca="false">BreakPoint!C10</f>
        <v>0.350149080497285</v>
      </c>
    </row>
    <row r="56" customFormat="false" ht="15" hidden="false" customHeight="true" outlineLevel="0" collapsed="false">
      <c r="B56" s="5" t="s">
        <v>76</v>
      </c>
      <c r="C56" s="6"/>
      <c r="D56" s="6"/>
      <c r="E56" s="6"/>
      <c r="F56" s="6"/>
      <c r="G56" s="6"/>
      <c r="H56" s="6"/>
      <c r="I56" s="6"/>
      <c r="J56" s="6"/>
      <c r="K56" s="6"/>
    </row>
    <row r="57" customFormat="false" ht="15" hidden="false" customHeight="true" outlineLevel="0" collapsed="false">
      <c r="B57" s="7" t="s">
        <v>77</v>
      </c>
      <c r="C57" s="28" t="str">
        <f aca="false">IF(MIN(CashFlow!D26:J26)&gt;0,"Да","Нет")</f>
        <v>Да</v>
      </c>
    </row>
    <row r="58" customFormat="false" ht="15" hidden="false" customHeight="true" outlineLevel="0" collapsed="false">
      <c r="B58" s="7" t="s">
        <v>78</v>
      </c>
      <c r="C58" s="28" t="str">
        <f aca="false">IF(MIN(ProfLoss!D22:J22)&gt;0,"Да","Нет")</f>
        <v>Да</v>
      </c>
    </row>
    <row r="59" customFormat="false" ht="15" hidden="false" customHeight="true" outlineLevel="0" collapsed="false">
      <c r="B59" s="7" t="s">
        <v>79</v>
      </c>
      <c r="C59" s="28" t="str">
        <f aca="false">IF(ABS(LOANS!$I$108)&lt;1,"Да","Нет")</f>
        <v>Да</v>
      </c>
    </row>
    <row r="60" customFormat="false" ht="15" hidden="false" customHeight="true" outlineLevel="0" collapsed="false">
      <c r="B60" s="7" t="s">
        <v>80</v>
      </c>
      <c r="C60" s="28" t="str">
        <f aca="false">IF(ProjCost!E16&gt;0,"Да","Нет")</f>
        <v>Да</v>
      </c>
    </row>
    <row r="61" customFormat="false" ht="15" hidden="false" customHeight="true" outlineLevel="0" collapsed="false">
      <c r="B61" s="7" t="s">
        <v>81</v>
      </c>
      <c r="C61" s="28" t="str">
        <f aca="false">IF(AND(ISNUMBER(NPV_IRR!D22),NPV_IRR!D22&lt;=7),"Да","Нет")</f>
        <v>Да</v>
      </c>
    </row>
    <row r="63" customFormat="false" ht="15" hidden="false" customHeight="true" outlineLevel="0" collapsed="false">
      <c r="B63" s="5" t="s">
        <v>82</v>
      </c>
      <c r="C63" s="6"/>
      <c r="D63" s="6"/>
      <c r="E63" s="6"/>
      <c r="F63" s="6"/>
      <c r="G63" s="6"/>
      <c r="H63" s="6"/>
      <c r="I63" s="6"/>
      <c r="J63" s="6"/>
      <c r="K63" s="6"/>
    </row>
    <row r="64" customFormat="false" ht="30" hidden="false" customHeight="true" outlineLevel="0" collapsed="false">
      <c r="B64" s="29" t="s">
        <v>83</v>
      </c>
      <c r="C64" s="29"/>
      <c r="D64" s="29"/>
      <c r="E64" s="29"/>
      <c r="F64" s="29"/>
      <c r="G64" s="29"/>
      <c r="H64" s="29"/>
      <c r="I64" s="29"/>
      <c r="J64" s="29"/>
      <c r="K64" s="29"/>
    </row>
    <row r="65" customFormat="false" ht="30" hidden="false" customHeight="true" outlineLevel="0" collapsed="false">
      <c r="B65" s="29" t="s">
        <v>84</v>
      </c>
      <c r="C65" s="29"/>
      <c r="D65" s="29"/>
      <c r="E65" s="29"/>
      <c r="F65" s="29"/>
      <c r="G65" s="29"/>
      <c r="H65" s="29"/>
      <c r="I65" s="29"/>
      <c r="J65" s="29"/>
      <c r="K65" s="29"/>
    </row>
    <row r="66" customFormat="false" ht="30" hidden="false" customHeight="true" outlineLevel="0" collapsed="false">
      <c r="B66" s="29" t="s">
        <v>85</v>
      </c>
      <c r="C66" s="29"/>
      <c r="D66" s="29"/>
      <c r="E66" s="29"/>
      <c r="F66" s="29"/>
      <c r="G66" s="29"/>
      <c r="H66" s="29"/>
      <c r="I66" s="29"/>
      <c r="J66" s="29"/>
      <c r="K66" s="29"/>
    </row>
    <row r="67" customFormat="false" ht="30" hidden="false" customHeight="true" outlineLevel="0" collapsed="false">
      <c r="B67" s="29" t="s">
        <v>86</v>
      </c>
      <c r="C67" s="29"/>
      <c r="D67" s="29"/>
      <c r="E67" s="29"/>
      <c r="F67" s="29"/>
      <c r="G67" s="29"/>
      <c r="H67" s="29"/>
      <c r="I67" s="29"/>
      <c r="J67" s="29"/>
      <c r="K67" s="29"/>
    </row>
    <row r="68" customFormat="false" ht="30" hidden="false" customHeight="true" outlineLevel="0" collapsed="false">
      <c r="B68" s="29" t="s">
        <v>87</v>
      </c>
      <c r="C68" s="29"/>
      <c r="D68" s="29"/>
      <c r="E68" s="29"/>
      <c r="F68" s="29"/>
      <c r="G68" s="29"/>
      <c r="H68" s="29"/>
      <c r="I68" s="29"/>
      <c r="J68" s="29"/>
      <c r="K68" s="29"/>
    </row>
    <row r="69" customFormat="false" ht="30" hidden="false" customHeight="true" outlineLevel="0" collapsed="false">
      <c r="B69" s="29" t="s">
        <v>88</v>
      </c>
      <c r="C69" s="29"/>
      <c r="D69" s="29"/>
      <c r="E69" s="29"/>
      <c r="F69" s="29"/>
      <c r="G69" s="29"/>
      <c r="H69" s="29"/>
      <c r="I69" s="29"/>
      <c r="J69" s="29"/>
      <c r="K69" s="29"/>
    </row>
    <row r="71" customFormat="false" ht="15" hidden="false" customHeight="true" outlineLevel="0" collapsed="false">
      <c r="B71" s="5" t="s">
        <v>89</v>
      </c>
      <c r="C71" s="6"/>
      <c r="D71" s="6"/>
      <c r="E71" s="6"/>
      <c r="F71" s="6"/>
      <c r="G71" s="6"/>
      <c r="H71" s="6"/>
      <c r="I71" s="6"/>
      <c r="J71" s="6"/>
      <c r="K71" s="6"/>
    </row>
    <row r="72" customFormat="false" ht="30" hidden="false" customHeight="true" outlineLevel="0" collapsed="false">
      <c r="B72" s="27" t="s">
        <v>90</v>
      </c>
      <c r="C72" s="20" t="str">
        <f aca="false">"Точка безубыточности при проектной мощности - " &amp; TEXT(BreakPoint!C10,"0%") &amp; " выручки; цены реализации в плане приняты консервативно. Меры: долгосрочные контракты на реализацию, мониторинг рыночных цен."</f>
        <v>Точка безубыточности при проектной мощности - 35% выручки; цены реализации в плане приняты консервативно. Меры: долгосрочные контракты на реализацию, мониторинг рыночных цен.</v>
      </c>
      <c r="D72" s="20"/>
      <c r="E72" s="20"/>
      <c r="F72" s="20"/>
      <c r="G72" s="20"/>
      <c r="H72" s="20"/>
      <c r="I72" s="20"/>
      <c r="J72" s="20"/>
      <c r="K72" s="20"/>
    </row>
    <row r="73" customFormat="false" ht="30" hidden="false" customHeight="true" outlineLevel="0" collapsed="false">
      <c r="B73" s="27" t="s">
        <v>91</v>
      </c>
      <c r="C73" s="20" t="str">
        <f aca="false">"Доля экспорта в выручке: " &amp; TEXT(SalePlan!G10/SalePlan!G18,"0%") &amp; "; цены продукции установлены в USD; кредит - в USD (естественное хеджирование валютной позиции)."</f>
        <v>Доля экспорта в выручке: 100%; цены продукции установлены в USD; кредит - в USD (естественное хеджирование валютной позиции).</v>
      </c>
      <c r="D73" s="20"/>
      <c r="E73" s="20"/>
      <c r="F73" s="20"/>
      <c r="G73" s="20"/>
      <c r="H73" s="20"/>
      <c r="I73" s="20"/>
      <c r="J73" s="20"/>
      <c r="K73" s="20"/>
    </row>
    <row r="74" customFormat="false" ht="30" hidden="false" customHeight="true" outlineLevel="0" collapsed="false">
      <c r="B74" s="27" t="s">
        <v>92</v>
      </c>
      <c r="C74" s="20" t="str">
        <f aca="false">"Освоение мощности: 1-й год - " &amp; TEXT(ProdPlan!D13,"0%") &amp; ", 2-й год - " &amp; TEXT(ProdPlan!E13,"0%") &amp; ", 3-й год - " &amp; TEXT(ProdPlan!F13,"0%") &amp; "; льготный период 12 мес. и запас DSCR (мин. " &amp; TEXT(CashFlow!D31,"0.00") &amp; "x) покрывают период выхода на мощность."</f>
        <v>Освоение мощности: 1-й год - 15%, 2-й год - 65%, 3-й год - 85%; льготный период 12 мес. и запас DSCR (мин. 3.11x) покрывают период выхода на мощность.</v>
      </c>
      <c r="D74" s="20"/>
      <c r="E74" s="20"/>
      <c r="F74" s="20"/>
      <c r="G74" s="20"/>
      <c r="H74" s="20"/>
      <c r="I74" s="20"/>
      <c r="J74" s="20"/>
      <c r="K74" s="20"/>
    </row>
    <row r="75" customFormat="false" ht="30" hidden="false" customHeight="true" outlineLevel="0" collapsed="false">
      <c r="B75" s="27" t="s">
        <v>93</v>
      </c>
      <c r="C75" s="20" t="str">
        <f aca="false">"Капитальные затраты приняты в фиксированных ценах (EPC-контракт: проектирование, поставка, строительство); превышение сметы финансируется за счёт собственных средств заемщика."</f>
        <v>Капитальные затраты приняты в фиксированных ценах (EPC-контракт: проектирование, поставка, строительство); превышение сметы финансируется за счёт собственных средств заемщика.</v>
      </c>
      <c r="D75" s="20"/>
      <c r="E75" s="20"/>
      <c r="F75" s="20"/>
      <c r="G75" s="20"/>
      <c r="H75" s="20"/>
      <c r="I75" s="20"/>
      <c r="J75" s="20"/>
      <c r="K75" s="20"/>
    </row>
    <row r="76" customFormat="false" ht="30" hidden="false" customHeight="true" outlineLevel="0" collapsed="false">
      <c r="B76" s="27" t="s">
        <v>94</v>
      </c>
      <c r="C76" s="20" t="str">
        <f aca="false">"Основное сырьё - Молибденовый огарок: " &amp; TEXT(RawMat!F20/CostTotal!C22,"0%") &amp; " затрат при проектной мощности (с учётом прочих материалов). Меры: долгосрочные договоры поставки."</f>
        <v>Основное сырьё - Молибденовый огарок: 67% затрат при проектной мощности (с учётом прочих материалов). Меры: долгосрочные договоры поставки.</v>
      </c>
      <c r="D76" s="20"/>
      <c r="E76" s="20"/>
      <c r="F76" s="20"/>
      <c r="G76" s="20"/>
      <c r="H76" s="20"/>
      <c r="I76" s="20"/>
      <c r="J76" s="20"/>
      <c r="K76" s="20"/>
    </row>
  </sheetData>
  <mergeCells count="26">
    <mergeCell ref="C7:K7"/>
    <mergeCell ref="C8:K8"/>
    <mergeCell ref="C9:K9"/>
    <mergeCell ref="C10:K10"/>
    <mergeCell ref="C11:K11"/>
    <mergeCell ref="C12:K12"/>
    <mergeCell ref="C13:K13"/>
    <mergeCell ref="C14:K14"/>
    <mergeCell ref="C17:K17"/>
    <mergeCell ref="C18:K18"/>
    <mergeCell ref="C19:K19"/>
    <mergeCell ref="C20:K20"/>
    <mergeCell ref="C21:K21"/>
    <mergeCell ref="C22:K22"/>
    <mergeCell ref="C53:E53"/>
    <mergeCell ref="B64:K64"/>
    <mergeCell ref="B65:K65"/>
    <mergeCell ref="B66:K66"/>
    <mergeCell ref="B67:K67"/>
    <mergeCell ref="B68:K68"/>
    <mergeCell ref="B69:K69"/>
    <mergeCell ref="C72:K72"/>
    <mergeCell ref="C73:K73"/>
    <mergeCell ref="C74:K74"/>
    <mergeCell ref="C75:K75"/>
    <mergeCell ref="C76:K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52"/>
    <col collapsed="false" customWidth="true" hidden="false" outlineLevel="0" max="14" min="4" style="1" width="16"/>
  </cols>
  <sheetData>
    <row r="2" customFormat="false" ht="15" hidden="false" customHeight="true" outlineLevel="0" collapsed="false">
      <c r="B2" s="3" t="s">
        <v>95</v>
      </c>
    </row>
    <row r="4" customFormat="false" ht="30" hidden="false" customHeight="true" outlineLevel="0" collapsed="false">
      <c r="B4" s="27" t="s">
        <v>96</v>
      </c>
      <c r="C4" s="20" t="s">
        <v>7</v>
      </c>
    </row>
    <row r="5" customFormat="false" ht="15" hidden="false" customHeight="true" outlineLevel="0" collapsed="false">
      <c r="B5" s="27" t="s">
        <v>97</v>
      </c>
      <c r="C5" s="20" t="s">
        <v>98</v>
      </c>
    </row>
    <row r="6" customFormat="false" ht="30" hidden="false" customHeight="true" outlineLevel="0" collapsed="false">
      <c r="B6" s="27" t="s">
        <v>99</v>
      </c>
      <c r="C6" s="20" t="s">
        <v>100</v>
      </c>
    </row>
    <row r="7" customFormat="false" ht="30" hidden="false" customHeight="true" outlineLevel="0" collapsed="false">
      <c r="B7" s="27" t="s">
        <v>101</v>
      </c>
      <c r="C7" s="20" t="s">
        <v>102</v>
      </c>
    </row>
    <row r="8" customFormat="false" ht="30" hidden="false" customHeight="true" outlineLevel="0" collapsed="false">
      <c r="B8" s="27" t="s">
        <v>103</v>
      </c>
      <c r="C8" s="20" t="s">
        <v>9</v>
      </c>
    </row>
    <row r="9" customFormat="false" ht="15" hidden="false" customHeight="true" outlineLevel="0" collapsed="false">
      <c r="B9" s="27" t="s">
        <v>104</v>
      </c>
      <c r="C9" s="20" t="s">
        <v>105</v>
      </c>
    </row>
    <row r="10" customFormat="false" ht="30" hidden="false" customHeight="true" outlineLevel="0" collapsed="false">
      <c r="B10" s="27" t="s">
        <v>106</v>
      </c>
      <c r="C10" s="20" t="s">
        <v>107</v>
      </c>
    </row>
    <row r="11" customFormat="false" ht="15" hidden="false" customHeight="true" outlineLevel="0" collapsed="false">
      <c r="B11" s="27" t="s">
        <v>108</v>
      </c>
      <c r="C11" s="20" t="s">
        <v>109</v>
      </c>
    </row>
    <row r="12" customFormat="false" ht="15" hidden="false" customHeight="true" outlineLevel="0" collapsed="false">
      <c r="B12" s="27" t="s">
        <v>110</v>
      </c>
      <c r="C12" s="20" t="s">
        <v>111</v>
      </c>
    </row>
    <row r="13" customFormat="false" ht="15" hidden="false" customHeight="true" outlineLevel="0" collapsed="false">
      <c r="B13" s="27" t="s">
        <v>112</v>
      </c>
      <c r="C13" s="20" t="s">
        <v>113</v>
      </c>
    </row>
    <row r="14" customFormat="false" ht="15" hidden="false" customHeight="true" outlineLevel="0" collapsed="false">
      <c r="B14" s="27" t="s">
        <v>114</v>
      </c>
      <c r="C14" s="20" t="s">
        <v>115</v>
      </c>
    </row>
    <row r="16" customFormat="false" ht="15" hidden="false" customHeight="true" outlineLevel="0" collapsed="false">
      <c r="B16" s="5" t="s">
        <v>116</v>
      </c>
      <c r="C16" s="6"/>
    </row>
    <row r="17" customFormat="false" ht="23.25" hidden="false" customHeight="true" outlineLevel="0" collapsed="false">
      <c r="B17" s="7" t="s">
        <v>117</v>
      </c>
      <c r="C17" s="20" t="s">
        <v>7</v>
      </c>
    </row>
    <row r="18" customFormat="false" ht="15" hidden="false" customHeight="true" outlineLevel="0" collapsed="false">
      <c r="B18" s="7" t="s">
        <v>118</v>
      </c>
      <c r="C18" s="20" t="s">
        <v>119</v>
      </c>
    </row>
    <row r="19" customFormat="false" ht="15" hidden="false" customHeight="true" outlineLevel="0" collapsed="false">
      <c r="B19" s="7" t="s">
        <v>120</v>
      </c>
      <c r="C19" s="20" t="s">
        <v>121</v>
      </c>
    </row>
    <row r="20" customFormat="false" ht="15" hidden="false" customHeight="true" outlineLevel="0" collapsed="false">
      <c r="B20" s="7" t="s">
        <v>122</v>
      </c>
      <c r="C20" s="20" t="s">
        <v>123</v>
      </c>
    </row>
    <row r="22" customFormat="false" ht="15" hidden="false" customHeight="true" outlineLevel="0" collapsed="false">
      <c r="B22" s="27" t="s">
        <v>124</v>
      </c>
      <c r="C22" s="7" t="s">
        <v>125</v>
      </c>
    </row>
    <row r="23" customFormat="false" ht="15" hidden="false" customHeight="true" outlineLevel="0" collapsed="false">
      <c r="B23" s="7" t="s">
        <v>126</v>
      </c>
      <c r="C23" s="30" t="n">
        <v>12218.0628881788</v>
      </c>
    </row>
    <row r="25" customFormat="false" ht="15" hidden="false" customHeight="true" outlineLevel="0" collapsed="false">
      <c r="B25" s="5" t="s">
        <v>127</v>
      </c>
      <c r="C25" s="6"/>
    </row>
    <row r="26" customFormat="false" ht="15" hidden="false" customHeight="true" outlineLevel="0" collapsed="false">
      <c r="B26" s="20" t="s">
        <v>21</v>
      </c>
      <c r="C26" s="23" t="n">
        <f aca="false">O42</f>
        <v>18191813.9660399</v>
      </c>
    </row>
    <row r="27" customFormat="false" ht="15" hidden="false" customHeight="true" outlineLevel="0" collapsed="false">
      <c r="B27" s="20" t="s">
        <v>128</v>
      </c>
      <c r="C27" s="31" t="n">
        <v>0.07</v>
      </c>
    </row>
    <row r="28" customFormat="false" ht="15" hidden="false" customHeight="true" outlineLevel="0" collapsed="false">
      <c r="B28" s="20" t="s">
        <v>129</v>
      </c>
      <c r="C28" s="32" t="n">
        <v>84</v>
      </c>
    </row>
    <row r="29" customFormat="false" ht="15" hidden="false" customHeight="true" outlineLevel="0" collapsed="false">
      <c r="B29" s="20" t="s">
        <v>130</v>
      </c>
      <c r="C29" s="32" t="n">
        <v>12</v>
      </c>
    </row>
    <row r="30" customFormat="false" ht="15" hidden="false" customHeight="true" outlineLevel="0" collapsed="false">
      <c r="B30" s="20" t="s">
        <v>131</v>
      </c>
      <c r="C30" s="32" t="n">
        <v>12</v>
      </c>
    </row>
    <row r="31" customFormat="false" ht="15" hidden="false" customHeight="true" outlineLevel="0" collapsed="false">
      <c r="B31" s="20" t="s">
        <v>132</v>
      </c>
      <c r="C31" s="33" t="n">
        <v>46388</v>
      </c>
    </row>
    <row r="32" customFormat="false" ht="15" hidden="false" customHeight="true" outlineLevel="0" collapsed="false">
      <c r="B32" s="20" t="s">
        <v>133</v>
      </c>
      <c r="C32" s="32" t="n">
        <v>360</v>
      </c>
    </row>
    <row r="33" customFormat="false" ht="30" hidden="false" customHeight="true" outlineLevel="0" collapsed="false">
      <c r="B33" s="20" t="s">
        <v>134</v>
      </c>
      <c r="C33" s="20" t="s">
        <v>135</v>
      </c>
    </row>
    <row r="34" customFormat="false" ht="30" hidden="false" customHeight="true" outlineLevel="0" collapsed="false">
      <c r="B34" s="20" t="s">
        <v>136</v>
      </c>
      <c r="C34" s="20" t="s">
        <v>137</v>
      </c>
    </row>
    <row r="35" customFormat="false" ht="30" hidden="false" customHeight="true" outlineLevel="0" collapsed="false">
      <c r="B35" s="20" t="s">
        <v>28</v>
      </c>
      <c r="C35" s="20" t="s">
        <v>138</v>
      </c>
    </row>
    <row r="36" customFormat="false" ht="15" hidden="false" customHeight="true" outlineLevel="0" collapsed="false">
      <c r="B36" s="20" t="s">
        <v>139</v>
      </c>
      <c r="C36" s="31" t="n">
        <v>0.01</v>
      </c>
    </row>
    <row r="38" customFormat="false" ht="15" hidden="false" customHeight="true" outlineLevel="0" collapsed="false">
      <c r="B38" s="34" t="s">
        <v>140</v>
      </c>
    </row>
    <row r="39" customFormat="false" ht="45" hidden="false" customHeight="true" outlineLevel="0" collapsed="false">
      <c r="B39" s="19" t="s">
        <v>141</v>
      </c>
      <c r="C39" s="19" t="s">
        <v>142</v>
      </c>
      <c r="D39" s="19" t="s">
        <v>143</v>
      </c>
      <c r="E39" s="19" t="s">
        <v>144</v>
      </c>
      <c r="F39" s="19" t="s">
        <v>145</v>
      </c>
      <c r="G39" s="19" t="s">
        <v>146</v>
      </c>
      <c r="H39" s="19" t="s">
        <v>147</v>
      </c>
      <c r="I39" s="19" t="s">
        <v>148</v>
      </c>
      <c r="J39" s="19" t="s">
        <v>149</v>
      </c>
      <c r="K39" s="19" t="s">
        <v>150</v>
      </c>
      <c r="L39" s="19" t="s">
        <v>151</v>
      </c>
      <c r="M39" s="19" t="s">
        <v>152</v>
      </c>
      <c r="N39" s="19" t="s">
        <v>153</v>
      </c>
      <c r="O39" s="19" t="s">
        <v>154</v>
      </c>
    </row>
    <row r="40" customFormat="false" ht="42" hidden="false" customHeight="true" outlineLevel="0" collapsed="false">
      <c r="B40" s="20" t="s">
        <v>155</v>
      </c>
      <c r="C40" s="20" t="s">
        <v>156</v>
      </c>
      <c r="D40" s="35" t="n">
        <v>158</v>
      </c>
      <c r="E40" s="36" t="n">
        <v>116.0322968</v>
      </c>
      <c r="F40" s="36" t="n">
        <v>532.896</v>
      </c>
      <c r="G40" s="36" t="n">
        <v>1041.567375</v>
      </c>
      <c r="H40" s="30" t="n">
        <f aca="false">E40+F40+G40</f>
        <v>1690.4956718</v>
      </c>
      <c r="I40" s="37" t="n">
        <v>12.2</v>
      </c>
      <c r="J40" s="30" t="n">
        <f aca="false">H40/I40</f>
        <v>138.565219</v>
      </c>
      <c r="K40" s="30" t="n">
        <f aca="false">H40*30%</f>
        <v>507.14870154</v>
      </c>
      <c r="L40" s="38" t="n">
        <v>11.838</v>
      </c>
      <c r="M40" s="30" t="n">
        <f aca="false">K40/L40</f>
        <v>42.8407418094273</v>
      </c>
      <c r="N40" s="14" t="n">
        <f aca="false">M40/$M$43</f>
        <v>0.548511491521257</v>
      </c>
      <c r="O40" s="13" t="n">
        <f aca="false">N40*$O$44</f>
        <v>42783896.3386581</v>
      </c>
    </row>
    <row r="41" customFormat="false" ht="42" hidden="false" customHeight="true" outlineLevel="0" collapsed="false">
      <c r="B41" s="20" t="s">
        <v>157</v>
      </c>
      <c r="C41" s="20" t="s">
        <v>158</v>
      </c>
      <c r="D41" s="35" t="n">
        <v>80</v>
      </c>
      <c r="E41" s="36" t="n">
        <v>25.272</v>
      </c>
      <c r="F41" s="36" t="n">
        <v>293.4</v>
      </c>
      <c r="G41" s="36" t="n">
        <v>353.99904</v>
      </c>
      <c r="H41" s="30" t="n">
        <f aca="false">E41+F41+G41</f>
        <v>672.67104</v>
      </c>
      <c r="I41" s="37" t="n">
        <v>12</v>
      </c>
      <c r="J41" s="30" t="n">
        <f aca="false">H41/I41</f>
        <v>56.05592</v>
      </c>
      <c r="K41" s="30" t="n">
        <f aca="false">H41*30%</f>
        <v>201.801312</v>
      </c>
      <c r="L41" s="38" t="n">
        <v>11.838</v>
      </c>
      <c r="M41" s="30" t="n">
        <f aca="false">K41/L41</f>
        <v>17.0469092752154</v>
      </c>
      <c r="N41" s="14" t="n">
        <f aca="false">M41/$M$43</f>
        <v>0.218260124298743</v>
      </c>
      <c r="O41" s="13" t="n">
        <f aca="false">N41*$O$44</f>
        <v>17024289.695302</v>
      </c>
    </row>
    <row r="42" customFormat="false" ht="42" hidden="false" customHeight="true" outlineLevel="0" collapsed="false">
      <c r="B42" s="39" t="s">
        <v>1</v>
      </c>
      <c r="C42" s="40" t="s">
        <v>105</v>
      </c>
      <c r="D42" s="41" t="n">
        <v>65</v>
      </c>
      <c r="E42" s="42" t="n">
        <v>25.35648</v>
      </c>
      <c r="F42" s="42" t="n">
        <v>251.13528</v>
      </c>
      <c r="G42" s="42" t="n">
        <v>442.311</v>
      </c>
      <c r="H42" s="43" t="n">
        <f aca="false">E42+F42+G42</f>
        <v>718.80276</v>
      </c>
      <c r="I42" s="44" t="n">
        <v>12</v>
      </c>
      <c r="J42" s="43" t="n">
        <f aca="false">H42/I42</f>
        <v>59.90023</v>
      </c>
      <c r="K42" s="43" t="n">
        <f aca="false">H42*30%</f>
        <v>215.640828</v>
      </c>
      <c r="L42" s="45" t="n">
        <v>11.838</v>
      </c>
      <c r="M42" s="43" t="n">
        <f aca="false">K42/L42</f>
        <v>18.2159847947288</v>
      </c>
      <c r="N42" s="46" t="n">
        <f aca="false">M42/$M$43</f>
        <v>0.233228384179999</v>
      </c>
      <c r="O42" s="47" t="n">
        <f aca="false">N42*$O$44</f>
        <v>18191813.9660399</v>
      </c>
    </row>
    <row r="43" customFormat="false" ht="15" hidden="false" customHeight="true" outlineLevel="0" collapsed="false">
      <c r="B43" s="11" t="s">
        <v>159</v>
      </c>
      <c r="C43" s="48"/>
      <c r="D43" s="49" t="n">
        <f aca="false">SUM(D40:D42)</f>
        <v>303</v>
      </c>
      <c r="E43" s="48" t="n">
        <f aca="false">SUM(E40:E42)</f>
        <v>166.6607768</v>
      </c>
      <c r="F43" s="48" t="n">
        <f aca="false">SUM(F40:F42)</f>
        <v>1077.43128</v>
      </c>
      <c r="G43" s="48" t="n">
        <f aca="false">SUM(G40:G42)</f>
        <v>1837.877415</v>
      </c>
      <c r="H43" s="48" t="n">
        <f aca="false">SUM(H40:H42)</f>
        <v>3081.9694718</v>
      </c>
      <c r="I43" s="48"/>
      <c r="J43" s="48" t="n">
        <f aca="false">SUM(J40:J42)</f>
        <v>254.521369</v>
      </c>
      <c r="K43" s="48" t="n">
        <f aca="false">SUM(K40:K42)</f>
        <v>924.59084154</v>
      </c>
      <c r="L43" s="48"/>
      <c r="M43" s="48" t="n">
        <f aca="false">SUM(M40:M42)</f>
        <v>78.1036358793715</v>
      </c>
      <c r="N43" s="50" t="n">
        <f aca="false">SUM(N40:N42)</f>
        <v>1</v>
      </c>
      <c r="O43" s="49" t="n">
        <f aca="false">SUM(O40:O42)</f>
        <v>78000000</v>
      </c>
    </row>
    <row r="44" customFormat="false" ht="15" hidden="false" customHeight="true" outlineLevel="0" collapsed="false">
      <c r="N44" s="27" t="s">
        <v>160</v>
      </c>
      <c r="O44" s="51" t="n">
        <v>78000000</v>
      </c>
    </row>
    <row r="46" customFormat="false" ht="15" hidden="false" customHeight="true" outlineLevel="0" collapsed="false">
      <c r="B46" s="4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0"/>
    <col collapsed="false" customWidth="true" hidden="false" outlineLevel="0" max="5" min="3" style="1" width="16"/>
    <col collapsed="false" customWidth="true" hidden="false" outlineLevel="0" max="6" min="6" style="1" width="12"/>
    <col collapsed="false" customWidth="true" hidden="false" outlineLevel="0" max="7" min="7" style="1" width="4"/>
    <col collapsed="false" customWidth="true" hidden="false" outlineLevel="0" max="8" min="8" style="1" width="58"/>
  </cols>
  <sheetData>
    <row r="2" customFormat="false" ht="15" hidden="false" customHeight="true" outlineLevel="0" collapsed="false">
      <c r="B2" s="3" t="s">
        <v>162</v>
      </c>
      <c r="F2" s="52" t="s">
        <v>163</v>
      </c>
    </row>
    <row r="3" customFormat="false" ht="15" hidden="false" customHeight="true" outlineLevel="0" collapsed="false">
      <c r="B3" s="53" t="s">
        <v>164</v>
      </c>
    </row>
    <row r="4" customFormat="false" ht="30" hidden="false" customHeight="true" outlineLevel="0" collapsed="false">
      <c r="B4" s="19" t="s">
        <v>165</v>
      </c>
      <c r="C4" s="19" t="s">
        <v>166</v>
      </c>
      <c r="D4" s="19" t="s">
        <v>167</v>
      </c>
      <c r="E4" s="19" t="s">
        <v>168</v>
      </c>
      <c r="F4" s="19" t="s">
        <v>169</v>
      </c>
    </row>
    <row r="5" customFormat="false" ht="15" hidden="false" customHeight="true" outlineLevel="0" collapsed="false">
      <c r="B5" s="11" t="s">
        <v>170</v>
      </c>
      <c r="C5" s="49" t="n">
        <f aca="false">SUM(C6:C8)</f>
        <v>0</v>
      </c>
      <c r="D5" s="49" t="n">
        <f aca="false">SUM(D6:D8)</f>
        <v>54094705.5866072</v>
      </c>
      <c r="E5" s="49" t="n">
        <f aca="false">SUM(E6:E8)</f>
        <v>54094705.5866072</v>
      </c>
      <c r="F5" s="24" t="n">
        <f aca="false">IFERROR(E5/$E$20,0)</f>
        <v>0.782320470011164</v>
      </c>
    </row>
    <row r="6" customFormat="false" ht="15" hidden="false" customHeight="true" outlineLevel="0" collapsed="false">
      <c r="B6" s="7" t="s">
        <v>171</v>
      </c>
      <c r="C6" s="13" t="n">
        <f aca="false">0</f>
        <v>0</v>
      </c>
      <c r="D6" s="13" t="n">
        <v>35274145.3571429</v>
      </c>
      <c r="E6" s="13" t="n">
        <f aca="false">C6+D6</f>
        <v>35274145.3571429</v>
      </c>
      <c r="F6" s="14" t="n">
        <f aca="false">IFERROR(E6/$E$20,0)</f>
        <v>0.510136540642793</v>
      </c>
    </row>
    <row r="7" customFormat="false" ht="15" hidden="false" customHeight="true" outlineLevel="0" collapsed="false">
      <c r="B7" s="7" t="s">
        <v>172</v>
      </c>
      <c r="C7" s="13" t="n">
        <f aca="false">0</f>
        <v>0</v>
      </c>
      <c r="D7" s="13" t="n">
        <v>16465650.1394445</v>
      </c>
      <c r="E7" s="13" t="n">
        <f aca="false">C7+D7</f>
        <v>16465650.1394445</v>
      </c>
      <c r="F7" s="14" t="n">
        <f aca="false">IFERROR(E7/$E$20,0)</f>
        <v>0.238127096107513</v>
      </c>
    </row>
    <row r="8" customFormat="false" ht="15" hidden="false" customHeight="true" outlineLevel="0" collapsed="false">
      <c r="B8" s="7" t="s">
        <v>173</v>
      </c>
      <c r="C8" s="13" t="n">
        <f aca="false">0</f>
        <v>0</v>
      </c>
      <c r="D8" s="13" t="n">
        <v>2354910.09001976</v>
      </c>
      <c r="E8" s="13" t="n">
        <f aca="false">C8+D8</f>
        <v>2354910.09001976</v>
      </c>
      <c r="F8" s="14" t="n">
        <f aca="false">IFERROR(E8/$E$20,0)</f>
        <v>0.0340568332608581</v>
      </c>
    </row>
    <row r="9" customFormat="false" ht="15" hidden="false" customHeight="true" outlineLevel="0" collapsed="false">
      <c r="B9" s="11" t="s">
        <v>174</v>
      </c>
      <c r="C9" s="49" t="n">
        <f aca="false">SUM(C10:C14)</f>
        <v>8872986.9035555</v>
      </c>
      <c r="D9" s="49" t="n">
        <f aca="false">SUM(D10:D14)</f>
        <v>3511500.37585394</v>
      </c>
      <c r="E9" s="49" t="n">
        <f aca="false">SUM(E10:E14)</f>
        <v>12384487.2794094</v>
      </c>
      <c r="F9" s="24" t="n">
        <f aca="false">IFERROR(E9/$E$20,0)</f>
        <v>0.179105104727173</v>
      </c>
    </row>
    <row r="10" customFormat="false" ht="15" hidden="false" customHeight="true" outlineLevel="0" collapsed="false">
      <c r="B10" s="7" t="s">
        <v>175</v>
      </c>
      <c r="C10" s="13" t="n">
        <v>1919043.57801892</v>
      </c>
      <c r="D10" s="13" t="n">
        <v>0</v>
      </c>
      <c r="E10" s="13" t="n">
        <f aca="false">C10+D10</f>
        <v>1919043.57801892</v>
      </c>
      <c r="F10" s="14" t="n">
        <f aca="false">IFERROR(E10/$E$20,0)</f>
        <v>0.0277533088986691</v>
      </c>
    </row>
    <row r="11" customFormat="false" ht="15" hidden="false" customHeight="true" outlineLevel="0" collapsed="false">
      <c r="B11" s="7" t="s">
        <v>176</v>
      </c>
      <c r="C11" s="13" t="n">
        <v>0</v>
      </c>
      <c r="D11" s="13" t="n">
        <v>3511500.37585394</v>
      </c>
      <c r="E11" s="13" t="n">
        <f aca="false">C11+D11</f>
        <v>3511500.37585394</v>
      </c>
      <c r="F11" s="14" t="n">
        <f aca="false">IFERROR(E11/$E$20,0)</f>
        <v>0.0507835026495193</v>
      </c>
    </row>
    <row r="12" customFormat="false" ht="15" hidden="false" customHeight="true" outlineLevel="0" collapsed="false">
      <c r="B12" s="7" t="s">
        <v>177</v>
      </c>
      <c r="C12" s="13" t="n">
        <v>7100743.0942289</v>
      </c>
      <c r="D12" s="13" t="n">
        <v>0</v>
      </c>
      <c r="E12" s="13" t="n">
        <f aca="false">C12+D12</f>
        <v>7100743.0942289</v>
      </c>
      <c r="F12" s="14" t="n">
        <f aca="false">IFERROR(E12/$E$20,0)</f>
        <v>0.102691319134954</v>
      </c>
    </row>
    <row r="13" customFormat="false" ht="15" hidden="false" customHeight="true" outlineLevel="0" collapsed="false">
      <c r="B13" s="7" t="s">
        <v>178</v>
      </c>
      <c r="C13" s="13" t="n">
        <v>0</v>
      </c>
      <c r="D13" s="13" t="n">
        <v>0</v>
      </c>
      <c r="E13" s="13" t="n">
        <f aca="false">C13+D13</f>
        <v>0</v>
      </c>
      <c r="F13" s="14" t="n">
        <f aca="false">IFERROR(E13/$E$20,0)</f>
        <v>0</v>
      </c>
    </row>
    <row r="14" customFormat="false" ht="15" hidden="false" customHeight="true" outlineLevel="0" collapsed="false">
      <c r="B14" s="7" t="s">
        <v>179</v>
      </c>
      <c r="C14" s="13" t="n">
        <v>-146799.768692324</v>
      </c>
      <c r="D14" s="13" t="n">
        <v>0</v>
      </c>
      <c r="E14" s="13" t="n">
        <f aca="false">C14+D14</f>
        <v>-146799.768692324</v>
      </c>
      <c r="F14" s="14" t="n">
        <f aca="false">IFERROR(E14/$E$20,0)</f>
        <v>-0.00212302595596975</v>
      </c>
    </row>
    <row r="15" customFormat="false" ht="15" hidden="false" customHeight="true" outlineLevel="0" collapsed="false">
      <c r="B15" s="11" t="s">
        <v>180</v>
      </c>
      <c r="C15" s="49" t="n">
        <f aca="false">SUM(C16:C17)</f>
        <v>1194254.06524685</v>
      </c>
      <c r="D15" s="49" t="n">
        <f aca="false">SUM(D16:D17)</f>
        <v>1291113.46342311</v>
      </c>
      <c r="E15" s="49" t="n">
        <f aca="false">SUM(E16:E17)</f>
        <v>2485367.52866996</v>
      </c>
      <c r="F15" s="24" t="n">
        <f aca="false">IFERROR(E15/$E$20,0)</f>
        <v>0.0359435155824373</v>
      </c>
    </row>
    <row r="16" customFormat="false" ht="15" hidden="false" customHeight="true" outlineLevel="0" collapsed="false">
      <c r="B16" s="7" t="s">
        <v>181</v>
      </c>
      <c r="C16" s="13" t="n">
        <v>0</v>
      </c>
      <c r="D16" s="13" t="n">
        <f aca="false">LOANS!$C$106</f>
        <v>1291113.46342311</v>
      </c>
      <c r="E16" s="13" t="n">
        <f aca="false">C16+D16</f>
        <v>1291113.46342311</v>
      </c>
      <c r="F16" s="14" t="n">
        <f aca="false">IFERROR(E16/$E$20,0)</f>
        <v>0.0186721506400616</v>
      </c>
    </row>
    <row r="17" customFormat="false" ht="15" hidden="false" customHeight="true" outlineLevel="0" collapsed="false">
      <c r="B17" s="7" t="s">
        <v>182</v>
      </c>
      <c r="C17" s="13" t="n">
        <v>1194254.06524685</v>
      </c>
      <c r="D17" s="13" t="n">
        <v>0</v>
      </c>
      <c r="E17" s="13" t="n">
        <f aca="false">C17+D17</f>
        <v>1194254.06524685</v>
      </c>
      <c r="F17" s="14" t="n">
        <f aca="false">IFERROR(E17/$E$20,0)</f>
        <v>0.0172713649423756</v>
      </c>
    </row>
    <row r="18" customFormat="false" ht="15" hidden="false" customHeight="true" outlineLevel="0" collapsed="false">
      <c r="B18" s="11" t="s">
        <v>183</v>
      </c>
      <c r="C18" s="54" t="n">
        <v>0</v>
      </c>
      <c r="D18" s="49" t="n">
        <f aca="false">ИНФОРМАЦИЯ!$C$26*ИНФОРМАЦИЯ!$C$36</f>
        <v>181918.139660399</v>
      </c>
      <c r="E18" s="49" t="n">
        <f aca="false">C18+D18</f>
        <v>181918.139660399</v>
      </c>
      <c r="F18" s="24" t="n">
        <f aca="false">IFERROR(E18/$E$20,0)</f>
        <v>0.0026309096792259</v>
      </c>
    </row>
    <row r="20" customFormat="false" ht="15" hidden="false" customHeight="true" outlineLevel="0" collapsed="false">
      <c r="B20" s="15" t="s">
        <v>184</v>
      </c>
      <c r="C20" s="16" t="n">
        <f aca="false">C5+C9+C15+C18</f>
        <v>10067240.9688023</v>
      </c>
      <c r="D20" s="16" t="n">
        <f aca="false">D5+D9+D15+D18</f>
        <v>59079237.5655446</v>
      </c>
      <c r="E20" s="16" t="n">
        <f aca="false">E5+E9+E15+E18</f>
        <v>69146478.534347</v>
      </c>
      <c r="F20" s="24" t="n">
        <f aca="false">IFERROR(E20/$E$20,0)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5" min="3" style="1" width="16"/>
    <col collapsed="false" customWidth="true" hidden="false" outlineLevel="0" max="7" min="6" style="1" width="12"/>
  </cols>
  <sheetData>
    <row r="2" customFormat="false" ht="15" hidden="false" customHeight="true" outlineLevel="0" collapsed="false">
      <c r="B2" s="3" t="s">
        <v>185</v>
      </c>
      <c r="G2" s="52" t="s">
        <v>186</v>
      </c>
    </row>
    <row r="4" customFormat="false" ht="30" hidden="false" customHeight="true" outlineLevel="0" collapsed="false">
      <c r="B4" s="19" t="s">
        <v>42</v>
      </c>
      <c r="C4" s="19" t="s">
        <v>166</v>
      </c>
      <c r="D4" s="19" t="s">
        <v>187</v>
      </c>
      <c r="E4" s="19" t="s">
        <v>168</v>
      </c>
      <c r="F4" s="19" t="s">
        <v>169</v>
      </c>
      <c r="G4" s="19" t="s">
        <v>188</v>
      </c>
    </row>
    <row r="5" customFormat="false" ht="15" hidden="false" customHeight="true" outlineLevel="0" collapsed="false">
      <c r="B5" s="27" t="s">
        <v>189</v>
      </c>
    </row>
    <row r="6" customFormat="false" ht="15" hidden="false" customHeight="true" outlineLevel="0" collapsed="false">
      <c r="B6" s="55" t="s">
        <v>7</v>
      </c>
    </row>
    <row r="7" customFormat="false" ht="15" hidden="false" customHeight="true" outlineLevel="0" collapsed="false">
      <c r="B7" s="20" t="s">
        <v>34</v>
      </c>
      <c r="C7" s="13" t="n">
        <f aca="false">'Share of costs'!C6</f>
        <v>0</v>
      </c>
      <c r="D7" s="13" t="n">
        <f aca="false">'Share of costs'!D6</f>
        <v>35902891.6205672</v>
      </c>
      <c r="E7" s="13" t="n">
        <f aca="false">C7+D7</f>
        <v>35902891.6205672</v>
      </c>
      <c r="F7" s="14" t="n">
        <f aca="false">IFERROR(E7/$E$10,0)</f>
        <v>0.704604611270432</v>
      </c>
    </row>
    <row r="8" customFormat="false" ht="15" hidden="false" customHeight="true" outlineLevel="0" collapsed="false">
      <c r="B8" s="20" t="s">
        <v>35</v>
      </c>
      <c r="C8" s="13" t="n">
        <f aca="false">'Share of costs'!C10</f>
        <v>8872986.9035555</v>
      </c>
      <c r="D8" s="13" t="n">
        <f aca="false">'Share of costs'!D10</f>
        <v>3511500.37585394</v>
      </c>
      <c r="E8" s="13" t="n">
        <f aca="false">C8+D8</f>
        <v>12384487.2794094</v>
      </c>
      <c r="F8" s="14" t="n">
        <f aca="false">IFERROR(E8/$E$10,0)</f>
        <v>0.243049137587933</v>
      </c>
    </row>
    <row r="9" customFormat="false" ht="23.25" hidden="false" customHeight="true" outlineLevel="0" collapsed="false">
      <c r="B9" s="20" t="s">
        <v>190</v>
      </c>
      <c r="C9" s="13" t="n">
        <f aca="false">'Share of costs'!C11+'Share of costs'!C14</f>
        <v>1194254.06524685</v>
      </c>
      <c r="D9" s="13" t="n">
        <f aca="false">'Share of costs'!D11+'Share of costs'!D14</f>
        <v>1473031.60308351</v>
      </c>
      <c r="E9" s="13" t="n">
        <f aca="false">C9+D9</f>
        <v>2667285.66833036</v>
      </c>
      <c r="F9" s="14" t="n">
        <f aca="false">IFERROR(E9/$E$10,0)</f>
        <v>0.0523462511416348</v>
      </c>
    </row>
    <row r="10" customFormat="false" ht="15" hidden="false" customHeight="true" outlineLevel="0" collapsed="false">
      <c r="B10" s="11" t="s">
        <v>168</v>
      </c>
      <c r="C10" s="49" t="n">
        <f aca="false">SUM(C7:C9)</f>
        <v>10067240.9688023</v>
      </c>
      <c r="D10" s="49" t="n">
        <f aca="false">SUM(D7:D9)</f>
        <v>40887423.5995047</v>
      </c>
      <c r="E10" s="49" t="n">
        <f aca="false">SUM(E7:E9)</f>
        <v>50954664.568307</v>
      </c>
      <c r="F10" s="50" t="n">
        <f aca="false">IFERROR(E10/$E$10,0)</f>
        <v>1</v>
      </c>
      <c r="G10" s="50" t="n">
        <f aca="false">IFERROR(E10/$E$15,0)</f>
        <v>0.73690903207741</v>
      </c>
    </row>
    <row r="11" customFormat="false" ht="15" hidden="false" customHeight="true" outlineLevel="0" collapsed="false">
      <c r="B11" s="27" t="s">
        <v>191</v>
      </c>
    </row>
    <row r="12" customFormat="false" ht="15" hidden="false" customHeight="true" outlineLevel="0" collapsed="false">
      <c r="B12" s="7" t="s">
        <v>192</v>
      </c>
      <c r="C12" s="13" t="n">
        <f aca="false">C13</f>
        <v>0</v>
      </c>
      <c r="D12" s="13" t="n">
        <f aca="false">D13</f>
        <v>18191813.96604</v>
      </c>
      <c r="E12" s="13" t="n">
        <f aca="false">C12+D12</f>
        <v>18191813.96604</v>
      </c>
      <c r="F12" s="14" t="n">
        <f aca="false">IFERROR(E12/$E$14,0)</f>
        <v>1</v>
      </c>
    </row>
    <row r="13" customFormat="false" ht="15" hidden="false" customHeight="true" outlineLevel="0" collapsed="false">
      <c r="B13" s="7" t="s">
        <v>193</v>
      </c>
      <c r="C13" s="13" t="n">
        <f aca="false">'Share of costs'!E6</f>
        <v>0</v>
      </c>
      <c r="D13" s="13" t="n">
        <f aca="false">'Share of costs'!F6</f>
        <v>18191813.96604</v>
      </c>
      <c r="E13" s="13" t="n">
        <f aca="false">C13+D13</f>
        <v>18191813.96604</v>
      </c>
      <c r="F13" s="14" t="n">
        <f aca="false">IFERROR(E13/$E$14,0)</f>
        <v>1</v>
      </c>
    </row>
    <row r="14" customFormat="false" ht="15" hidden="false" customHeight="true" outlineLevel="0" collapsed="false">
      <c r="B14" s="11" t="s">
        <v>168</v>
      </c>
      <c r="C14" s="49" t="n">
        <f aca="false">C12</f>
        <v>0</v>
      </c>
      <c r="D14" s="49" t="n">
        <f aca="false">D12</f>
        <v>18191813.96604</v>
      </c>
      <c r="E14" s="49" t="n">
        <f aca="false">E12</f>
        <v>18191813.96604</v>
      </c>
      <c r="F14" s="50" t="n">
        <f aca="false">IFERROR(E14/$E$14,0)</f>
        <v>1</v>
      </c>
      <c r="G14" s="50" t="n">
        <f aca="false">IFERROR(E14/$E$15,0)</f>
        <v>0.26309096792259</v>
      </c>
    </row>
    <row r="15" customFormat="false" ht="15" hidden="false" customHeight="true" outlineLevel="0" collapsed="false">
      <c r="B15" s="15" t="s">
        <v>194</v>
      </c>
      <c r="C15" s="16" t="n">
        <f aca="false">C14+C10</f>
        <v>10067240.9688023</v>
      </c>
      <c r="D15" s="16" t="n">
        <f aca="false">D14+D10</f>
        <v>59079237.5655446</v>
      </c>
      <c r="E15" s="16" t="n">
        <f aca="false">E14+E10</f>
        <v>69146478.534347</v>
      </c>
      <c r="G15" s="17" t="n">
        <f aca="false">IFERROR(E15/$E$15,0)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9" min="3" style="1" width="15"/>
  </cols>
  <sheetData>
    <row r="2" customFormat="false" ht="15" hidden="false" customHeight="true" outlineLevel="0" collapsed="false">
      <c r="B2" s="3" t="s">
        <v>195</v>
      </c>
      <c r="H2" s="52" t="s">
        <v>196</v>
      </c>
    </row>
    <row r="4" customFormat="false" ht="15" hidden="false" customHeight="true" outlineLevel="0" collapsed="false">
      <c r="B4" s="18" t="s">
        <v>165</v>
      </c>
      <c r="C4" s="56" t="s">
        <v>39</v>
      </c>
      <c r="D4" s="56"/>
      <c r="E4" s="56" t="s">
        <v>40</v>
      </c>
      <c r="F4" s="56"/>
      <c r="G4" s="56" t="s">
        <v>197</v>
      </c>
      <c r="H4" s="56"/>
    </row>
    <row r="5" customFormat="false" ht="27.75" hidden="false" customHeight="true" outlineLevel="0" collapsed="false">
      <c r="B5" s="6"/>
      <c r="C5" s="19" t="s">
        <v>198</v>
      </c>
      <c r="D5" s="19" t="s">
        <v>199</v>
      </c>
      <c r="E5" s="19" t="s">
        <v>198</v>
      </c>
      <c r="F5" s="19" t="s">
        <v>199</v>
      </c>
      <c r="G5" s="19" t="s">
        <v>198</v>
      </c>
      <c r="H5" s="19" t="s">
        <v>199</v>
      </c>
    </row>
    <row r="6" customFormat="false" ht="15" hidden="false" customHeight="true" outlineLevel="0" collapsed="false">
      <c r="B6" s="11" t="s">
        <v>170</v>
      </c>
      <c r="C6" s="49" t="n">
        <f aca="false">SUM(C7:C9)</f>
        <v>0</v>
      </c>
      <c r="D6" s="49" t="n">
        <f aca="false">SUM(D7:D9)</f>
        <v>35902891.6205672</v>
      </c>
      <c r="E6" s="49" t="n">
        <f aca="false">SUM(E7:E9)</f>
        <v>0</v>
      </c>
      <c r="F6" s="49" t="n">
        <f aca="false">SUM(F7:F9)</f>
        <v>18191813.96604</v>
      </c>
      <c r="G6" s="49" t="n">
        <f aca="false">SUM(G7:G9)</f>
        <v>0</v>
      </c>
      <c r="H6" s="49" t="n">
        <f aca="false">SUM(H7:H9)</f>
        <v>54094705.5866072</v>
      </c>
    </row>
    <row r="7" customFormat="false" ht="15" hidden="false" customHeight="true" outlineLevel="0" collapsed="false">
      <c r="B7" s="7" t="s">
        <v>171</v>
      </c>
      <c r="C7" s="13" t="n">
        <f aca="false">ProjCost!$C$6</f>
        <v>0</v>
      </c>
      <c r="D7" s="13" t="n">
        <f aca="false">ProjCost!$D$6-F7</f>
        <v>23438186.6386111</v>
      </c>
      <c r="E7" s="13" t="n">
        <v>0</v>
      </c>
      <c r="F7" s="13" t="n">
        <f aca="false">ИНФОРМАЦИЯ!$C$26*(1-ИНФОРМАЦИЯ!$F$42/ИНФОРМАЦИЯ!$H$42)*ProjCost!$E$6/(ProjCost!$E$6)</f>
        <v>11835958.7185318</v>
      </c>
      <c r="G7" s="13" t="n">
        <f aca="false">C7+E7</f>
        <v>0</v>
      </c>
      <c r="H7" s="13" t="n">
        <f aca="false">D7+F7</f>
        <v>35274145.3571429</v>
      </c>
    </row>
    <row r="8" customFormat="false" ht="15" hidden="false" customHeight="true" outlineLevel="0" collapsed="false">
      <c r="B8" s="7" t="s">
        <v>172</v>
      </c>
      <c r="C8" s="13" t="n">
        <f aca="false">ProjCost!$C$7</f>
        <v>0</v>
      </c>
      <c r="D8" s="13" t="n">
        <f aca="false">ProjCost!$D$7-F8</f>
        <v>10905067.0554945</v>
      </c>
      <c r="E8" s="13" t="n">
        <v>0</v>
      </c>
      <c r="F8" s="13" t="n">
        <f aca="false">ИНФОРМАЦИЯ!$C$26*ИНФОРМАЦИЯ!$F$42/ИНФОРМАЦИЯ!$H$42*ProjCost!$E$7/(ProjCost!$E$7+ProjCost!$E$8)</f>
        <v>5560583.08395004</v>
      </c>
      <c r="G8" s="13" t="n">
        <f aca="false">C8+E8</f>
        <v>0</v>
      </c>
      <c r="H8" s="13" t="n">
        <f aca="false">D8+F8</f>
        <v>16465650.1394445</v>
      </c>
    </row>
    <row r="9" customFormat="false" ht="15" hidden="false" customHeight="true" outlineLevel="0" collapsed="false">
      <c r="B9" s="7" t="s">
        <v>173</v>
      </c>
      <c r="C9" s="13" t="n">
        <f aca="false">ProjCost!$C$8</f>
        <v>0</v>
      </c>
      <c r="D9" s="13" t="n">
        <f aca="false">ProjCost!$D$8-F9</f>
        <v>1559637.92646164</v>
      </c>
      <c r="E9" s="13" t="n">
        <v>0</v>
      </c>
      <c r="F9" s="13" t="n">
        <f aca="false">ИНФОРМАЦИЯ!$C$26*ИНФОРМАЦИЯ!$F$42/ИНФОРМАЦИЯ!$H$42*ProjCost!$E$8/(ProjCost!$E$7+ProjCost!$E$8)</f>
        <v>795272.163558124</v>
      </c>
      <c r="G9" s="13" t="n">
        <f aca="false">C9+E9</f>
        <v>0</v>
      </c>
      <c r="H9" s="13" t="n">
        <f aca="false">D9+F9</f>
        <v>2354910.09001976</v>
      </c>
    </row>
    <row r="10" customFormat="false" ht="15" hidden="false" customHeight="true" outlineLevel="0" collapsed="false">
      <c r="B10" s="11" t="s">
        <v>200</v>
      </c>
      <c r="C10" s="49" t="n">
        <f aca="false">ProjCost!$C$9</f>
        <v>8872986.9035555</v>
      </c>
      <c r="D10" s="49" t="n">
        <f aca="false">ProjCost!$D$9</f>
        <v>3511500.37585394</v>
      </c>
      <c r="E10" s="54" t="n">
        <v>0</v>
      </c>
      <c r="F10" s="54" t="n">
        <v>0</v>
      </c>
      <c r="G10" s="49" t="n">
        <f aca="false">C10+E10</f>
        <v>8872986.9035555</v>
      </c>
      <c r="H10" s="49" t="n">
        <f aca="false">D10+F10</f>
        <v>3511500.37585394</v>
      </c>
    </row>
    <row r="11" customFormat="false" ht="15" hidden="false" customHeight="true" outlineLevel="0" collapsed="false">
      <c r="B11" s="11" t="s">
        <v>201</v>
      </c>
      <c r="C11" s="49" t="n">
        <f aca="false">ProjCost!$C$15</f>
        <v>1194254.06524685</v>
      </c>
      <c r="D11" s="49" t="n">
        <f aca="false">ProjCost!$D$15</f>
        <v>1291113.46342311</v>
      </c>
      <c r="E11" s="54" t="n">
        <v>0</v>
      </c>
      <c r="F11" s="54" t="n">
        <v>0</v>
      </c>
      <c r="G11" s="49" t="n">
        <f aca="false">C11+E11</f>
        <v>1194254.06524685</v>
      </c>
      <c r="H11" s="49" t="n">
        <f aca="false">D11+F11</f>
        <v>1291113.46342311</v>
      </c>
    </row>
    <row r="12" customFormat="false" ht="15" hidden="false" customHeight="true" outlineLevel="0" collapsed="false">
      <c r="B12" s="7" t="s">
        <v>202</v>
      </c>
      <c r="C12" s="13" t="n">
        <f aca="false">ProjCost!$C$16</f>
        <v>0</v>
      </c>
      <c r="D12" s="13" t="n">
        <f aca="false">ProjCost!$D$16</f>
        <v>1291113.46342311</v>
      </c>
      <c r="E12" s="13" t="n">
        <v>0</v>
      </c>
      <c r="F12" s="13" t="n">
        <v>0</v>
      </c>
      <c r="G12" s="13" t="n">
        <f aca="false">C12+E12</f>
        <v>0</v>
      </c>
      <c r="H12" s="13" t="n">
        <f aca="false">D12+F12</f>
        <v>1291113.46342311</v>
      </c>
    </row>
    <row r="13" customFormat="false" ht="15" hidden="false" customHeight="true" outlineLevel="0" collapsed="false">
      <c r="B13" s="7" t="s">
        <v>203</v>
      </c>
      <c r="C13" s="13" t="n">
        <f aca="false">ProjCost!$C$17</f>
        <v>1194254.06524685</v>
      </c>
      <c r="D13" s="13" t="n">
        <f aca="false">ProjCost!$D$17</f>
        <v>0</v>
      </c>
      <c r="E13" s="13" t="n">
        <v>0</v>
      </c>
      <c r="F13" s="13" t="n">
        <v>0</v>
      </c>
      <c r="G13" s="13" t="n">
        <f aca="false">C13+E13</f>
        <v>1194254.06524685</v>
      </c>
      <c r="H13" s="13" t="n">
        <f aca="false">D13+F13</f>
        <v>0</v>
      </c>
    </row>
    <row r="14" customFormat="false" ht="15" hidden="false" customHeight="true" outlineLevel="0" collapsed="false">
      <c r="B14" s="11" t="s">
        <v>204</v>
      </c>
      <c r="C14" s="49" t="n">
        <f aca="false">ProjCost!$C$18</f>
        <v>0</v>
      </c>
      <c r="D14" s="49" t="n">
        <f aca="false">ProjCost!$D$18</f>
        <v>181918.139660399</v>
      </c>
      <c r="E14" s="54" t="n">
        <v>0</v>
      </c>
      <c r="F14" s="54" t="n">
        <v>0</v>
      </c>
      <c r="G14" s="49" t="n">
        <f aca="false">C14+E14</f>
        <v>0</v>
      </c>
      <c r="H14" s="49" t="n">
        <f aca="false">D14+F14</f>
        <v>181918.139660399</v>
      </c>
    </row>
    <row r="16" customFormat="false" ht="15" hidden="false" customHeight="true" outlineLevel="0" collapsed="false">
      <c r="B16" s="15" t="s">
        <v>184</v>
      </c>
      <c r="C16" s="16" t="n">
        <f aca="false">C6+C10+C11+C14</f>
        <v>10067240.9688023</v>
      </c>
      <c r="D16" s="16" t="n">
        <f aca="false">D6+D10+D11+D14</f>
        <v>40887423.5995047</v>
      </c>
      <c r="E16" s="16" t="n">
        <f aca="false">E6+E10+E11+E14</f>
        <v>0</v>
      </c>
      <c r="F16" s="16" t="n">
        <f aca="false">F6+F10+F11+F14</f>
        <v>18191813.96604</v>
      </c>
      <c r="G16" s="16" t="n">
        <f aca="false">G6+G10+G11+G14</f>
        <v>10067240.9688023</v>
      </c>
      <c r="H16" s="16" t="n">
        <f aca="false">H6+H10+H11+H14</f>
        <v>59079237.5655446</v>
      </c>
    </row>
    <row r="17" customFormat="false" ht="15" hidden="false" customHeight="true" outlineLevel="0" collapsed="false">
      <c r="B17" s="27" t="s">
        <v>205</v>
      </c>
      <c r="C17" s="23" t="n">
        <f aca="false">C16+D16</f>
        <v>50954664.568307</v>
      </c>
      <c r="E17" s="23" t="n">
        <f aca="false">E16+F16</f>
        <v>18191813.96604</v>
      </c>
      <c r="G17" s="23" t="n">
        <f aca="false">G16+H16</f>
        <v>69146478.534347</v>
      </c>
    </row>
    <row r="19" customFormat="false" ht="42" hidden="false" customHeight="true" outlineLevel="0" collapsed="false">
      <c r="B19" s="57" t="s">
        <v>206</v>
      </c>
      <c r="C19" s="57"/>
      <c r="D19" s="57"/>
      <c r="E19" s="57"/>
      <c r="F19" s="57"/>
      <c r="G19" s="57"/>
      <c r="H19" s="57"/>
    </row>
  </sheetData>
  <mergeCells count="4">
    <mergeCell ref="C4:D4"/>
    <mergeCell ref="E4:F4"/>
    <mergeCell ref="G4:H4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30"/>
    <col collapsed="false" customWidth="true" hidden="false" outlineLevel="0" max="4" min="4" style="1" width="15"/>
    <col collapsed="false" customWidth="true" hidden="false" outlineLevel="0" max="6" min="5" style="1" width="9"/>
    <col collapsed="false" customWidth="true" hidden="false" outlineLevel="0" max="14" min="7" style="1" width="14"/>
  </cols>
  <sheetData>
    <row r="2" customFormat="false" ht="15" hidden="false" customHeight="true" outlineLevel="0" collapsed="false">
      <c r="B2" s="3" t="s">
        <v>207</v>
      </c>
      <c r="N2" s="52" t="s">
        <v>208</v>
      </c>
    </row>
    <row r="3" customFormat="false" ht="15" hidden="false" customHeight="true" outlineLevel="0" collapsed="false">
      <c r="B3" s="53" t="s">
        <v>209</v>
      </c>
    </row>
    <row r="5" customFormat="false" ht="30" hidden="false" customHeight="true" outlineLevel="0" collapsed="false">
      <c r="B5" s="19" t="s">
        <v>210</v>
      </c>
      <c r="C5" s="19" t="s">
        <v>211</v>
      </c>
      <c r="D5" s="19" t="s">
        <v>212</v>
      </c>
      <c r="E5" s="19" t="s">
        <v>213</v>
      </c>
      <c r="F5" s="19" t="s">
        <v>214</v>
      </c>
      <c r="G5" s="18" t="s">
        <v>215</v>
      </c>
      <c r="H5" s="18" t="s">
        <v>45</v>
      </c>
      <c r="I5" s="18" t="s">
        <v>46</v>
      </c>
      <c r="J5" s="18" t="s">
        <v>47</v>
      </c>
      <c r="K5" s="18" t="s">
        <v>48</v>
      </c>
      <c r="L5" s="18" t="s">
        <v>49</v>
      </c>
      <c r="M5" s="18" t="s">
        <v>50</v>
      </c>
    </row>
    <row r="6" customFormat="false" ht="15" hidden="false" customHeight="true" outlineLevel="0" collapsed="false">
      <c r="B6" s="6"/>
      <c r="C6" s="6"/>
      <c r="D6" s="6"/>
      <c r="E6" s="6"/>
      <c r="F6" s="6"/>
      <c r="G6" s="18" t="s">
        <v>51</v>
      </c>
      <c r="H6" s="18" t="s">
        <v>52</v>
      </c>
      <c r="I6" s="18" t="s">
        <v>53</v>
      </c>
      <c r="J6" s="18" t="s">
        <v>54</v>
      </c>
      <c r="K6" s="18" t="s">
        <v>55</v>
      </c>
      <c r="L6" s="18" t="s">
        <v>56</v>
      </c>
      <c r="M6" s="18" t="s">
        <v>57</v>
      </c>
    </row>
    <row r="7" customFormat="false" ht="23.25" hidden="false" customHeight="true" outlineLevel="0" collapsed="false">
      <c r="B7" s="20" t="s">
        <v>216</v>
      </c>
      <c r="C7" s="20" t="s">
        <v>171</v>
      </c>
      <c r="D7" s="13" t="n">
        <v>477455.357142857</v>
      </c>
      <c r="E7" s="32" t="n">
        <v>50</v>
      </c>
      <c r="F7" s="14" t="n">
        <f aca="false">1/E7</f>
        <v>0.02</v>
      </c>
      <c r="G7" s="13" t="n">
        <v>2387.27678571429</v>
      </c>
      <c r="H7" s="13" t="n">
        <v>9549.10714285714</v>
      </c>
      <c r="I7" s="13" t="n">
        <v>9549.10714285714</v>
      </c>
      <c r="J7" s="13" t="n">
        <v>9549.10714285714</v>
      </c>
      <c r="K7" s="13" t="n">
        <v>9549.10714285714</v>
      </c>
      <c r="L7" s="13" t="n">
        <v>9549.10714285714</v>
      </c>
      <c r="M7" s="13" t="n">
        <v>9549.10714285714</v>
      </c>
    </row>
    <row r="8" customFormat="false" ht="23.25" hidden="false" customHeight="true" outlineLevel="0" collapsed="false">
      <c r="B8" s="20" t="s">
        <v>217</v>
      </c>
      <c r="C8" s="20" t="s">
        <v>171</v>
      </c>
      <c r="D8" s="13" t="n">
        <v>7979203.0984559</v>
      </c>
      <c r="E8" s="32" t="n">
        <v>50</v>
      </c>
      <c r="F8" s="14" t="n">
        <f aca="false">1/E8</f>
        <v>0.02</v>
      </c>
      <c r="G8" s="13" t="n">
        <v>39896.0154922795</v>
      </c>
      <c r="H8" s="13" t="n">
        <v>159584.061969118</v>
      </c>
      <c r="I8" s="13" t="n">
        <v>159584.061969118</v>
      </c>
      <c r="J8" s="13" t="n">
        <v>159584.061969118</v>
      </c>
      <c r="K8" s="13" t="n">
        <v>159584.061969118</v>
      </c>
      <c r="L8" s="13" t="n">
        <v>159584.061969118</v>
      </c>
      <c r="M8" s="13" t="n">
        <v>159584.061969118</v>
      </c>
    </row>
    <row r="9" customFormat="false" ht="23.25" hidden="false" customHeight="true" outlineLevel="0" collapsed="false">
      <c r="B9" s="20" t="s">
        <v>218</v>
      </c>
      <c r="C9" s="20" t="s">
        <v>171</v>
      </c>
      <c r="D9" s="13" t="n">
        <v>8453466.9015441</v>
      </c>
      <c r="E9" s="32" t="n">
        <v>50</v>
      </c>
      <c r="F9" s="14" t="n">
        <f aca="false">1/E9</f>
        <v>0.02</v>
      </c>
      <c r="G9" s="13" t="n">
        <v>42267.3345077205</v>
      </c>
      <c r="H9" s="13" t="n">
        <v>169069.338030882</v>
      </c>
      <c r="I9" s="13" t="n">
        <v>169069.338030882</v>
      </c>
      <c r="J9" s="13" t="n">
        <v>169069.338030882</v>
      </c>
      <c r="K9" s="13" t="n">
        <v>169069.338030882</v>
      </c>
      <c r="L9" s="13" t="n">
        <v>169069.338030882</v>
      </c>
      <c r="M9" s="13" t="n">
        <v>169069.338030882</v>
      </c>
    </row>
    <row r="10" customFormat="false" ht="23.25" hidden="false" customHeight="true" outlineLevel="0" collapsed="false">
      <c r="B10" s="20" t="s">
        <v>219</v>
      </c>
      <c r="C10" s="20" t="s">
        <v>171</v>
      </c>
      <c r="D10" s="13" t="n">
        <v>8236950</v>
      </c>
      <c r="E10" s="32" t="n">
        <v>50</v>
      </c>
      <c r="F10" s="14" t="n">
        <f aca="false">1/E10</f>
        <v>0.02</v>
      </c>
      <c r="G10" s="13" t="n">
        <v>41184.75</v>
      </c>
      <c r="H10" s="13" t="n">
        <v>164739</v>
      </c>
      <c r="I10" s="13" t="n">
        <v>164739</v>
      </c>
      <c r="J10" s="13" t="n">
        <v>164739</v>
      </c>
      <c r="K10" s="13" t="n">
        <v>164739</v>
      </c>
      <c r="L10" s="13" t="n">
        <v>164739</v>
      </c>
      <c r="M10" s="13" t="n">
        <v>164739</v>
      </c>
    </row>
    <row r="11" customFormat="false" ht="23.25" hidden="false" customHeight="true" outlineLevel="0" collapsed="false">
      <c r="B11" s="20" t="s">
        <v>220</v>
      </c>
      <c r="C11" s="20" t="s">
        <v>171</v>
      </c>
      <c r="D11" s="13" t="n">
        <v>3710280</v>
      </c>
      <c r="E11" s="32" t="n">
        <v>50</v>
      </c>
      <c r="F11" s="14" t="n">
        <f aca="false">1/E11</f>
        <v>0.02</v>
      </c>
      <c r="G11" s="13" t="n">
        <v>18551.4</v>
      </c>
      <c r="H11" s="13" t="n">
        <v>74205.6</v>
      </c>
      <c r="I11" s="13" t="n">
        <v>74205.6</v>
      </c>
      <c r="J11" s="13" t="n">
        <v>74205.6</v>
      </c>
      <c r="K11" s="13" t="n">
        <v>74205.6</v>
      </c>
      <c r="L11" s="13" t="n">
        <v>74205.6</v>
      </c>
      <c r="M11" s="13" t="n">
        <v>74205.6</v>
      </c>
    </row>
    <row r="12" customFormat="false" ht="23.25" hidden="false" customHeight="true" outlineLevel="0" collapsed="false">
      <c r="B12" s="20" t="s">
        <v>221</v>
      </c>
      <c r="C12" s="20" t="s">
        <v>171</v>
      </c>
      <c r="D12" s="13" t="n">
        <v>1473000</v>
      </c>
      <c r="E12" s="32" t="n">
        <v>50</v>
      </c>
      <c r="F12" s="14" t="n">
        <f aca="false">1/E12</f>
        <v>0.02</v>
      </c>
      <c r="G12" s="13" t="n">
        <v>7365</v>
      </c>
      <c r="H12" s="13" t="n">
        <v>29460</v>
      </c>
      <c r="I12" s="13" t="n">
        <v>29460</v>
      </c>
      <c r="J12" s="13" t="n">
        <v>29460</v>
      </c>
      <c r="K12" s="13" t="n">
        <v>29460</v>
      </c>
      <c r="L12" s="13" t="n">
        <v>29460</v>
      </c>
      <c r="M12" s="13" t="n">
        <v>29460</v>
      </c>
    </row>
    <row r="13" customFormat="false" ht="15" hidden="false" customHeight="true" outlineLevel="0" collapsed="false">
      <c r="B13" s="20" t="s">
        <v>222</v>
      </c>
      <c r="C13" s="20" t="s">
        <v>172</v>
      </c>
      <c r="D13" s="13" t="n">
        <v>16330750.624266</v>
      </c>
      <c r="E13" s="32" t="n">
        <v>10</v>
      </c>
      <c r="F13" s="14" t="n">
        <f aca="false">1/E13</f>
        <v>0.1</v>
      </c>
      <c r="G13" s="13" t="n">
        <v>408268.765606649</v>
      </c>
      <c r="H13" s="13" t="n">
        <v>1633075.0624266</v>
      </c>
      <c r="I13" s="13" t="n">
        <v>1633075.0624266</v>
      </c>
      <c r="J13" s="13" t="n">
        <v>1633075.0624266</v>
      </c>
      <c r="K13" s="13" t="n">
        <v>1633075.0624266</v>
      </c>
      <c r="L13" s="13" t="n">
        <v>1633075.0624266</v>
      </c>
      <c r="M13" s="13" t="n">
        <v>1633075.0624266</v>
      </c>
    </row>
    <row r="14" customFormat="false" ht="23.25" hidden="false" customHeight="true" outlineLevel="0" collapsed="false">
      <c r="B14" s="20" t="s">
        <v>223</v>
      </c>
      <c r="C14" s="20" t="s">
        <v>173</v>
      </c>
      <c r="D14" s="13" t="n">
        <v>2354910.09001976</v>
      </c>
      <c r="E14" s="32" t="n">
        <v>10</v>
      </c>
      <c r="F14" s="14" t="n">
        <f aca="false">1/E14</f>
        <v>0.1</v>
      </c>
      <c r="G14" s="13" t="n">
        <v>58872.7522504939</v>
      </c>
      <c r="H14" s="13" t="n">
        <v>235491.009001976</v>
      </c>
      <c r="I14" s="13" t="n">
        <v>235491.009001976</v>
      </c>
      <c r="J14" s="13" t="n">
        <v>235491.009001976</v>
      </c>
      <c r="K14" s="13" t="n">
        <v>235491.009001976</v>
      </c>
      <c r="L14" s="13" t="n">
        <v>235491.009001976</v>
      </c>
      <c r="M14" s="13" t="n">
        <v>235491.009001976</v>
      </c>
    </row>
    <row r="15" customFormat="false" ht="23.25" hidden="false" customHeight="true" outlineLevel="0" collapsed="false">
      <c r="B15" s="20" t="s">
        <v>224</v>
      </c>
      <c r="C15" s="20" t="s">
        <v>171</v>
      </c>
      <c r="D15" s="13" t="n">
        <v>4943790</v>
      </c>
      <c r="E15" s="32" t="n">
        <v>50</v>
      </c>
      <c r="F15" s="14" t="n">
        <f aca="false">1/E15</f>
        <v>0.02</v>
      </c>
      <c r="G15" s="13" t="n">
        <v>24718.95</v>
      </c>
      <c r="H15" s="13" t="n">
        <v>98875.8</v>
      </c>
      <c r="I15" s="13" t="n">
        <v>98875.8</v>
      </c>
      <c r="J15" s="13" t="n">
        <v>98875.8</v>
      </c>
      <c r="K15" s="13" t="n">
        <v>98875.8</v>
      </c>
      <c r="L15" s="13" t="n">
        <v>98875.8</v>
      </c>
      <c r="M15" s="13" t="n">
        <v>98875.8</v>
      </c>
    </row>
    <row r="16" customFormat="false" ht="23.25" hidden="false" customHeight="true" outlineLevel="0" collapsed="false">
      <c r="B16" s="20" t="s">
        <v>225</v>
      </c>
      <c r="C16" s="20" t="s">
        <v>172</v>
      </c>
      <c r="D16" s="13" t="n">
        <v>3372487.87946429</v>
      </c>
      <c r="E16" s="32" t="n">
        <v>10</v>
      </c>
      <c r="F16" s="14" t="n">
        <f aca="false">1/E16</f>
        <v>0.1</v>
      </c>
      <c r="G16" s="13" t="n">
        <v>2248.32525297619</v>
      </c>
      <c r="H16" s="13" t="n">
        <v>67449.7575892857</v>
      </c>
      <c r="I16" s="13" t="n">
        <v>121409.563660714</v>
      </c>
      <c r="J16" s="13" t="n">
        <v>175369.369732143</v>
      </c>
      <c r="K16" s="13" t="n">
        <v>229329.175803571</v>
      </c>
      <c r="L16" s="13" t="n">
        <v>283288.981875</v>
      </c>
      <c r="M16" s="13" t="n">
        <v>337248.787946429</v>
      </c>
    </row>
    <row r="17" customFormat="false" ht="23.25" hidden="false" customHeight="true" outlineLevel="0" collapsed="false">
      <c r="B17" s="20" t="s">
        <v>226</v>
      </c>
      <c r="C17" s="7" t="s">
        <v>227</v>
      </c>
      <c r="D17" s="13" t="n">
        <f aca="false">LOANS!$C$106</f>
        <v>1291113.46342311</v>
      </c>
      <c r="E17" s="58" t="n">
        <v>15</v>
      </c>
      <c r="F17" s="14" t="n">
        <f aca="false">1/E17</f>
        <v>0.0666666666666667</v>
      </c>
      <c r="G17" s="13" t="n">
        <v>21518.5577237185</v>
      </c>
      <c r="H17" s="13" t="n">
        <f aca="false">D17/E17</f>
        <v>86074.2308948742</v>
      </c>
      <c r="I17" s="13" t="n">
        <f aca="false">D17/E17</f>
        <v>86074.2308948742</v>
      </c>
      <c r="J17" s="13" t="n">
        <f aca="false">D17/E17</f>
        <v>86074.2308948742</v>
      </c>
      <c r="K17" s="13" t="n">
        <f aca="false">D17/E17</f>
        <v>86074.2308948742</v>
      </c>
      <c r="L17" s="13" t="n">
        <f aca="false">D17/E17</f>
        <v>86074.2308948742</v>
      </c>
      <c r="M17" s="13" t="n">
        <f aca="false">D17/E17</f>
        <v>86074.2308948742</v>
      </c>
    </row>
    <row r="18" customFormat="false" ht="15" hidden="false" customHeight="true" outlineLevel="0" collapsed="false">
      <c r="B18" s="11" t="s">
        <v>168</v>
      </c>
      <c r="C18" s="59" t="s">
        <v>228</v>
      </c>
      <c r="D18" s="49" t="n">
        <f aca="false">SUM(D7:D17)</f>
        <v>58623407.414316</v>
      </c>
      <c r="E18" s="60"/>
      <c r="F18" s="60"/>
      <c r="G18" s="49" t="n">
        <f aca="false">SUM(G7:G17)</f>
        <v>667279.127619552</v>
      </c>
      <c r="H18" s="49" t="n">
        <f aca="false">SUM(H7:H17)</f>
        <v>2727572.96705559</v>
      </c>
      <c r="I18" s="49" t="n">
        <f aca="false">SUM(I7:I17)</f>
        <v>2781532.77312702</v>
      </c>
      <c r="J18" s="49" t="n">
        <f aca="false">SUM(J7:J17)</f>
        <v>2835492.57919845</v>
      </c>
      <c r="K18" s="49" t="n">
        <f aca="false">SUM(K7:K17)</f>
        <v>2889452.38526988</v>
      </c>
      <c r="L18" s="49" t="n">
        <f aca="false">SUM(L7:L17)</f>
        <v>2943412.19134131</v>
      </c>
      <c r="M18" s="49" t="n">
        <f aca="false">SUM(M7:M17)</f>
        <v>2997371.99741274</v>
      </c>
    </row>
    <row r="19" customFormat="false" ht="15" hidden="false" customHeight="true" outlineLevel="0" collapsed="false">
      <c r="B19" s="7" t="s">
        <v>229</v>
      </c>
      <c r="G19" s="13" t="n">
        <f aca="false">G18-G20</f>
        <v>566139.040861338</v>
      </c>
      <c r="H19" s="13" t="n">
        <f aca="false">H18-H20</f>
        <v>2323012.62002274</v>
      </c>
      <c r="I19" s="13" t="n">
        <f aca="false">I18-I20</f>
        <v>2376972.42609416</v>
      </c>
      <c r="J19" s="13" t="n">
        <f aca="false">J18-J20</f>
        <v>2430932.23216559</v>
      </c>
      <c r="K19" s="13" t="n">
        <f aca="false">K18-K20</f>
        <v>2484892.03823702</v>
      </c>
      <c r="L19" s="13" t="n">
        <f aca="false">L18-L20</f>
        <v>2538851.84430845</v>
      </c>
      <c r="M19" s="13" t="n">
        <f aca="false">M18-M20</f>
        <v>2592811.65037988</v>
      </c>
    </row>
    <row r="20" customFormat="false" ht="15" hidden="false" customHeight="true" outlineLevel="0" collapsed="false">
      <c r="B20" s="7" t="s">
        <v>230</v>
      </c>
      <c r="G20" s="13" t="n">
        <v>101140.086758214</v>
      </c>
      <c r="H20" s="13" t="n">
        <v>404560.347032858</v>
      </c>
      <c r="I20" s="13" t="n">
        <v>404560.347032858</v>
      </c>
      <c r="J20" s="13" t="n">
        <v>404560.347032858</v>
      </c>
      <c r="K20" s="13" t="n">
        <v>404560.347032858</v>
      </c>
      <c r="L20" s="13" t="n">
        <v>404560.347032858</v>
      </c>
      <c r="M20" s="13" t="n">
        <v>404560.347032858</v>
      </c>
    </row>
    <row r="22" customFormat="false" ht="15" hidden="false" customHeight="true" outlineLevel="0" collapsed="false">
      <c r="B22" s="27" t="s">
        <v>231</v>
      </c>
      <c r="G22" s="13" t="n">
        <f aca="false">SUM($G$18:G18)</f>
        <v>667279.127619552</v>
      </c>
      <c r="H22" s="13" t="n">
        <f aca="false">SUM($G$18:H18)</f>
        <v>3394852.09467515</v>
      </c>
      <c r="I22" s="13" t="n">
        <f aca="false">SUM($G$18:I18)</f>
        <v>6176384.86780217</v>
      </c>
      <c r="J22" s="13" t="n">
        <f aca="false">SUM($G$18:J18)</f>
        <v>9011877.44700062</v>
      </c>
      <c r="K22" s="13" t="n">
        <f aca="false">SUM($G$18:K18)</f>
        <v>11901329.8322705</v>
      </c>
      <c r="L22" s="13" t="n">
        <f aca="false">SUM($G$18:L18)</f>
        <v>14844742.0236118</v>
      </c>
      <c r="M22" s="13" t="n">
        <f aca="false">SUM($G$18:M18)</f>
        <v>17842114.0210245</v>
      </c>
    </row>
    <row r="23" customFormat="false" ht="15" hidden="false" customHeight="true" outlineLevel="0" collapsed="false">
      <c r="B23" s="27" t="s">
        <v>232</v>
      </c>
      <c r="G23" s="13" t="n">
        <v>54718539.9224107</v>
      </c>
      <c r="H23" s="13" t="n">
        <v>52530565.0160694</v>
      </c>
      <c r="I23" s="13" t="n">
        <v>50288630.3036567</v>
      </c>
      <c r="J23" s="13" t="n">
        <v>47992735.7851725</v>
      </c>
      <c r="K23" s="13" t="n">
        <v>45642881.4606169</v>
      </c>
      <c r="L23" s="13" t="n">
        <v>43239067.3299899</v>
      </c>
      <c r="M23" s="13" t="n">
        <v>40781293.3932914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11"/>
    <col collapsed="false" customWidth="true" hidden="false" outlineLevel="0" max="11" min="4" style="1" width="14"/>
  </cols>
  <sheetData>
    <row r="2" customFormat="false" ht="15" hidden="false" customHeight="true" outlineLevel="0" collapsed="false">
      <c r="B2" s="3" t="s">
        <v>233</v>
      </c>
      <c r="K2" s="52" t="s">
        <v>234</v>
      </c>
    </row>
    <row r="4" customFormat="false" ht="42" hidden="false" customHeight="true" outlineLevel="0" collapsed="false">
      <c r="B4" s="19" t="s">
        <v>235</v>
      </c>
      <c r="C4" s="19" t="s">
        <v>43</v>
      </c>
      <c r="D4" s="19" t="s">
        <v>236</v>
      </c>
      <c r="E4" s="19" t="s">
        <v>14</v>
      </c>
      <c r="F4" s="19" t="s">
        <v>237</v>
      </c>
      <c r="G4" s="19" t="s">
        <v>238</v>
      </c>
      <c r="H4" s="19" t="s">
        <v>239</v>
      </c>
    </row>
    <row r="5" customFormat="false" ht="15" hidden="false" customHeight="true" outlineLevel="0" collapsed="false">
      <c r="B5" s="7" t="s">
        <v>240</v>
      </c>
      <c r="C5" s="21" t="s">
        <v>241</v>
      </c>
      <c r="D5" s="61" t="n">
        <v>1983.07</v>
      </c>
      <c r="E5" s="21" t="s">
        <v>242</v>
      </c>
      <c r="F5" s="30" t="n">
        <v>29897</v>
      </c>
      <c r="G5" s="13" t="n">
        <f aca="false">D5*F5</f>
        <v>59287843.79</v>
      </c>
      <c r="H5" s="13" t="n">
        <v>0</v>
      </c>
    </row>
    <row r="6" customFormat="false" ht="15" hidden="false" customHeight="true" outlineLevel="0" collapsed="false">
      <c r="B6" s="7" t="s">
        <v>243</v>
      </c>
      <c r="C6" s="21" t="s">
        <v>241</v>
      </c>
      <c r="D6" s="61" t="n">
        <v>609.57</v>
      </c>
      <c r="E6" s="21" t="s">
        <v>244</v>
      </c>
      <c r="F6" s="30" t="n">
        <v>0</v>
      </c>
      <c r="G6" s="13" t="n">
        <v>0</v>
      </c>
      <c r="H6" s="13" t="n">
        <f aca="false">D6*F6</f>
        <v>0</v>
      </c>
    </row>
    <row r="7" customFormat="false" ht="15" hidden="false" customHeight="true" outlineLevel="0" collapsed="false">
      <c r="B7" s="7" t="s">
        <v>245</v>
      </c>
      <c r="C7" s="21" t="s">
        <v>241</v>
      </c>
      <c r="D7" s="61" t="n">
        <v>3000</v>
      </c>
      <c r="E7" s="21" t="s">
        <v>244</v>
      </c>
      <c r="F7" s="30" t="n">
        <v>0</v>
      </c>
      <c r="G7" s="13" t="n">
        <v>0</v>
      </c>
      <c r="H7" s="13" t="n">
        <f aca="false">D7*F7</f>
        <v>0</v>
      </c>
    </row>
    <row r="8" customFormat="false" ht="15" hidden="false" customHeight="true" outlineLevel="0" collapsed="false">
      <c r="B8" s="11" t="s">
        <v>197</v>
      </c>
      <c r="C8" s="49"/>
      <c r="D8" s="49"/>
      <c r="E8" s="49"/>
      <c r="F8" s="49"/>
      <c r="G8" s="49" t="n">
        <f aca="false">SUM(G5:G7)</f>
        <v>59287843.79</v>
      </c>
      <c r="H8" s="49" t="n">
        <f aca="false">SUM(H5:H7)</f>
        <v>0</v>
      </c>
    </row>
    <row r="10" customFormat="false" ht="30" hidden="false" customHeight="true" outlineLevel="0" collapsed="false">
      <c r="B10" s="18" t="s">
        <v>42</v>
      </c>
      <c r="C10" s="19" t="s">
        <v>43</v>
      </c>
      <c r="D10" s="19" t="s">
        <v>44</v>
      </c>
      <c r="E10" s="19" t="s">
        <v>45</v>
      </c>
      <c r="F10" s="19" t="s">
        <v>46</v>
      </c>
      <c r="G10" s="19" t="s">
        <v>47</v>
      </c>
      <c r="H10" s="19" t="s">
        <v>48</v>
      </c>
      <c r="I10" s="19" t="s">
        <v>49</v>
      </c>
      <c r="J10" s="19" t="s">
        <v>50</v>
      </c>
    </row>
    <row r="11" customFormat="false" ht="15" hidden="false" customHeight="true" outlineLevel="0" collapsed="false">
      <c r="B11" s="6"/>
      <c r="C11" s="6"/>
      <c r="D11" s="18" t="s">
        <v>51</v>
      </c>
      <c r="E11" s="18" t="s">
        <v>52</v>
      </c>
      <c r="F11" s="18" t="s">
        <v>53</v>
      </c>
      <c r="G11" s="18" t="s">
        <v>54</v>
      </c>
      <c r="H11" s="18" t="s">
        <v>55</v>
      </c>
      <c r="I11" s="18" t="s">
        <v>56</v>
      </c>
      <c r="J11" s="18" t="s">
        <v>57</v>
      </c>
    </row>
    <row r="12" customFormat="false" ht="15" hidden="false" customHeight="true" outlineLevel="0" collapsed="false">
      <c r="B12" s="11" t="s">
        <v>246</v>
      </c>
      <c r="C12" s="60"/>
      <c r="D12" s="60"/>
      <c r="E12" s="60"/>
      <c r="F12" s="60"/>
      <c r="G12" s="60"/>
      <c r="H12" s="60"/>
      <c r="I12" s="60"/>
      <c r="J12" s="60"/>
      <c r="K12" s="60"/>
    </row>
    <row r="13" customFormat="false" ht="15" hidden="false" customHeight="true" outlineLevel="0" collapsed="false">
      <c r="B13" s="20" t="s">
        <v>240</v>
      </c>
      <c r="C13" s="21" t="s">
        <v>247</v>
      </c>
      <c r="D13" s="14" t="n">
        <v>0.15</v>
      </c>
      <c r="E13" s="14" t="n">
        <v>0.65</v>
      </c>
      <c r="F13" s="14" t="n">
        <v>0.85</v>
      </c>
      <c r="G13" s="14" t="n">
        <v>1</v>
      </c>
      <c r="H13" s="14" t="n">
        <v>1</v>
      </c>
      <c r="I13" s="14" t="n">
        <v>1</v>
      </c>
      <c r="J13" s="14" t="n">
        <v>1</v>
      </c>
    </row>
    <row r="14" customFormat="false" ht="15" hidden="false" customHeight="true" outlineLevel="0" collapsed="false">
      <c r="B14" s="20" t="s">
        <v>243</v>
      </c>
      <c r="C14" s="21" t="s">
        <v>247</v>
      </c>
      <c r="D14" s="14" t="n">
        <v>0.15</v>
      </c>
      <c r="E14" s="14" t="n">
        <v>0.65</v>
      </c>
      <c r="F14" s="14" t="n">
        <v>0.85</v>
      </c>
      <c r="G14" s="14" t="n">
        <v>1</v>
      </c>
      <c r="H14" s="14" t="n">
        <v>1</v>
      </c>
      <c r="I14" s="14" t="n">
        <v>1</v>
      </c>
      <c r="J14" s="14" t="n">
        <v>1</v>
      </c>
    </row>
    <row r="15" customFormat="false" ht="15" hidden="false" customHeight="true" outlineLevel="0" collapsed="false">
      <c r="B15" s="20" t="s">
        <v>245</v>
      </c>
      <c r="C15" s="21" t="s">
        <v>247</v>
      </c>
      <c r="D15" s="14" t="n">
        <v>0.15</v>
      </c>
      <c r="E15" s="14" t="n">
        <v>0.65</v>
      </c>
      <c r="F15" s="14" t="n">
        <v>0.85</v>
      </c>
      <c r="G15" s="14" t="n">
        <v>1</v>
      </c>
      <c r="H15" s="14" t="n">
        <v>1</v>
      </c>
      <c r="I15" s="14" t="n">
        <v>1</v>
      </c>
      <c r="J15" s="14" t="n">
        <v>1</v>
      </c>
    </row>
    <row r="16" customFormat="false" ht="15" hidden="false" customHeight="true" outlineLevel="0" collapsed="false">
      <c r="B16" s="11" t="s">
        <v>248</v>
      </c>
      <c r="C16" s="60"/>
      <c r="D16" s="60"/>
      <c r="E16" s="60"/>
      <c r="F16" s="60"/>
      <c r="G16" s="60"/>
      <c r="H16" s="60"/>
      <c r="I16" s="60"/>
      <c r="J16" s="60"/>
      <c r="K16" s="60"/>
    </row>
    <row r="17" customFormat="false" ht="15" hidden="false" customHeight="true" outlineLevel="0" collapsed="false">
      <c r="B17" s="20" t="s">
        <v>240</v>
      </c>
      <c r="C17" s="21" t="s">
        <v>241</v>
      </c>
      <c r="D17" s="61" t="n">
        <f aca="false">$D$5*D13</f>
        <v>297.4605</v>
      </c>
      <c r="E17" s="61" t="n">
        <f aca="false">$D$5*E13</f>
        <v>1288.9955</v>
      </c>
      <c r="F17" s="61" t="n">
        <f aca="false">$D$5*F13</f>
        <v>1685.6095</v>
      </c>
      <c r="G17" s="61" t="n">
        <f aca="false">$D$5*G13</f>
        <v>1983.07</v>
      </c>
      <c r="H17" s="61" t="n">
        <f aca="false">$D$5*H13</f>
        <v>1983.07</v>
      </c>
      <c r="I17" s="61" t="n">
        <f aca="false">$D$5*I13</f>
        <v>1983.07</v>
      </c>
      <c r="J17" s="61" t="n">
        <f aca="false">$D$5*J13</f>
        <v>1983.07</v>
      </c>
    </row>
    <row r="18" customFormat="false" ht="15" hidden="false" customHeight="true" outlineLevel="0" collapsed="false">
      <c r="B18" s="20" t="s">
        <v>243</v>
      </c>
      <c r="C18" s="21" t="s">
        <v>241</v>
      </c>
      <c r="D18" s="61" t="n">
        <f aca="false">$D$6*D14</f>
        <v>91.4355</v>
      </c>
      <c r="E18" s="61" t="n">
        <f aca="false">$D$6*E14</f>
        <v>396.2205</v>
      </c>
      <c r="F18" s="61" t="n">
        <f aca="false">$D$6*F14</f>
        <v>518.1345</v>
      </c>
      <c r="G18" s="61" t="n">
        <f aca="false">$D$6*G14</f>
        <v>609.57</v>
      </c>
      <c r="H18" s="61" t="n">
        <f aca="false">$D$6*H14</f>
        <v>609.57</v>
      </c>
      <c r="I18" s="61" t="n">
        <f aca="false">$D$6*I14</f>
        <v>609.57</v>
      </c>
      <c r="J18" s="61" t="n">
        <f aca="false">$D$6*J14</f>
        <v>609.57</v>
      </c>
    </row>
    <row r="19" customFormat="false" ht="15" hidden="false" customHeight="true" outlineLevel="0" collapsed="false">
      <c r="B19" s="20" t="s">
        <v>245</v>
      </c>
      <c r="C19" s="21" t="s">
        <v>241</v>
      </c>
      <c r="D19" s="61" t="n">
        <f aca="false">$D$7*D15</f>
        <v>450</v>
      </c>
      <c r="E19" s="61" t="n">
        <f aca="false">$D$7*E15</f>
        <v>1950</v>
      </c>
      <c r="F19" s="61" t="n">
        <f aca="false">$D$7*F15</f>
        <v>2550</v>
      </c>
      <c r="G19" s="61" t="n">
        <f aca="false">$D$7*G15</f>
        <v>3000</v>
      </c>
      <c r="H19" s="61" t="n">
        <f aca="false">$D$7*H15</f>
        <v>3000</v>
      </c>
      <c r="I19" s="61" t="n">
        <f aca="false">$D$7*I15</f>
        <v>3000</v>
      </c>
      <c r="J19" s="61" t="n">
        <f aca="false">$D$7*J15</f>
        <v>3000</v>
      </c>
    </row>
    <row r="20" customFormat="false" ht="15" hidden="false" customHeight="true" outlineLevel="0" collapsed="false">
      <c r="B20" s="11" t="s">
        <v>249</v>
      </c>
      <c r="C20" s="60"/>
      <c r="D20" s="60"/>
      <c r="E20" s="60"/>
      <c r="F20" s="60"/>
      <c r="G20" s="60"/>
      <c r="H20" s="60"/>
      <c r="I20" s="60"/>
      <c r="J20" s="60"/>
      <c r="K20" s="60"/>
    </row>
    <row r="21" customFormat="false" ht="15" hidden="false" customHeight="true" outlineLevel="0" collapsed="false">
      <c r="B21" s="20" t="s">
        <v>250</v>
      </c>
      <c r="C21" s="21" t="s">
        <v>241</v>
      </c>
      <c r="D21" s="61" t="n">
        <v>247.88375</v>
      </c>
      <c r="E21" s="61" t="n">
        <v>1284.86410416667</v>
      </c>
      <c r="F21" s="61" t="n">
        <v>1669.08391666667</v>
      </c>
      <c r="G21" s="61" t="n">
        <v>1970.6758125</v>
      </c>
      <c r="H21" s="61" t="n">
        <v>1983.07</v>
      </c>
      <c r="I21" s="61" t="n">
        <v>1983.07</v>
      </c>
      <c r="J21" s="61" t="n">
        <v>1983.07</v>
      </c>
    </row>
    <row r="22" customFormat="false" ht="15" hidden="false" customHeight="true" outlineLevel="0" collapsed="false">
      <c r="B22" s="20" t="s">
        <v>251</v>
      </c>
      <c r="C22" s="21" t="s">
        <v>241</v>
      </c>
      <c r="D22" s="61" t="n">
        <v>0</v>
      </c>
      <c r="E22" s="61" t="n">
        <v>0</v>
      </c>
      <c r="F22" s="61" t="n">
        <v>0</v>
      </c>
      <c r="G22" s="61" t="n">
        <v>0</v>
      </c>
      <c r="H22" s="61" t="n">
        <v>0</v>
      </c>
      <c r="I22" s="61" t="n">
        <v>0</v>
      </c>
      <c r="J22" s="61" t="n">
        <v>0</v>
      </c>
    </row>
    <row r="23" customFormat="false" ht="15" hidden="false" customHeight="true" outlineLevel="0" collapsed="false">
      <c r="B23" s="20" t="s">
        <v>252</v>
      </c>
      <c r="C23" s="21" t="s">
        <v>241</v>
      </c>
      <c r="D23" s="61" t="n">
        <v>0</v>
      </c>
      <c r="E23" s="61" t="n">
        <v>0</v>
      </c>
      <c r="F23" s="61" t="n">
        <v>0</v>
      </c>
      <c r="G23" s="61" t="n">
        <v>0</v>
      </c>
      <c r="H23" s="61" t="n">
        <v>0</v>
      </c>
      <c r="I23" s="61" t="n">
        <v>0</v>
      </c>
      <c r="J23" s="61" t="n">
        <v>0</v>
      </c>
    </row>
    <row r="24" customFormat="false" ht="15" hidden="false" customHeight="true" outlineLevel="0" collapsed="false">
      <c r="B24" s="20" t="s">
        <v>253</v>
      </c>
      <c r="C24" s="21" t="s">
        <v>241</v>
      </c>
      <c r="D24" s="61" t="n">
        <v>76.19625</v>
      </c>
      <c r="E24" s="61" t="n">
        <v>394.9505625</v>
      </c>
      <c r="F24" s="61" t="n">
        <v>513.05475</v>
      </c>
      <c r="G24" s="61" t="n">
        <v>605.7601875</v>
      </c>
      <c r="H24" s="61" t="n">
        <v>609.57</v>
      </c>
      <c r="I24" s="61" t="n">
        <v>609.57</v>
      </c>
      <c r="J24" s="61" t="n">
        <v>609.57</v>
      </c>
    </row>
    <row r="25" customFormat="false" ht="15" hidden="false" customHeight="true" outlineLevel="0" collapsed="false">
      <c r="B25" s="20" t="s">
        <v>254</v>
      </c>
      <c r="C25" s="21" t="s">
        <v>241</v>
      </c>
      <c r="D25" s="61" t="n">
        <v>0</v>
      </c>
      <c r="E25" s="61" t="n">
        <v>0</v>
      </c>
      <c r="F25" s="61" t="n">
        <v>0</v>
      </c>
      <c r="G25" s="61" t="n">
        <v>0</v>
      </c>
      <c r="H25" s="61" t="n">
        <v>0</v>
      </c>
      <c r="I25" s="61" t="n">
        <v>0</v>
      </c>
      <c r="J25" s="61" t="n">
        <v>0</v>
      </c>
    </row>
    <row r="26" customFormat="false" ht="15" hidden="false" customHeight="true" outlineLevel="0" collapsed="false">
      <c r="B26" s="20" t="s">
        <v>255</v>
      </c>
      <c r="C26" s="21" t="s">
        <v>241</v>
      </c>
      <c r="D26" s="61" t="n">
        <v>375</v>
      </c>
      <c r="E26" s="61" t="n">
        <v>1943.75</v>
      </c>
      <c r="F26" s="61" t="n">
        <v>2525</v>
      </c>
      <c r="G26" s="61" t="n">
        <v>2981.25</v>
      </c>
      <c r="H26" s="61" t="n">
        <v>3000</v>
      </c>
      <c r="I26" s="61" t="n">
        <v>3000</v>
      </c>
      <c r="J26" s="61" t="n">
        <v>3000</v>
      </c>
    </row>
    <row r="27" customFormat="false" ht="15" hidden="false" customHeight="true" outlineLevel="0" collapsed="false">
      <c r="B27" s="11" t="s">
        <v>256</v>
      </c>
      <c r="C27" s="60"/>
      <c r="D27" s="60"/>
      <c r="E27" s="60"/>
      <c r="F27" s="60"/>
      <c r="G27" s="60"/>
      <c r="H27" s="60"/>
      <c r="I27" s="60"/>
      <c r="J27" s="60"/>
      <c r="K27" s="60"/>
    </row>
    <row r="28" customFormat="false" ht="15" hidden="false" customHeight="true" outlineLevel="0" collapsed="false">
      <c r="B28" s="20" t="s">
        <v>240</v>
      </c>
      <c r="C28" s="21" t="s">
        <v>241</v>
      </c>
      <c r="D28" s="61" t="n">
        <f aca="false">0+D17-D21-D22</f>
        <v>49.57675</v>
      </c>
      <c r="E28" s="61" t="n">
        <f aca="false">D28+E17-E21-E22</f>
        <v>53.70814583333</v>
      </c>
      <c r="F28" s="61" t="n">
        <f aca="false">E28+F17-F21-F22</f>
        <v>70.2337291666599</v>
      </c>
      <c r="G28" s="61" t="n">
        <f aca="false">F28+G17-G21-G22</f>
        <v>82.6279166666598</v>
      </c>
      <c r="H28" s="61" t="n">
        <f aca="false">G28+H17-H21-H22</f>
        <v>82.6279166666598</v>
      </c>
      <c r="I28" s="61" t="n">
        <f aca="false">H28+I17-I21-I22</f>
        <v>82.6279166666598</v>
      </c>
      <c r="J28" s="61" t="n">
        <f aca="false">I28+J17-J21-J22</f>
        <v>82.6279166666598</v>
      </c>
    </row>
    <row r="29" customFormat="false" ht="15" hidden="false" customHeight="true" outlineLevel="0" collapsed="false">
      <c r="B29" s="20" t="s">
        <v>243</v>
      </c>
      <c r="C29" s="21" t="s">
        <v>241</v>
      </c>
      <c r="D29" s="61" t="n">
        <f aca="false">0+D18-D23-D24</f>
        <v>15.23925</v>
      </c>
      <c r="E29" s="61" t="n">
        <f aca="false">D29+E18-E23-E24</f>
        <v>16.5091875000001</v>
      </c>
      <c r="F29" s="61" t="n">
        <f aca="false">E29+F18-F23-F24</f>
        <v>21.5889375000002</v>
      </c>
      <c r="G29" s="61" t="n">
        <f aca="false">F29+G18-G23-G24</f>
        <v>25.3987500000002</v>
      </c>
      <c r="H29" s="61" t="n">
        <f aca="false">G29+H18-H23-H24</f>
        <v>25.3987500000002</v>
      </c>
      <c r="I29" s="61" t="n">
        <f aca="false">H29+I18-I23-I24</f>
        <v>25.3987500000002</v>
      </c>
      <c r="J29" s="61" t="n">
        <f aca="false">I29+J18-J23-J24</f>
        <v>25.3987500000002</v>
      </c>
    </row>
    <row r="30" customFormat="false" ht="15" hidden="false" customHeight="true" outlineLevel="0" collapsed="false">
      <c r="B30" s="20" t="s">
        <v>245</v>
      </c>
      <c r="C30" s="21" t="s">
        <v>241</v>
      </c>
      <c r="D30" s="61" t="n">
        <f aca="false">0+D19-D25-D26</f>
        <v>75</v>
      </c>
      <c r="E30" s="61" t="n">
        <f aca="false">D30+E19-E25-E26</f>
        <v>81.25</v>
      </c>
      <c r="F30" s="61" t="n">
        <f aca="false">E30+F19-F25-F26</f>
        <v>106.25</v>
      </c>
      <c r="G30" s="61" t="n">
        <f aca="false">F30+G19-G25-G26</f>
        <v>125</v>
      </c>
      <c r="H30" s="61" t="n">
        <f aca="false">G30+H19-H25-H26</f>
        <v>125</v>
      </c>
      <c r="I30" s="61" t="n">
        <f aca="false">H30+I19-I25-I26</f>
        <v>125</v>
      </c>
      <c r="J30" s="61" t="n">
        <f aca="false">I30+J19-J25-J26</f>
        <v>125</v>
      </c>
    </row>
    <row r="31" customFormat="false" ht="15" hidden="false" customHeight="true" outlineLevel="0" collapsed="false">
      <c r="B31" s="11" t="s">
        <v>257</v>
      </c>
      <c r="C31" s="60"/>
      <c r="D31" s="60"/>
      <c r="E31" s="60"/>
      <c r="F31" s="60"/>
      <c r="G31" s="60"/>
      <c r="H31" s="60"/>
      <c r="I31" s="60"/>
      <c r="J31" s="60"/>
      <c r="K31" s="60"/>
    </row>
    <row r="32" customFormat="false" ht="15" hidden="false" customHeight="true" outlineLevel="0" collapsed="false">
      <c r="B32" s="20" t="s">
        <v>240</v>
      </c>
      <c r="C32" s="21" t="s">
        <v>258</v>
      </c>
      <c r="D32" s="30" t="n">
        <v>36542.2638937014</v>
      </c>
      <c r="E32" s="30" t="n">
        <v>28624</v>
      </c>
      <c r="F32" s="30" t="n">
        <v>29253</v>
      </c>
      <c r="G32" s="30" t="n">
        <v>29897</v>
      </c>
      <c r="H32" s="30" t="n">
        <v>30555</v>
      </c>
      <c r="I32" s="30" t="n">
        <v>31227</v>
      </c>
      <c r="J32" s="30" t="n">
        <v>31914</v>
      </c>
    </row>
    <row r="33" customFormat="false" ht="15" hidden="false" customHeight="true" outlineLevel="0" collapsed="false">
      <c r="B33" s="20" t="s">
        <v>243</v>
      </c>
      <c r="C33" s="21" t="s">
        <v>258</v>
      </c>
      <c r="D33" s="30" t="n">
        <v>0</v>
      </c>
      <c r="E33" s="30" t="n">
        <v>0</v>
      </c>
      <c r="F33" s="30" t="n">
        <v>0</v>
      </c>
      <c r="G33" s="30" t="n">
        <v>0</v>
      </c>
      <c r="H33" s="30" t="n">
        <v>0</v>
      </c>
      <c r="I33" s="30" t="n">
        <v>0</v>
      </c>
      <c r="J33" s="30" t="n">
        <v>0</v>
      </c>
    </row>
    <row r="34" customFormat="false" ht="15" hidden="false" customHeight="true" outlineLevel="0" collapsed="false">
      <c r="B34" s="20" t="s">
        <v>245</v>
      </c>
      <c r="C34" s="21" t="s">
        <v>258</v>
      </c>
      <c r="D34" s="30" t="n">
        <v>0</v>
      </c>
      <c r="E34" s="30" t="n">
        <v>0</v>
      </c>
      <c r="F34" s="30" t="n">
        <v>0</v>
      </c>
      <c r="G34" s="30" t="n">
        <v>0</v>
      </c>
      <c r="H34" s="30" t="n">
        <v>0</v>
      </c>
      <c r="I34" s="30" t="n">
        <v>0</v>
      </c>
      <c r="J34" s="30" t="n">
        <v>0</v>
      </c>
    </row>
    <row r="36" customFormat="false" ht="15" hidden="false" customHeight="true" outlineLevel="0" collapsed="false">
      <c r="B36" s="4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11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260</v>
      </c>
      <c r="K2" s="52" t="s">
        <v>261</v>
      </c>
    </row>
    <row r="4" customFormat="false" ht="30" hidden="false" customHeight="true" outlineLevel="0" collapsed="false">
      <c r="B4" s="18" t="s">
        <v>42</v>
      </c>
      <c r="C4" s="19" t="s">
        <v>43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</row>
    <row r="5" customFormat="false" ht="15" hidden="false" customHeight="true" outlineLevel="0" collapsed="false">
      <c r="B5" s="6"/>
      <c r="C5" s="6"/>
      <c r="D5" s="18" t="s">
        <v>51</v>
      </c>
      <c r="E5" s="18" t="s">
        <v>52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</row>
    <row r="6" customFormat="false" ht="15" hidden="false" customHeight="true" outlineLevel="0" collapsed="false">
      <c r="B6" s="11" t="s">
        <v>262</v>
      </c>
      <c r="C6" s="60"/>
      <c r="D6" s="60"/>
      <c r="E6" s="60"/>
      <c r="F6" s="60"/>
      <c r="G6" s="60"/>
      <c r="H6" s="60"/>
      <c r="I6" s="60"/>
      <c r="J6" s="60"/>
      <c r="K6" s="60"/>
    </row>
    <row r="7" customFormat="false" ht="15" hidden="false" customHeight="true" outlineLevel="0" collapsed="false">
      <c r="B7" s="20" t="s">
        <v>263</v>
      </c>
      <c r="C7" s="21" t="s">
        <v>32</v>
      </c>
      <c r="D7" s="13" t="n">
        <f aca="false">ProdPlan!D21*ProdPlan!D32</f>
        <v>9058233.4074603</v>
      </c>
      <c r="E7" s="13" t="n">
        <f aca="false">ProdPlan!E21*ProdPlan!E32</f>
        <v>36777950.1176668</v>
      </c>
      <c r="F7" s="13" t="n">
        <f aca="false">ProdPlan!F21*ProdPlan!F32</f>
        <v>48825711.8142501</v>
      </c>
      <c r="G7" s="13" t="n">
        <f aca="false">ProdPlan!G21*ProdPlan!G32</f>
        <v>58917294.7663125</v>
      </c>
      <c r="H7" s="13" t="n">
        <f aca="false">ProdPlan!H21*ProdPlan!H32</f>
        <v>60592703.85</v>
      </c>
      <c r="I7" s="13" t="n">
        <f aca="false">ProdPlan!I21*ProdPlan!I32</f>
        <v>61925326.89</v>
      </c>
      <c r="J7" s="13" t="n">
        <f aca="false">ProdPlan!J21*ProdPlan!J32</f>
        <v>63287695.98</v>
      </c>
    </row>
    <row r="8" customFormat="false" ht="15" hidden="false" customHeight="true" outlineLevel="0" collapsed="false">
      <c r="B8" s="20" t="s">
        <v>264</v>
      </c>
      <c r="C8" s="21" t="s">
        <v>32</v>
      </c>
      <c r="D8" s="13" t="n">
        <f aca="false">ProdPlan!D23*ProdPlan!D33</f>
        <v>0</v>
      </c>
      <c r="E8" s="13" t="n">
        <f aca="false">ProdPlan!E23*ProdPlan!E33</f>
        <v>0</v>
      </c>
      <c r="F8" s="13" t="n">
        <f aca="false">ProdPlan!F23*ProdPlan!F33</f>
        <v>0</v>
      </c>
      <c r="G8" s="13" t="n">
        <f aca="false">ProdPlan!G23*ProdPlan!G33</f>
        <v>0</v>
      </c>
      <c r="H8" s="13" t="n">
        <f aca="false">ProdPlan!H23*ProdPlan!H33</f>
        <v>0</v>
      </c>
      <c r="I8" s="13" t="n">
        <f aca="false">ProdPlan!I23*ProdPlan!I33</f>
        <v>0</v>
      </c>
      <c r="J8" s="13" t="n">
        <f aca="false">ProdPlan!J23*ProdPlan!J33</f>
        <v>0</v>
      </c>
    </row>
    <row r="9" customFormat="false" ht="15" hidden="false" customHeight="true" outlineLevel="0" collapsed="false">
      <c r="B9" s="20" t="s">
        <v>265</v>
      </c>
      <c r="C9" s="21" t="s">
        <v>32</v>
      </c>
      <c r="D9" s="13" t="n">
        <f aca="false">ProdPlan!D25*ProdPlan!D34</f>
        <v>0</v>
      </c>
      <c r="E9" s="13" t="n">
        <f aca="false">ProdPlan!E25*ProdPlan!E34</f>
        <v>0</v>
      </c>
      <c r="F9" s="13" t="n">
        <f aca="false">ProdPlan!F25*ProdPlan!F34</f>
        <v>0</v>
      </c>
      <c r="G9" s="13" t="n">
        <f aca="false">ProdPlan!G25*ProdPlan!G34</f>
        <v>0</v>
      </c>
      <c r="H9" s="13" t="n">
        <f aca="false">ProdPlan!H25*ProdPlan!H34</f>
        <v>0</v>
      </c>
      <c r="I9" s="13" t="n">
        <f aca="false">ProdPlan!I25*ProdPlan!I34</f>
        <v>0</v>
      </c>
      <c r="J9" s="13" t="n">
        <f aca="false">ProdPlan!J25*ProdPlan!J34</f>
        <v>0</v>
      </c>
    </row>
    <row r="10" customFormat="false" ht="15" hidden="false" customHeight="true" outlineLevel="0" collapsed="false">
      <c r="B10" s="62" t="s">
        <v>197</v>
      </c>
      <c r="C10" s="21" t="s">
        <v>32</v>
      </c>
      <c r="D10" s="23" t="n">
        <f aca="false">SUM(D7:D9)</f>
        <v>9058233.4074603</v>
      </c>
      <c r="E10" s="23" t="n">
        <f aca="false">SUM(E7:E9)</f>
        <v>36777950.1176668</v>
      </c>
      <c r="F10" s="23" t="n">
        <f aca="false">SUM(F7:F9)</f>
        <v>48825711.8142501</v>
      </c>
      <c r="G10" s="23" t="n">
        <f aca="false">SUM(G7:G9)</f>
        <v>58917294.7663125</v>
      </c>
      <c r="H10" s="23" t="n">
        <f aca="false">SUM(H7:H9)</f>
        <v>60592703.85</v>
      </c>
      <c r="I10" s="23" t="n">
        <f aca="false">SUM(I7:I9)</f>
        <v>61925326.89</v>
      </c>
      <c r="J10" s="23" t="n">
        <f aca="false">SUM(J7:J9)</f>
        <v>63287695.98</v>
      </c>
    </row>
    <row r="12" customFormat="false" ht="15" hidden="false" customHeight="true" outlineLevel="0" collapsed="false">
      <c r="B12" s="11" t="s">
        <v>266</v>
      </c>
      <c r="C12" s="60"/>
      <c r="D12" s="60"/>
      <c r="E12" s="60"/>
      <c r="F12" s="60"/>
      <c r="G12" s="60"/>
      <c r="H12" s="60"/>
      <c r="I12" s="60"/>
      <c r="J12" s="60"/>
      <c r="K12" s="60"/>
    </row>
    <row r="13" customFormat="false" ht="15" hidden="false" customHeight="true" outlineLevel="0" collapsed="false">
      <c r="B13" s="20" t="s">
        <v>263</v>
      </c>
      <c r="C13" s="21" t="s">
        <v>32</v>
      </c>
      <c r="D13" s="13" t="n">
        <f aca="false">ProdPlan!D22*ProdPlan!D32</f>
        <v>0</v>
      </c>
      <c r="E13" s="13" t="n">
        <f aca="false">ProdPlan!E22*ProdPlan!E32</f>
        <v>0</v>
      </c>
      <c r="F13" s="13" t="n">
        <f aca="false">ProdPlan!F22*ProdPlan!F32</f>
        <v>0</v>
      </c>
      <c r="G13" s="13" t="n">
        <f aca="false">ProdPlan!G22*ProdPlan!G32</f>
        <v>0</v>
      </c>
      <c r="H13" s="13" t="n">
        <f aca="false">ProdPlan!H22*ProdPlan!H32</f>
        <v>0</v>
      </c>
      <c r="I13" s="13" t="n">
        <f aca="false">ProdPlan!I22*ProdPlan!I32</f>
        <v>0</v>
      </c>
      <c r="J13" s="13" t="n">
        <f aca="false">ProdPlan!J22*ProdPlan!J32</f>
        <v>0</v>
      </c>
    </row>
    <row r="14" customFormat="false" ht="15" hidden="false" customHeight="true" outlineLevel="0" collapsed="false">
      <c r="B14" s="20" t="s">
        <v>264</v>
      </c>
      <c r="C14" s="21" t="s">
        <v>32</v>
      </c>
      <c r="D14" s="13" t="n">
        <f aca="false">ProdPlan!D24*ProdPlan!D33</f>
        <v>0</v>
      </c>
      <c r="E14" s="13" t="n">
        <f aca="false">ProdPlan!E24*ProdPlan!E33</f>
        <v>0</v>
      </c>
      <c r="F14" s="13" t="n">
        <f aca="false">ProdPlan!F24*ProdPlan!F33</f>
        <v>0</v>
      </c>
      <c r="G14" s="13" t="n">
        <f aca="false">ProdPlan!G24*ProdPlan!G33</f>
        <v>0</v>
      </c>
      <c r="H14" s="13" t="n">
        <f aca="false">ProdPlan!H24*ProdPlan!H33</f>
        <v>0</v>
      </c>
      <c r="I14" s="13" t="n">
        <f aca="false">ProdPlan!I24*ProdPlan!I33</f>
        <v>0</v>
      </c>
      <c r="J14" s="13" t="n">
        <f aca="false">ProdPlan!J24*ProdPlan!J33</f>
        <v>0</v>
      </c>
    </row>
    <row r="15" customFormat="false" ht="15" hidden="false" customHeight="true" outlineLevel="0" collapsed="false">
      <c r="B15" s="20" t="s">
        <v>265</v>
      </c>
      <c r="C15" s="21" t="s">
        <v>32</v>
      </c>
      <c r="D15" s="13" t="n">
        <f aca="false">ProdPlan!D26*ProdPlan!D34</f>
        <v>0</v>
      </c>
      <c r="E15" s="13" t="n">
        <f aca="false">ProdPlan!E26*ProdPlan!E34</f>
        <v>0</v>
      </c>
      <c r="F15" s="13" t="n">
        <f aca="false">ProdPlan!F26*ProdPlan!F34</f>
        <v>0</v>
      </c>
      <c r="G15" s="13" t="n">
        <f aca="false">ProdPlan!G26*ProdPlan!G34</f>
        <v>0</v>
      </c>
      <c r="H15" s="13" t="n">
        <f aca="false">ProdPlan!H26*ProdPlan!H34</f>
        <v>0</v>
      </c>
      <c r="I15" s="13" t="n">
        <f aca="false">ProdPlan!I26*ProdPlan!I34</f>
        <v>0</v>
      </c>
      <c r="J15" s="13" t="n">
        <f aca="false">ProdPlan!J26*ProdPlan!J34</f>
        <v>0</v>
      </c>
    </row>
    <row r="16" customFormat="false" ht="15" hidden="false" customHeight="true" outlineLevel="0" collapsed="false">
      <c r="B16" s="62" t="s">
        <v>197</v>
      </c>
      <c r="C16" s="21" t="s">
        <v>32</v>
      </c>
      <c r="D16" s="23" t="n">
        <f aca="false">SUM(D13:D15)</f>
        <v>0</v>
      </c>
      <c r="E16" s="23" t="n">
        <f aca="false">SUM(E13:E15)</f>
        <v>0</v>
      </c>
      <c r="F16" s="23" t="n">
        <f aca="false">SUM(F13:F15)</f>
        <v>0</v>
      </c>
      <c r="G16" s="23" t="n">
        <f aca="false">SUM(G13:G15)</f>
        <v>0</v>
      </c>
      <c r="H16" s="23" t="n">
        <f aca="false">SUM(H13:H15)</f>
        <v>0</v>
      </c>
      <c r="I16" s="23" t="n">
        <f aca="false">SUM(I13:I15)</f>
        <v>0</v>
      </c>
      <c r="J16" s="23" t="n">
        <f aca="false">SUM(J13:J15)</f>
        <v>0</v>
      </c>
    </row>
    <row r="18" customFormat="false" ht="15" hidden="false" customHeight="true" outlineLevel="0" collapsed="false">
      <c r="B18" s="39" t="s">
        <v>267</v>
      </c>
      <c r="C18" s="63" t="s">
        <v>32</v>
      </c>
      <c r="D18" s="16" t="n">
        <f aca="false">D10+D16</f>
        <v>9058233.4074603</v>
      </c>
      <c r="E18" s="16" t="n">
        <f aca="false">E10+E16</f>
        <v>36777950.1176668</v>
      </c>
      <c r="F18" s="16" t="n">
        <f aca="false">F10+F16</f>
        <v>48825711.8142501</v>
      </c>
      <c r="G18" s="16" t="n">
        <f aca="false">G10+G16</f>
        <v>58917294.7663125</v>
      </c>
      <c r="H18" s="16" t="n">
        <f aca="false">H10+H16</f>
        <v>60592703.85</v>
      </c>
      <c r="I18" s="16" t="n">
        <f aca="false">I10+I16</f>
        <v>61925326.89</v>
      </c>
      <c r="J18" s="16" t="n">
        <f aca="false">J10+J16</f>
        <v>63287695.98</v>
      </c>
    </row>
    <row r="19" customFormat="false" ht="15" hidden="false" customHeight="true" outlineLevel="0" collapsed="false">
      <c r="B19" s="20" t="s">
        <v>268</v>
      </c>
      <c r="C19" s="21" t="s">
        <v>247</v>
      </c>
      <c r="D19" s="14" t="n">
        <f aca="false">IFERROR(D10/D18,0)</f>
        <v>1</v>
      </c>
      <c r="E19" s="14" t="n">
        <f aca="false">IFERROR(E10/E18,0)</f>
        <v>1</v>
      </c>
      <c r="F19" s="14" t="n">
        <f aca="false">IFERROR(F10/F18,0)</f>
        <v>1</v>
      </c>
      <c r="G19" s="14" t="n">
        <f aca="false">IFERROR(G10/G18,0)</f>
        <v>1</v>
      </c>
      <c r="H19" s="14" t="n">
        <f aca="false">IFERROR(H10/H18,0)</f>
        <v>1</v>
      </c>
      <c r="I19" s="14" t="n">
        <f aca="false">IFERROR(I10/I18,0)</f>
        <v>1</v>
      </c>
      <c r="J19" s="14" t="n">
        <f aca="false">IFERROR(J10/J18,0)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2"/>
    <col collapsed="false" customWidth="true" hidden="false" outlineLevel="0" max="5" min="4" style="1" width="15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42"/>
  </cols>
  <sheetData>
    <row r="2" customFormat="false" ht="15" hidden="false" customHeight="true" outlineLevel="0" collapsed="false">
      <c r="B2" s="3" t="s">
        <v>269</v>
      </c>
      <c r="G2" s="52" t="s">
        <v>270</v>
      </c>
    </row>
    <row r="3" customFormat="false" ht="15" hidden="false" customHeight="true" outlineLevel="0" collapsed="false">
      <c r="B3" s="53" t="s">
        <v>271</v>
      </c>
    </row>
    <row r="5" customFormat="false" ht="30" hidden="false" customHeight="true" outlineLevel="0" collapsed="false">
      <c r="B5" s="19" t="s">
        <v>272</v>
      </c>
      <c r="C5" s="19" t="s">
        <v>43</v>
      </c>
      <c r="D5" s="19" t="s">
        <v>273</v>
      </c>
      <c r="E5" s="19" t="s">
        <v>274</v>
      </c>
      <c r="F5" s="19" t="s">
        <v>275</v>
      </c>
      <c r="G5" s="19" t="s">
        <v>276</v>
      </c>
      <c r="H5" s="19" t="s">
        <v>277</v>
      </c>
    </row>
    <row r="6" customFormat="false" ht="15" hidden="false" customHeight="true" outlineLevel="0" collapsed="false">
      <c r="B6" s="11" t="s">
        <v>278</v>
      </c>
      <c r="C6" s="60"/>
      <c r="D6" s="60"/>
      <c r="E6" s="60"/>
      <c r="F6" s="60"/>
      <c r="G6" s="60"/>
      <c r="H6" s="60"/>
    </row>
    <row r="7" customFormat="false" ht="15" hidden="false" customHeight="true" outlineLevel="0" collapsed="false">
      <c r="B7" s="20" t="s">
        <v>279</v>
      </c>
      <c r="C7" s="21" t="s">
        <v>241</v>
      </c>
      <c r="D7" s="30" t="n">
        <f aca="false">IFERROR(F7/E7,0)</f>
        <v>11086.3935301997</v>
      </c>
      <c r="E7" s="61" t="n">
        <v>50</v>
      </c>
      <c r="F7" s="13" t="n">
        <v>554319.676509986</v>
      </c>
      <c r="G7" s="14" t="n">
        <f aca="false">IFERROR(F7/$F$20,0)</f>
        <v>0.0202777420109502</v>
      </c>
      <c r="H7" s="64" t="s">
        <v>280</v>
      </c>
    </row>
    <row r="8" customFormat="false" ht="15" hidden="false" customHeight="true" outlineLevel="0" collapsed="false">
      <c r="B8" s="20" t="s">
        <v>281</v>
      </c>
      <c r="C8" s="21" t="s">
        <v>282</v>
      </c>
      <c r="D8" s="30" t="n">
        <f aca="false">IFERROR(F8/E8,0)</f>
        <v>12.3830808954653</v>
      </c>
      <c r="E8" s="61" t="n">
        <v>2000</v>
      </c>
      <c r="F8" s="13" t="n">
        <v>24766.1617909305</v>
      </c>
      <c r="G8" s="14" t="n">
        <f aca="false">IFERROR(F8/$F$20,0)</f>
        <v>0.000905978735158418</v>
      </c>
      <c r="H8" s="64" t="s">
        <v>280</v>
      </c>
    </row>
    <row r="9" customFormat="false" ht="15" hidden="false" customHeight="true" outlineLevel="0" collapsed="false">
      <c r="B9" s="27" t="s">
        <v>283</v>
      </c>
      <c r="F9" s="23" t="n">
        <f aca="false">SUM(F7:F8)</f>
        <v>579085.838300917</v>
      </c>
      <c r="G9" s="14" t="n">
        <f aca="false">IFERROR(F9/$F$20,0)</f>
        <v>0.0211837207461086</v>
      </c>
    </row>
    <row r="11" customFormat="false" ht="15" hidden="false" customHeight="true" outlineLevel="0" collapsed="false">
      <c r="B11" s="11" t="s">
        <v>284</v>
      </c>
      <c r="C11" s="60"/>
      <c r="D11" s="60"/>
      <c r="E11" s="60"/>
      <c r="F11" s="60"/>
      <c r="G11" s="60"/>
      <c r="H11" s="60"/>
    </row>
    <row r="12" customFormat="false" ht="15" hidden="false" customHeight="true" outlineLevel="0" collapsed="false">
      <c r="B12" s="20" t="s">
        <v>285</v>
      </c>
      <c r="C12" s="21" t="s">
        <v>241</v>
      </c>
      <c r="D12" s="30" t="n">
        <f aca="false">IFERROR(F12/E12,0)</f>
        <v>4937.03807066388</v>
      </c>
      <c r="E12" s="61" t="n">
        <v>5000</v>
      </c>
      <c r="F12" s="13" t="n">
        <v>24685190.3533194</v>
      </c>
      <c r="G12" s="14" t="n">
        <f aca="false">IFERROR(F12/$F$20,0)</f>
        <v>0.903016693593393</v>
      </c>
      <c r="H12" s="64" t="s">
        <v>286</v>
      </c>
    </row>
    <row r="13" customFormat="false" ht="15" hidden="false" customHeight="true" outlineLevel="0" collapsed="false">
      <c r="B13" s="20" t="s">
        <v>287</v>
      </c>
      <c r="C13" s="21" t="s">
        <v>241</v>
      </c>
      <c r="D13" s="30" t="n">
        <f aca="false">IFERROR(F13/E13,0)</f>
        <v>341.777802852018</v>
      </c>
      <c r="E13" s="61" t="n">
        <v>1119.94</v>
      </c>
      <c r="F13" s="13" t="n">
        <v>382770.632526089</v>
      </c>
      <c r="G13" s="14" t="n">
        <f aca="false">IFERROR(F13/$F$20,0)</f>
        <v>0.0140022526073769</v>
      </c>
      <c r="H13" s="64" t="s">
        <v>280</v>
      </c>
    </row>
    <row r="14" customFormat="false" ht="15" hidden="false" customHeight="true" outlineLevel="0" collapsed="false">
      <c r="B14" s="20" t="s">
        <v>288</v>
      </c>
      <c r="C14" s="21" t="s">
        <v>241</v>
      </c>
      <c r="D14" s="30" t="n">
        <f aca="false">IFERROR(F14/E14,0)</f>
        <v>348.434711714666</v>
      </c>
      <c r="E14" s="61" t="n">
        <v>3334.62</v>
      </c>
      <c r="F14" s="13" t="n">
        <v>1161897.35837796</v>
      </c>
      <c r="G14" s="14" t="n">
        <f aca="false">IFERROR(F14/$F$20,0)</f>
        <v>0.0425037318262477</v>
      </c>
      <c r="H14" s="64" t="s">
        <v>280</v>
      </c>
    </row>
    <row r="15" customFormat="false" ht="15" hidden="false" customHeight="true" outlineLevel="0" collapsed="false">
      <c r="B15" s="20" t="s">
        <v>289</v>
      </c>
      <c r="C15" s="21" t="s">
        <v>241</v>
      </c>
      <c r="D15" s="30" t="n">
        <f aca="false">IFERROR(F15/E15,0)</f>
        <v>1080.5373280042</v>
      </c>
      <c r="E15" s="61" t="n">
        <v>162.56</v>
      </c>
      <c r="F15" s="13" t="n">
        <v>175652.148040362</v>
      </c>
      <c r="G15" s="14" t="n">
        <f aca="false">IFERROR(F15/$F$20,0)</f>
        <v>0.00642558634046165</v>
      </c>
      <c r="H15" s="64" t="s">
        <v>280</v>
      </c>
    </row>
    <row r="16" customFormat="false" ht="15" hidden="false" customHeight="true" outlineLevel="0" collapsed="false">
      <c r="B16" s="20" t="s">
        <v>290</v>
      </c>
      <c r="C16" s="21" t="s">
        <v>241</v>
      </c>
      <c r="D16" s="30" t="n">
        <f aca="false">IFERROR(F16/E16,0)</f>
        <v>88.3084134538345</v>
      </c>
      <c r="E16" s="61" t="n">
        <v>2000</v>
      </c>
      <c r="F16" s="13" t="n">
        <v>176616.826907669</v>
      </c>
      <c r="G16" s="14" t="n">
        <f aca="false">IFERROR(F16/$F$20,0)</f>
        <v>0.00646087556078634</v>
      </c>
      <c r="H16" s="64" t="s">
        <v>280</v>
      </c>
    </row>
    <row r="17" customFormat="false" ht="15" hidden="false" customHeight="true" outlineLevel="0" collapsed="false">
      <c r="B17" s="20" t="s">
        <v>291</v>
      </c>
      <c r="C17" s="21" t="s">
        <v>241</v>
      </c>
      <c r="D17" s="30" t="n">
        <f aca="false">IFERROR(F17/E17,0)</f>
        <v>872.945941900185</v>
      </c>
      <c r="E17" s="61" t="n">
        <v>200.64</v>
      </c>
      <c r="F17" s="13" t="n">
        <v>175147.873782853</v>
      </c>
      <c r="G17" s="14" t="n">
        <f aca="false">IFERROR(F17/$F$20,0)</f>
        <v>0.00640713932562554</v>
      </c>
      <c r="H17" s="64" t="s">
        <v>280</v>
      </c>
    </row>
    <row r="18" customFormat="false" ht="15" hidden="false" customHeight="true" outlineLevel="0" collapsed="false">
      <c r="B18" s="27" t="s">
        <v>292</v>
      </c>
      <c r="F18" s="23" t="n">
        <f aca="false">SUM(F12:F17)</f>
        <v>26757275.1929543</v>
      </c>
      <c r="G18" s="14" t="n">
        <f aca="false">IFERROR(F18/$F$20,0)</f>
        <v>0.978816279253891</v>
      </c>
    </row>
    <row r="20" customFormat="false" ht="15" hidden="false" customHeight="true" outlineLevel="0" collapsed="false">
      <c r="B20" s="15" t="s">
        <v>293</v>
      </c>
      <c r="F20" s="16" t="n">
        <f aca="false">F9+F18</f>
        <v>27336361.0312553</v>
      </c>
      <c r="G20" s="14" t="n">
        <f aca="false">IFERROR(F20/$F$20,0)</f>
        <v>1</v>
      </c>
    </row>
    <row r="22" customFormat="false" ht="15" hidden="false" customHeight="true" outlineLevel="0" collapsed="false">
      <c r="B22" s="11" t="s">
        <v>294</v>
      </c>
      <c r="C22" s="60"/>
      <c r="D22" s="60"/>
      <c r="E22" s="60"/>
      <c r="F22" s="60"/>
      <c r="G22" s="60"/>
      <c r="H22" s="60"/>
    </row>
    <row r="23" customFormat="false" ht="15" hidden="false" customHeight="true" outlineLevel="0" collapsed="false">
      <c r="B23" s="27" t="s">
        <v>295</v>
      </c>
      <c r="F23" s="27" t="s">
        <v>275</v>
      </c>
      <c r="H23" s="27" t="s">
        <v>296</v>
      </c>
    </row>
    <row r="24" customFormat="false" ht="23.25" hidden="false" customHeight="true" outlineLevel="0" collapsed="false">
      <c r="B24" s="7" t="s">
        <v>297</v>
      </c>
      <c r="F24" s="13" t="n">
        <v>1018194.0197046</v>
      </c>
      <c r="H24" s="65" t="s">
        <v>298</v>
      </c>
    </row>
    <row r="25" customFormat="false" ht="23.25" hidden="false" customHeight="true" outlineLevel="0" collapsed="false">
      <c r="B25" s="7" t="s">
        <v>299</v>
      </c>
      <c r="F25" s="13" t="n">
        <v>94026.7687233843</v>
      </c>
      <c r="H25" s="65" t="s">
        <v>300</v>
      </c>
    </row>
    <row r="26" customFormat="false" ht="15" hidden="false" customHeight="true" outlineLevel="0" collapsed="false">
      <c r="B26" s="7" t="s">
        <v>301</v>
      </c>
      <c r="F26" s="13" t="n">
        <v>0</v>
      </c>
    </row>
    <row r="27" customFormat="false" ht="15" hidden="false" customHeight="true" outlineLevel="0" collapsed="false">
      <c r="B27" s="27" t="s">
        <v>302</v>
      </c>
      <c r="F27" s="23" t="n">
        <f aca="false">SUM(F24:F26)</f>
        <v>1112220.78842798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2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7" min="6" style="1" width="16"/>
    <col collapsed="false" customWidth="true" hidden="false" outlineLevel="0" max="8" min="8" style="1" width="30"/>
  </cols>
  <sheetData>
    <row r="2" customFormat="false" ht="15" hidden="false" customHeight="true" outlineLevel="0" collapsed="false">
      <c r="B2" s="3" t="s">
        <v>303</v>
      </c>
      <c r="G2" s="52" t="s">
        <v>304</v>
      </c>
    </row>
    <row r="5" customFormat="false" ht="30" hidden="false" customHeight="true" outlineLevel="0" collapsed="false">
      <c r="B5" s="19" t="s">
        <v>305</v>
      </c>
      <c r="C5" s="19" t="s">
        <v>43</v>
      </c>
      <c r="D5" s="19" t="s">
        <v>274</v>
      </c>
      <c r="E5" s="19" t="s">
        <v>273</v>
      </c>
      <c r="F5" s="19" t="s">
        <v>275</v>
      </c>
    </row>
    <row r="6" customFormat="false" ht="15" hidden="false" customHeight="true" outlineLevel="0" collapsed="false">
      <c r="B6" s="20" t="s">
        <v>306</v>
      </c>
      <c r="C6" s="21" t="s">
        <v>307</v>
      </c>
      <c r="D6" s="61" t="n">
        <v>7619042.4</v>
      </c>
      <c r="E6" s="66" t="n">
        <f aca="false">IFERROR(F6/D6,0)</f>
        <v>0.10284668266065</v>
      </c>
      <c r="F6" s="13" t="n">
        <v>783593.235890839</v>
      </c>
    </row>
    <row r="7" customFormat="false" ht="15" hidden="false" customHeight="true" outlineLevel="0" collapsed="false">
      <c r="B7" s="20" t="s">
        <v>308</v>
      </c>
      <c r="C7" s="21" t="s">
        <v>309</v>
      </c>
      <c r="D7" s="61" t="n">
        <v>2959722.4</v>
      </c>
      <c r="E7" s="66" t="n">
        <f aca="false">IFERROR(F7/D7,0)</f>
        <v>0.172561522794754</v>
      </c>
      <c r="F7" s="13" t="n">
        <v>510734.204393743</v>
      </c>
    </row>
    <row r="8" customFormat="false" ht="15" hidden="false" customHeight="true" outlineLevel="0" collapsed="false">
      <c r="B8" s="7" t="s">
        <v>310</v>
      </c>
      <c r="F8" s="13" t="n">
        <v>324288.72190542</v>
      </c>
    </row>
    <row r="9" customFormat="false" ht="15" hidden="false" customHeight="true" outlineLevel="0" collapsed="false">
      <c r="B9" s="7" t="s">
        <v>311</v>
      </c>
      <c r="F9" s="13" t="n">
        <v>0</v>
      </c>
    </row>
    <row r="10" customFormat="false" ht="15" hidden="false" customHeight="true" outlineLevel="0" collapsed="false">
      <c r="B10" s="7" t="s">
        <v>312</v>
      </c>
      <c r="F10" s="13" t="n">
        <v>0</v>
      </c>
    </row>
    <row r="11" customFormat="false" ht="15" hidden="false" customHeight="true" outlineLevel="0" collapsed="false">
      <c r="B11" s="11" t="s">
        <v>313</v>
      </c>
      <c r="F11" s="49" t="n">
        <f aca="false">SUM(F6:F10)</f>
        <v>1618616.16219</v>
      </c>
    </row>
    <row r="13" customFormat="false" ht="15" hidden="false" customHeight="true" outlineLevel="0" collapsed="false">
      <c r="B13" s="34" t="s">
        <v>314</v>
      </c>
    </row>
    <row r="14" customFormat="false" ht="42" hidden="false" customHeight="true" outlineLevel="0" collapsed="false">
      <c r="B14" s="19" t="s">
        <v>42</v>
      </c>
      <c r="C14" s="19" t="s">
        <v>315</v>
      </c>
      <c r="D14" s="19" t="s">
        <v>316</v>
      </c>
      <c r="E14" s="19" t="s">
        <v>317</v>
      </c>
      <c r="F14" s="19" t="s">
        <v>318</v>
      </c>
      <c r="G14" s="19" t="s">
        <v>319</v>
      </c>
    </row>
    <row r="15" customFormat="false" ht="15" hidden="false" customHeight="true" outlineLevel="0" collapsed="false">
      <c r="B15" s="11" t="s">
        <v>320</v>
      </c>
      <c r="C15" s="60"/>
      <c r="D15" s="60"/>
      <c r="E15" s="60"/>
      <c r="F15" s="60"/>
      <c r="G15" s="60"/>
    </row>
    <row r="16" customFormat="false" ht="15" hidden="false" customHeight="true" outlineLevel="0" collapsed="false">
      <c r="B16" s="20" t="s">
        <v>321</v>
      </c>
      <c r="C16" s="61" t="n">
        <v>1</v>
      </c>
      <c r="D16" s="13" t="n">
        <v>17835000</v>
      </c>
      <c r="E16" s="13" t="n">
        <f aca="false">IFERROR(F16/C16/12,0)</f>
        <v>1646.16335187741</v>
      </c>
      <c r="F16" s="13" t="n">
        <v>19753.9602225289</v>
      </c>
      <c r="G16" s="13" t="n">
        <v>2370.47522670347</v>
      </c>
    </row>
    <row r="17" customFormat="false" ht="15" hidden="false" customHeight="true" outlineLevel="0" collapsed="false">
      <c r="B17" s="20" t="s">
        <v>322</v>
      </c>
      <c r="C17" s="61" t="n">
        <v>40</v>
      </c>
      <c r="D17" s="13" t="n">
        <v>15457000</v>
      </c>
      <c r="E17" s="13" t="n">
        <f aca="false">IFERROR(F17/C17/12,0)</f>
        <v>1426.67490496042</v>
      </c>
      <c r="F17" s="13" t="n">
        <v>684803.954381002</v>
      </c>
      <c r="G17" s="13" t="n">
        <v>82176.4745257203</v>
      </c>
    </row>
    <row r="18" customFormat="false" ht="15" hidden="false" customHeight="true" outlineLevel="0" collapsed="false">
      <c r="B18" s="20" t="s">
        <v>321</v>
      </c>
      <c r="C18" s="61" t="n">
        <v>1</v>
      </c>
      <c r="D18" s="13" t="n">
        <v>17835000</v>
      </c>
      <c r="E18" s="13" t="n">
        <f aca="false">IFERROR(F18/C18/12,0)</f>
        <v>1646.16335187741</v>
      </c>
      <c r="F18" s="13" t="n">
        <v>19753.9602225289</v>
      </c>
      <c r="G18" s="13" t="n">
        <v>2370.47522670347</v>
      </c>
    </row>
    <row r="19" customFormat="false" ht="15" hidden="false" customHeight="true" outlineLevel="0" collapsed="false">
      <c r="B19" s="20" t="s">
        <v>323</v>
      </c>
      <c r="C19" s="61" t="n">
        <v>8</v>
      </c>
      <c r="D19" s="13" t="n">
        <v>15457000</v>
      </c>
      <c r="E19" s="13" t="n">
        <f aca="false">IFERROR(F19/C19/12,0)</f>
        <v>1426.67490496043</v>
      </c>
      <c r="F19" s="13" t="n">
        <v>136960.790876201</v>
      </c>
      <c r="G19" s="13" t="n">
        <v>16435.2949051441</v>
      </c>
    </row>
    <row r="20" customFormat="false" ht="15" hidden="false" customHeight="true" outlineLevel="0" collapsed="false">
      <c r="B20" s="20" t="s">
        <v>321</v>
      </c>
      <c r="C20" s="61" t="n">
        <v>1</v>
      </c>
      <c r="D20" s="13" t="n">
        <v>17835000</v>
      </c>
      <c r="E20" s="13" t="n">
        <f aca="false">IFERROR(F20/C20/12,0)</f>
        <v>1646.16335187741</v>
      </c>
      <c r="F20" s="13" t="n">
        <v>19753.9602225289</v>
      </c>
      <c r="G20" s="13" t="n">
        <v>2370.47522670347</v>
      </c>
    </row>
    <row r="21" customFormat="false" ht="15" hidden="false" customHeight="true" outlineLevel="0" collapsed="false">
      <c r="B21" s="20" t="s">
        <v>324</v>
      </c>
      <c r="C21" s="61" t="n">
        <v>12</v>
      </c>
      <c r="D21" s="13" t="n">
        <v>15457000</v>
      </c>
      <c r="E21" s="13" t="n">
        <f aca="false">IFERROR(F21/C21/12,0)</f>
        <v>1426.67490496042</v>
      </c>
      <c r="F21" s="13" t="n">
        <v>205441.186314301</v>
      </c>
      <c r="G21" s="13" t="n">
        <v>24652.9423577161</v>
      </c>
    </row>
    <row r="22" customFormat="false" ht="15" hidden="false" customHeight="true" outlineLevel="0" collapsed="false">
      <c r="B22" s="20" t="s">
        <v>325</v>
      </c>
      <c r="C22" s="61" t="n">
        <v>1</v>
      </c>
      <c r="D22" s="13" t="n">
        <v>9512000</v>
      </c>
      <c r="E22" s="13" t="n">
        <f aca="false">IFERROR(F22/C22/12,0)</f>
        <v>877.95378766795</v>
      </c>
      <c r="F22" s="13" t="n">
        <v>10535.4454520154</v>
      </c>
      <c r="G22" s="13" t="n">
        <v>1264.25345424185</v>
      </c>
    </row>
    <row r="23" customFormat="false" ht="15" hidden="false" customHeight="true" outlineLevel="0" collapsed="false">
      <c r="B23" s="20" t="s">
        <v>326</v>
      </c>
      <c r="C23" s="61" t="n">
        <v>8</v>
      </c>
      <c r="D23" s="13" t="n">
        <v>11592750</v>
      </c>
      <c r="E23" s="13" t="n">
        <f aca="false">IFERROR(F23/C23/12,0)</f>
        <v>1070.00617872031</v>
      </c>
      <c r="F23" s="13" t="n">
        <v>102720.59315715</v>
      </c>
      <c r="G23" s="13" t="n">
        <v>12326.471178858</v>
      </c>
    </row>
    <row r="24" customFormat="false" ht="15" hidden="false" customHeight="true" outlineLevel="0" collapsed="false">
      <c r="B24" s="20" t="s">
        <v>327</v>
      </c>
      <c r="C24" s="61" t="n">
        <v>8</v>
      </c>
      <c r="D24" s="13" t="n">
        <v>11592750</v>
      </c>
      <c r="E24" s="13" t="n">
        <f aca="false">IFERROR(F24/C24/12,0)</f>
        <v>1070.00617872031</v>
      </c>
      <c r="F24" s="13" t="n">
        <v>102720.59315715</v>
      </c>
      <c r="G24" s="13" t="n">
        <v>12326.471178858</v>
      </c>
    </row>
    <row r="25" customFormat="false" ht="15" hidden="false" customHeight="true" outlineLevel="0" collapsed="false">
      <c r="B25" s="20" t="s">
        <v>328</v>
      </c>
      <c r="C25" s="61" t="n">
        <v>12</v>
      </c>
      <c r="D25" s="13" t="n">
        <v>11592750</v>
      </c>
      <c r="E25" s="13" t="n">
        <f aca="false">IFERROR(F25/C25/12,0)</f>
        <v>1070.00617872032</v>
      </c>
      <c r="F25" s="13" t="n">
        <v>154080.889735726</v>
      </c>
      <c r="G25" s="13" t="n">
        <v>18489.7067682871</v>
      </c>
    </row>
    <row r="26" customFormat="false" ht="15" hidden="false" customHeight="true" outlineLevel="0" collapsed="false">
      <c r="B26" s="20" t="s">
        <v>329</v>
      </c>
      <c r="C26" s="61" t="n">
        <v>10</v>
      </c>
      <c r="D26" s="13" t="n">
        <v>7134000</v>
      </c>
      <c r="E26" s="13" t="n">
        <f aca="false">IFERROR(F26/C26/12,0)</f>
        <v>658.465340750963</v>
      </c>
      <c r="F26" s="13" t="n">
        <v>79015.8408901156</v>
      </c>
      <c r="G26" s="13" t="n">
        <v>9481.90090681388</v>
      </c>
    </row>
    <row r="27" customFormat="false" ht="15" hidden="false" customHeight="true" outlineLevel="0" collapsed="false">
      <c r="B27" s="20" t="s">
        <v>330</v>
      </c>
      <c r="C27" s="61" t="n">
        <v>8</v>
      </c>
      <c r="D27" s="13" t="n">
        <v>8917500</v>
      </c>
      <c r="E27" s="13" t="n">
        <f aca="false">IFERROR(F27/C27/12,0)</f>
        <v>823.081675938704</v>
      </c>
      <c r="F27" s="13" t="n">
        <v>79015.8408901156</v>
      </c>
      <c r="G27" s="13" t="n">
        <v>9481.90090681388</v>
      </c>
    </row>
    <row r="28" customFormat="false" ht="15" hidden="false" customHeight="true" outlineLevel="0" collapsed="false">
      <c r="B28" s="27" t="s">
        <v>168</v>
      </c>
      <c r="C28" s="67" t="n">
        <f aca="false">SUM(C16:C27)</f>
        <v>110</v>
      </c>
      <c r="F28" s="23" t="n">
        <f aca="false">SUM(F16:F27)</f>
        <v>1614557.01552136</v>
      </c>
      <c r="G28" s="23" t="n">
        <f aca="false">SUM(G16:G27)</f>
        <v>193746.841862564</v>
      </c>
    </row>
    <row r="29" customFormat="false" ht="15" hidden="false" customHeight="true" outlineLevel="0" collapsed="false">
      <c r="B29" s="11" t="s">
        <v>331</v>
      </c>
      <c r="F29" s="49" t="n">
        <f aca="false">F28+G28</f>
        <v>1808303.85738393</v>
      </c>
    </row>
    <row r="31" customFormat="false" ht="15" hidden="false" customHeight="true" outlineLevel="0" collapsed="false">
      <c r="B31" s="11" t="s">
        <v>332</v>
      </c>
      <c r="C31" s="60"/>
      <c r="D31" s="60"/>
      <c r="E31" s="60"/>
      <c r="F31" s="60"/>
      <c r="G31" s="60"/>
    </row>
    <row r="32" customFormat="false" ht="15" hidden="false" customHeight="true" outlineLevel="0" collapsed="false">
      <c r="B32" s="20" t="s">
        <v>333</v>
      </c>
      <c r="C32" s="61" t="n">
        <v>1</v>
      </c>
      <c r="D32" s="13" t="n">
        <v>35670000</v>
      </c>
      <c r="E32" s="13" t="n">
        <f aca="false">IFERROR(F32/C32/12,0)</f>
        <v>3292.32670375482</v>
      </c>
      <c r="F32" s="13" t="n">
        <v>39507.9204450578</v>
      </c>
      <c r="G32" s="13" t="n">
        <v>4740.95045340694</v>
      </c>
    </row>
    <row r="33" customFormat="false" ht="15" hidden="false" customHeight="true" outlineLevel="0" collapsed="false">
      <c r="B33" s="20" t="s">
        <v>334</v>
      </c>
      <c r="C33" s="61" t="n">
        <v>1</v>
      </c>
      <c r="D33" s="13" t="n">
        <v>23780000</v>
      </c>
      <c r="E33" s="13" t="n">
        <f aca="false">IFERROR(F33/C33/12,0)</f>
        <v>2194.88446916988</v>
      </c>
      <c r="F33" s="13" t="n">
        <v>26338.6136300386</v>
      </c>
      <c r="G33" s="13" t="n">
        <v>3160.63363560463</v>
      </c>
    </row>
    <row r="34" customFormat="false" ht="15" hidden="false" customHeight="true" outlineLevel="0" collapsed="false">
      <c r="B34" s="20" t="s">
        <v>335</v>
      </c>
      <c r="C34" s="61" t="n">
        <v>3</v>
      </c>
      <c r="D34" s="13" t="n">
        <v>8323000</v>
      </c>
      <c r="E34" s="13" t="n">
        <f aca="false">IFERROR(F34/C34/12,0)</f>
        <v>768.209564209458</v>
      </c>
      <c r="F34" s="13" t="n">
        <v>27655.5443115405</v>
      </c>
      <c r="G34" s="13" t="n">
        <v>3318.66531738486</v>
      </c>
    </row>
    <row r="35" customFormat="false" ht="15" hidden="false" customHeight="true" outlineLevel="0" collapsed="false">
      <c r="B35" s="20" t="s">
        <v>336</v>
      </c>
      <c r="C35" s="61" t="n">
        <v>1</v>
      </c>
      <c r="D35" s="13" t="n">
        <v>14268000</v>
      </c>
      <c r="E35" s="13" t="n">
        <f aca="false">IFERROR(F35/C35/12,0)</f>
        <v>1316.93068150193</v>
      </c>
      <c r="F35" s="13" t="n">
        <v>15803.1681780231</v>
      </c>
      <c r="G35" s="13" t="n">
        <v>1896.38018136278</v>
      </c>
    </row>
    <row r="36" customFormat="false" ht="15" hidden="false" customHeight="true" outlineLevel="0" collapsed="false">
      <c r="B36" s="20" t="s">
        <v>337</v>
      </c>
      <c r="C36" s="61" t="n">
        <v>1</v>
      </c>
      <c r="D36" s="13" t="n">
        <v>11890000</v>
      </c>
      <c r="E36" s="13" t="n">
        <f aca="false">IFERROR(F36/C36/12,0)</f>
        <v>1097.44223458494</v>
      </c>
      <c r="F36" s="13" t="n">
        <v>13169.3068150193</v>
      </c>
      <c r="G36" s="13" t="n">
        <v>1580.31681780231</v>
      </c>
    </row>
    <row r="37" customFormat="false" ht="15" hidden="false" customHeight="true" outlineLevel="0" collapsed="false">
      <c r="B37" s="20" t="s">
        <v>338</v>
      </c>
      <c r="C37" s="61" t="n">
        <v>1</v>
      </c>
      <c r="D37" s="13" t="n">
        <v>8323000</v>
      </c>
      <c r="E37" s="13" t="n">
        <f aca="false">IFERROR(F37/C37/12,0)</f>
        <v>768.209564209457</v>
      </c>
      <c r="F37" s="13" t="n">
        <v>9218.51477051349</v>
      </c>
      <c r="G37" s="13" t="n">
        <v>1106.22177246162</v>
      </c>
    </row>
    <row r="38" customFormat="false" ht="15" hidden="false" customHeight="true" outlineLevel="0" collapsed="false">
      <c r="B38" s="20" t="s">
        <v>339</v>
      </c>
      <c r="C38" s="61" t="n">
        <v>1</v>
      </c>
      <c r="D38" s="13" t="n">
        <v>14268000</v>
      </c>
      <c r="E38" s="13" t="n">
        <f aca="false">IFERROR(F38/C38/12,0)</f>
        <v>1316.93068150193</v>
      </c>
      <c r="F38" s="13" t="n">
        <v>15803.1681780231</v>
      </c>
      <c r="G38" s="13" t="n">
        <v>1896.38018136278</v>
      </c>
    </row>
    <row r="39" customFormat="false" ht="15" hidden="false" customHeight="true" outlineLevel="0" collapsed="false">
      <c r="B39" s="20" t="s">
        <v>340</v>
      </c>
      <c r="C39" s="61" t="n">
        <v>1</v>
      </c>
      <c r="D39" s="13" t="n">
        <v>9512000</v>
      </c>
      <c r="E39" s="13" t="n">
        <f aca="false">IFERROR(F39/C39/12,0)</f>
        <v>877.95378766795</v>
      </c>
      <c r="F39" s="13" t="n">
        <v>10535.4454520154</v>
      </c>
      <c r="G39" s="13" t="n">
        <v>1264.25345424185</v>
      </c>
    </row>
    <row r="40" customFormat="false" ht="15" hidden="false" customHeight="true" outlineLevel="0" collapsed="false">
      <c r="B40" s="20" t="s">
        <v>341</v>
      </c>
      <c r="C40" s="61" t="n">
        <v>1</v>
      </c>
      <c r="D40" s="13" t="n">
        <v>9512000</v>
      </c>
      <c r="E40" s="13" t="n">
        <f aca="false">IFERROR(F40/C40/12,0)</f>
        <v>877.95378766795</v>
      </c>
      <c r="F40" s="13" t="n">
        <v>10535.4454520154</v>
      </c>
      <c r="G40" s="13" t="n">
        <v>1264.25345424185</v>
      </c>
    </row>
    <row r="41" customFormat="false" ht="15" hidden="false" customHeight="true" outlineLevel="0" collapsed="false">
      <c r="B41" s="20" t="s">
        <v>342</v>
      </c>
      <c r="C41" s="61" t="n">
        <v>1</v>
      </c>
      <c r="D41" s="13" t="n">
        <v>14268000</v>
      </c>
      <c r="E41" s="13" t="n">
        <f aca="false">IFERROR(F41/C41/12,0)</f>
        <v>1316.93068150193</v>
      </c>
      <c r="F41" s="13" t="n">
        <v>15803.1681780231</v>
      </c>
      <c r="G41" s="13" t="n">
        <v>1896.38018136278</v>
      </c>
    </row>
    <row r="42" customFormat="false" ht="15" hidden="false" customHeight="true" outlineLevel="0" collapsed="false">
      <c r="B42" s="20" t="s">
        <v>343</v>
      </c>
      <c r="C42" s="61" t="n">
        <v>1</v>
      </c>
      <c r="D42" s="13" t="n">
        <v>9512000</v>
      </c>
      <c r="E42" s="13" t="n">
        <f aca="false">IFERROR(F42/C42/12,0)</f>
        <v>877.95378766795</v>
      </c>
      <c r="F42" s="13" t="n">
        <v>10535.4454520154</v>
      </c>
      <c r="G42" s="13" t="n">
        <v>1264.25345424185</v>
      </c>
    </row>
    <row r="43" customFormat="false" ht="15" hidden="false" customHeight="true" outlineLevel="0" collapsed="false">
      <c r="B43" s="20" t="s">
        <v>344</v>
      </c>
      <c r="C43" s="61" t="n">
        <v>1</v>
      </c>
      <c r="D43" s="13" t="n">
        <v>9512000</v>
      </c>
      <c r="E43" s="13" t="n">
        <f aca="false">IFERROR(F43/C43/12,0)</f>
        <v>877.95378766795</v>
      </c>
      <c r="F43" s="13" t="n">
        <v>10535.4454520154</v>
      </c>
      <c r="G43" s="13" t="n">
        <v>1264.25345424185</v>
      </c>
    </row>
    <row r="44" customFormat="false" ht="15" hidden="false" customHeight="true" outlineLevel="0" collapsed="false">
      <c r="B44" s="20" t="s">
        <v>345</v>
      </c>
      <c r="C44" s="61" t="n">
        <v>1</v>
      </c>
      <c r="D44" s="13" t="n">
        <v>17835000</v>
      </c>
      <c r="E44" s="13" t="n">
        <f aca="false">IFERROR(F44/C44/12,0)</f>
        <v>1646.16335187741</v>
      </c>
      <c r="F44" s="13" t="n">
        <v>19753.9602225289</v>
      </c>
      <c r="G44" s="13" t="n">
        <v>2370.47522670347</v>
      </c>
    </row>
    <row r="45" customFormat="false" ht="15" hidden="false" customHeight="true" outlineLevel="0" collapsed="false">
      <c r="B45" s="20" t="s">
        <v>346</v>
      </c>
      <c r="C45" s="61" t="n">
        <v>2</v>
      </c>
      <c r="D45" s="13" t="n">
        <v>14268000</v>
      </c>
      <c r="E45" s="13" t="n">
        <f aca="false">IFERROR(F45/C45/12,0)</f>
        <v>1316.93068150193</v>
      </c>
      <c r="F45" s="13" t="n">
        <v>31606.3363560463</v>
      </c>
      <c r="G45" s="13" t="n">
        <v>3792.76036272555</v>
      </c>
    </row>
    <row r="46" customFormat="false" ht="15" hidden="false" customHeight="true" outlineLevel="0" collapsed="false">
      <c r="B46" s="20" t="s">
        <v>347</v>
      </c>
      <c r="C46" s="61" t="n">
        <v>1</v>
      </c>
      <c r="D46" s="13" t="n">
        <v>14268000</v>
      </c>
      <c r="E46" s="13" t="n">
        <f aca="false">IFERROR(F46/C46/12,0)</f>
        <v>1316.93068150193</v>
      </c>
      <c r="F46" s="13" t="n">
        <v>15803.1681780231</v>
      </c>
      <c r="G46" s="13" t="n">
        <v>1896.38018136278</v>
      </c>
    </row>
    <row r="47" customFormat="false" ht="15" hidden="false" customHeight="true" outlineLevel="0" collapsed="false">
      <c r="B47" s="20" t="s">
        <v>348</v>
      </c>
      <c r="C47" s="61" t="n">
        <v>2</v>
      </c>
      <c r="D47" s="13" t="n">
        <v>7134000</v>
      </c>
      <c r="E47" s="13" t="n">
        <f aca="false">IFERROR(F47/C47/12,0)</f>
        <v>658.465340750963</v>
      </c>
      <c r="F47" s="13" t="n">
        <v>15803.1681780231</v>
      </c>
      <c r="G47" s="13" t="n">
        <v>1896.38018136278</v>
      </c>
    </row>
    <row r="48" customFormat="false" ht="15" hidden="false" customHeight="true" outlineLevel="0" collapsed="false">
      <c r="B48" s="20" t="s">
        <v>349</v>
      </c>
      <c r="C48" s="61" t="n">
        <v>5</v>
      </c>
      <c r="D48" s="13" t="n">
        <v>7134000</v>
      </c>
      <c r="E48" s="13" t="n">
        <f aca="false">IFERROR(F48/C48/12,0)</f>
        <v>658.465340750963</v>
      </c>
      <c r="F48" s="13" t="n">
        <v>39507.9204450578</v>
      </c>
      <c r="G48" s="13" t="n">
        <v>4740.95045340694</v>
      </c>
    </row>
    <row r="49" customFormat="false" ht="15" hidden="false" customHeight="true" outlineLevel="0" collapsed="false">
      <c r="B49" s="20" t="s">
        <v>350</v>
      </c>
      <c r="C49" s="61" t="n">
        <v>3</v>
      </c>
      <c r="D49" s="13" t="n">
        <v>7134000</v>
      </c>
      <c r="E49" s="13" t="n">
        <f aca="false">IFERROR(F49/C49/12,0)</f>
        <v>658.465340750964</v>
      </c>
      <c r="F49" s="13" t="n">
        <v>23704.7522670347</v>
      </c>
      <c r="G49" s="13" t="n">
        <v>2844.57027204416</v>
      </c>
    </row>
    <row r="50" customFormat="false" ht="15" hidden="false" customHeight="true" outlineLevel="0" collapsed="false">
      <c r="B50" s="27" t="s">
        <v>168</v>
      </c>
      <c r="C50" s="67" t="n">
        <f aca="false">SUM(C32:C49)</f>
        <v>28</v>
      </c>
      <c r="F50" s="23" t="n">
        <f aca="false">SUM(F32:F49)</f>
        <v>351620.491961015</v>
      </c>
      <c r="G50" s="23" t="n">
        <f aca="false">SUM(G32:G49)</f>
        <v>42194.4590353218</v>
      </c>
    </row>
    <row r="51" customFormat="false" ht="15" hidden="false" customHeight="true" outlineLevel="0" collapsed="false">
      <c r="B51" s="11" t="s">
        <v>331</v>
      </c>
      <c r="F51" s="49" t="n">
        <f aca="false">F50+G50</f>
        <v>393814.950996336</v>
      </c>
    </row>
    <row r="53" customFormat="false" ht="15" hidden="false" customHeight="true" outlineLevel="0" collapsed="false">
      <c r="B53" s="15" t="s">
        <v>351</v>
      </c>
      <c r="C53" s="68" t="n">
        <f aca="false">C28+C50</f>
        <v>138</v>
      </c>
      <c r="F53" s="16" t="n">
        <f aca="false">F29+F51</f>
        <v>2202118.80838026</v>
      </c>
    </row>
    <row r="54" customFormat="false" ht="15" hidden="false" customHeight="true" outlineLevel="0" collapsed="false">
      <c r="B54" s="4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1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353</v>
      </c>
      <c r="K2" s="52" t="s">
        <v>354</v>
      </c>
    </row>
    <row r="4" customFormat="false" ht="30" hidden="false" customHeight="true" outlineLevel="0" collapsed="false">
      <c r="B4" s="18" t="s">
        <v>42</v>
      </c>
      <c r="C4" s="19" t="s">
        <v>355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</row>
    <row r="5" customFormat="false" ht="15" hidden="false" customHeight="true" outlineLevel="0" collapsed="false">
      <c r="B5" s="6"/>
      <c r="C5" s="6"/>
      <c r="D5" s="18" t="s">
        <v>51</v>
      </c>
      <c r="E5" s="18" t="s">
        <v>52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</row>
    <row r="6" customFormat="false" ht="15" hidden="false" customHeight="true" outlineLevel="0" collapsed="false">
      <c r="B6" s="11" t="s">
        <v>356</v>
      </c>
      <c r="C6" s="60"/>
      <c r="D6" s="49" t="n">
        <f aca="false">SUM(D7:D11)</f>
        <v>354260.87242687</v>
      </c>
      <c r="E6" s="49" t="n">
        <f aca="false">SUM(E7:E11)</f>
        <v>741803.025124145</v>
      </c>
      <c r="F6" s="49" t="n">
        <f aca="false">SUM(F7:F11)</f>
        <v>736166.572957177</v>
      </c>
      <c r="G6" s="49" t="n">
        <f aca="false">SUM(G7:G11)</f>
        <v>730661.189531814</v>
      </c>
      <c r="H6" s="49" t="n">
        <f aca="false">SUM(H7:H11)</f>
        <v>725269.654544425</v>
      </c>
      <c r="I6" s="49" t="n">
        <f aca="false">SUM(I7:I11)</f>
        <v>719992.31514667</v>
      </c>
      <c r="J6" s="49" t="n">
        <f aca="false">SUM(J7:J11)</f>
        <v>714831.683641521</v>
      </c>
      <c r="K6" s="49" t="n">
        <f aca="false">SUM(K7:K11)</f>
        <v>0</v>
      </c>
    </row>
    <row r="7" customFormat="false" ht="15" hidden="false" customHeight="true" outlineLevel="0" collapsed="false">
      <c r="B7" s="20" t="s">
        <v>357</v>
      </c>
      <c r="C7" s="21" t="s">
        <v>358</v>
      </c>
      <c r="D7" s="13" t="n">
        <f aca="false">CostSold!D34</f>
        <v>131837.118272321</v>
      </c>
      <c r="E7" s="13" t="n">
        <f aca="false">CostSold!E34</f>
        <v>515884.375848214</v>
      </c>
      <c r="F7" s="13" t="n">
        <f aca="false">CostSold!F34</f>
        <v>505302.132241071</v>
      </c>
      <c r="G7" s="13" t="n">
        <f aca="false">CostSold!G34</f>
        <v>494719.888633929</v>
      </c>
      <c r="H7" s="13" t="n">
        <f aca="false">CostSold!H34</f>
        <v>484137.645026786</v>
      </c>
      <c r="I7" s="13" t="n">
        <f aca="false">CostSold!I34</f>
        <v>473555.401419643</v>
      </c>
      <c r="J7" s="13" t="n">
        <f aca="false">CostSold!J34</f>
        <v>462973.1578125</v>
      </c>
    </row>
    <row r="8" customFormat="false" ht="15" hidden="false" customHeight="true" outlineLevel="0" collapsed="false">
      <c r="B8" s="20" t="s">
        <v>359</v>
      </c>
      <c r="C8" s="21"/>
      <c r="D8" s="13" t="n">
        <f aca="false">CostSold!D35</f>
        <v>0</v>
      </c>
      <c r="E8" s="13" t="n">
        <f aca="false">CostSold!E35</f>
        <v>0</v>
      </c>
      <c r="F8" s="13" t="n">
        <f aca="false">CostSold!F35</f>
        <v>0</v>
      </c>
      <c r="G8" s="13" t="n">
        <f aca="false">CostSold!G35</f>
        <v>0</v>
      </c>
      <c r="H8" s="13" t="n">
        <f aca="false">CostSold!H35</f>
        <v>0</v>
      </c>
      <c r="I8" s="13" t="n">
        <f aca="false">CostSold!I35</f>
        <v>0</v>
      </c>
      <c r="J8" s="13" t="n">
        <f aca="false">CostSold!J35</f>
        <v>0</v>
      </c>
    </row>
    <row r="9" customFormat="false" ht="15" hidden="false" customHeight="true" outlineLevel="0" collapsed="false">
      <c r="B9" s="20" t="s">
        <v>360</v>
      </c>
      <c r="C9" s="21"/>
      <c r="D9" s="13" t="n">
        <f aca="false">CostSold!D36</f>
        <v>0</v>
      </c>
      <c r="E9" s="13" t="n">
        <f aca="false">CostSold!E36</f>
        <v>0</v>
      </c>
      <c r="F9" s="13" t="n">
        <f aca="false">CostSold!F36</f>
        <v>0</v>
      </c>
      <c r="G9" s="13" t="n">
        <f aca="false">CostSold!G36</f>
        <v>0</v>
      </c>
      <c r="H9" s="13" t="n">
        <f aca="false">CostSold!H36</f>
        <v>0</v>
      </c>
      <c r="I9" s="13" t="n">
        <f aca="false">CostSold!I36</f>
        <v>0</v>
      </c>
      <c r="J9" s="13" t="n">
        <f aca="false">CostSold!J36</f>
        <v>0</v>
      </c>
    </row>
    <row r="10" customFormat="false" ht="15" hidden="false" customHeight="true" outlineLevel="0" collapsed="false">
      <c r="B10" s="20" t="s">
        <v>361</v>
      </c>
      <c r="C10" s="21"/>
      <c r="D10" s="13" t="n">
        <f aca="false">CostSold!D19</f>
        <v>0</v>
      </c>
      <c r="E10" s="13" t="n">
        <f aca="false">CostSold!E19</f>
        <v>0</v>
      </c>
      <c r="F10" s="13" t="n">
        <f aca="false">CostSold!F19</f>
        <v>0</v>
      </c>
      <c r="G10" s="13" t="n">
        <f aca="false">CostSold!G19</f>
        <v>0</v>
      </c>
      <c r="H10" s="13" t="n">
        <f aca="false">CostSold!H19</f>
        <v>0</v>
      </c>
      <c r="I10" s="13" t="n">
        <f aca="false">CostSold!I19</f>
        <v>0</v>
      </c>
      <c r="J10" s="13" t="n">
        <f aca="false">CostSold!J19</f>
        <v>0</v>
      </c>
    </row>
    <row r="11" customFormat="false" ht="23.25" hidden="false" customHeight="true" outlineLevel="0" collapsed="false">
      <c r="B11" s="20" t="s">
        <v>362</v>
      </c>
      <c r="C11" s="21" t="s">
        <v>363</v>
      </c>
      <c r="D11" s="13" t="n">
        <v>222423.754154549</v>
      </c>
      <c r="E11" s="13" t="n">
        <v>225918.649275931</v>
      </c>
      <c r="F11" s="13" t="n">
        <v>230864.440716106</v>
      </c>
      <c r="G11" s="13" t="n">
        <v>235941.300897885</v>
      </c>
      <c r="H11" s="13" t="n">
        <v>241132.009517639</v>
      </c>
      <c r="I11" s="13" t="n">
        <v>246436.913727027</v>
      </c>
      <c r="J11" s="13" t="n">
        <v>251858.525829021</v>
      </c>
    </row>
    <row r="13" customFormat="false" ht="15" hidden="false" customHeight="true" outlineLevel="0" collapsed="false">
      <c r="B13" s="11" t="s">
        <v>364</v>
      </c>
      <c r="C13" s="60"/>
      <c r="D13" s="49" t="n">
        <f aca="false">D14+D15</f>
        <v>9625.47122569673</v>
      </c>
      <c r="E13" s="49" t="n">
        <f aca="false">E14+E15</f>
        <v>1099291.04294347</v>
      </c>
      <c r="F13" s="49" t="n">
        <f aca="false">F14+F15</f>
        <v>1961140.4913647</v>
      </c>
      <c r="G13" s="49" t="n">
        <f aca="false">G14+G15</f>
        <v>2665862.70100625</v>
      </c>
      <c r="H13" s="49" t="n">
        <f aca="false">H14+H15</f>
        <v>2774161.72874966</v>
      </c>
      <c r="I13" s="49" t="n">
        <f aca="false">I14+I15</f>
        <v>2873669.02131528</v>
      </c>
      <c r="J13" s="49" t="n">
        <f aca="false">J14+J15</f>
        <v>2975205.15153269</v>
      </c>
      <c r="K13" s="49" t="n">
        <f aca="false">K14+K15</f>
        <v>0</v>
      </c>
    </row>
    <row r="14" customFormat="false" ht="15" hidden="false" customHeight="true" outlineLevel="0" collapsed="false">
      <c r="B14" s="20" t="s">
        <v>365</v>
      </c>
      <c r="C14" s="21"/>
      <c r="D14" s="13" t="n">
        <f aca="false">ProfLoss!D21</f>
        <v>9625.47122569673</v>
      </c>
      <c r="E14" s="13" t="n">
        <f aca="false">ProfLoss!E21</f>
        <v>1099291.04294347</v>
      </c>
      <c r="F14" s="13" t="n">
        <f aca="false">ProfLoss!F21</f>
        <v>1961140.4913647</v>
      </c>
      <c r="G14" s="13" t="n">
        <f aca="false">ProfLoss!G21</f>
        <v>2665862.70100625</v>
      </c>
      <c r="H14" s="13" t="n">
        <f aca="false">ProfLoss!H21</f>
        <v>2774161.72874966</v>
      </c>
      <c r="I14" s="13" t="n">
        <f aca="false">ProfLoss!I21</f>
        <v>2873669.02131528</v>
      </c>
      <c r="J14" s="13" t="n">
        <f aca="false">ProfLoss!J21</f>
        <v>2975205.15153269</v>
      </c>
    </row>
    <row r="15" customFormat="false" ht="23.25" hidden="false" customHeight="true" outlineLevel="0" collapsed="false">
      <c r="B15" s="20" t="s">
        <v>366</v>
      </c>
      <c r="C15" s="21" t="s">
        <v>363</v>
      </c>
      <c r="D15" s="13" t="n">
        <f aca="false">MAX(0,D22)</f>
        <v>0</v>
      </c>
      <c r="E15" s="13" t="n">
        <f aca="false">MAX(0,E22)</f>
        <v>0</v>
      </c>
      <c r="F15" s="13" t="n">
        <f aca="false">MAX(0,F22)</f>
        <v>0</v>
      </c>
      <c r="G15" s="13" t="n">
        <f aca="false">MAX(0,G22)</f>
        <v>0</v>
      </c>
      <c r="H15" s="13" t="n">
        <f aca="false">MAX(0,H22)</f>
        <v>0</v>
      </c>
      <c r="I15" s="13" t="n">
        <f aca="false">MAX(0,I22)</f>
        <v>0</v>
      </c>
      <c r="J15" s="13" t="n">
        <f aca="false">MAX(0,J22)</f>
        <v>0</v>
      </c>
    </row>
    <row r="16" customFormat="false" ht="15" hidden="false" customHeight="true" outlineLevel="0" collapsed="false">
      <c r="B16" s="39" t="s">
        <v>367</v>
      </c>
      <c r="C16" s="63"/>
      <c r="D16" s="16" t="n">
        <f aca="false">D6+D13</f>
        <v>363886.343652567</v>
      </c>
      <c r="E16" s="16" t="n">
        <f aca="false">E6+E13</f>
        <v>1841094.06806761</v>
      </c>
      <c r="F16" s="16" t="n">
        <f aca="false">F6+F13</f>
        <v>2697307.06432187</v>
      </c>
      <c r="G16" s="16" t="n">
        <f aca="false">G6+G13</f>
        <v>3396523.89053806</v>
      </c>
      <c r="H16" s="16" t="n">
        <f aca="false">H6+H13</f>
        <v>3499431.38329409</v>
      </c>
      <c r="I16" s="16" t="n">
        <f aca="false">I6+I13</f>
        <v>3593661.33646195</v>
      </c>
      <c r="J16" s="16" t="n">
        <f aca="false">J6+J13</f>
        <v>3690036.83517422</v>
      </c>
    </row>
    <row r="18" customFormat="false" ht="15" hidden="false" customHeight="true" outlineLevel="0" collapsed="false">
      <c r="B18" s="34" t="s">
        <v>368</v>
      </c>
    </row>
    <row r="19" customFormat="false" ht="15" hidden="false" customHeight="true" outlineLevel="0" collapsed="false">
      <c r="B19" s="20" t="s">
        <v>369</v>
      </c>
      <c r="C19" s="21"/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</row>
    <row r="20" customFormat="false" ht="15" hidden="false" customHeight="true" outlineLevel="0" collapsed="false">
      <c r="B20" s="20" t="s">
        <v>370</v>
      </c>
      <c r="C20" s="21"/>
      <c r="D20" s="13" t="n">
        <v>867145.917641968</v>
      </c>
      <c r="E20" s="13" t="n">
        <v>2710683.35828531</v>
      </c>
      <c r="F20" s="13" t="n">
        <v>3505443.87401274</v>
      </c>
      <c r="G20" s="13" t="n">
        <v>4146349.51599736</v>
      </c>
      <c r="H20" s="13" t="n">
        <v>4237863.1505301</v>
      </c>
      <c r="I20" s="13" t="n">
        <v>4331096.13984176</v>
      </c>
      <c r="J20" s="13" t="n">
        <v>4426380.25491828</v>
      </c>
    </row>
    <row r="21" customFormat="false" ht="15" hidden="false" customHeight="true" outlineLevel="0" collapsed="false">
      <c r="B21" s="20" t="s">
        <v>371</v>
      </c>
      <c r="C21" s="21"/>
      <c r="D21" s="13" t="n">
        <v>6491364.67039286</v>
      </c>
      <c r="E21" s="13" t="n">
        <v>64751.7672857143</v>
      </c>
      <c r="F21" s="13" t="n">
        <v>64751.7672857143</v>
      </c>
      <c r="G21" s="13" t="n">
        <v>64751.7672857143</v>
      </c>
      <c r="H21" s="13" t="n">
        <v>64751.7672857143</v>
      </c>
      <c r="I21" s="13" t="n">
        <v>64751.7672857143</v>
      </c>
      <c r="J21" s="13" t="n">
        <v>64751.7672857143</v>
      </c>
    </row>
    <row r="22" customFormat="false" ht="15" hidden="false" customHeight="true" outlineLevel="0" collapsed="false">
      <c r="B22" s="62" t="s">
        <v>372</v>
      </c>
      <c r="C22" s="21"/>
      <c r="D22" s="23" t="n">
        <f aca="false">D19-D20-D21</f>
        <v>-7358510.58803483</v>
      </c>
      <c r="E22" s="23" t="n">
        <f aca="false">E19-E20-E21</f>
        <v>-2775435.12557102</v>
      </c>
      <c r="F22" s="23" t="n">
        <f aca="false">F19-F20-F21</f>
        <v>-3570195.64129845</v>
      </c>
      <c r="G22" s="23" t="n">
        <f aca="false">G19-G20-G21</f>
        <v>-4211101.28328307</v>
      </c>
      <c r="H22" s="23" t="n">
        <f aca="false">H19-H20-H21</f>
        <v>-4302614.91781581</v>
      </c>
      <c r="I22" s="23" t="n">
        <f aca="false">I19-I20-I21</f>
        <v>-4395847.90712747</v>
      </c>
      <c r="J22" s="23" t="n">
        <f aca="false">J19-J20-J21</f>
        <v>-4491132.02220399</v>
      </c>
    </row>
    <row r="24" customFormat="false" ht="15" hidden="false" customHeight="true" outlineLevel="0" collapsed="false">
      <c r="B24" s="34" t="s">
        <v>373</v>
      </c>
    </row>
    <row r="25" customFormat="false" ht="15" hidden="false" customHeight="true" outlineLevel="0" collapsed="false">
      <c r="B25" s="20" t="s">
        <v>374</v>
      </c>
      <c r="C25" s="21"/>
      <c r="D25" s="13" t="n">
        <f aca="false">ProfLoss!D20</f>
        <v>64169.8081713128</v>
      </c>
      <c r="E25" s="13" t="n">
        <f aca="false">ProfLoss!E20</f>
        <v>7328606.95295645</v>
      </c>
      <c r="F25" s="13" t="n">
        <f aca="false">ProfLoss!F20</f>
        <v>13074269.9424313</v>
      </c>
      <c r="G25" s="13" t="n">
        <f aca="false">ProfLoss!G20</f>
        <v>17772418.0067083</v>
      </c>
      <c r="H25" s="13" t="n">
        <f aca="false">ProfLoss!H20</f>
        <v>18494411.5249977</v>
      </c>
      <c r="I25" s="13" t="n">
        <f aca="false">ProfLoss!I20</f>
        <v>19157793.4754352</v>
      </c>
      <c r="J25" s="13" t="n">
        <f aca="false">ProfLoss!J20</f>
        <v>19834701.010218</v>
      </c>
    </row>
    <row r="26" customFormat="false" ht="15" hidden="false" customHeight="true" outlineLevel="0" collapsed="false">
      <c r="B26" s="20" t="s">
        <v>375</v>
      </c>
      <c r="C26" s="21"/>
      <c r="D26" s="13" t="n">
        <v>-1.28056854009628E-009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7.45058059692383E-009</v>
      </c>
      <c r="J26" s="13" t="n">
        <v>0</v>
      </c>
    </row>
    <row r="27" customFormat="false" ht="15" hidden="false" customHeight="true" outlineLevel="0" collapsed="false">
      <c r="B27" s="20" t="s">
        <v>376</v>
      </c>
      <c r="C27" s="21"/>
      <c r="D27" s="13" t="n">
        <f aca="false">D25+D26</f>
        <v>64169.8081713115</v>
      </c>
      <c r="E27" s="13" t="n">
        <f aca="false">E25+E26</f>
        <v>7328606.95295645</v>
      </c>
      <c r="F27" s="13" t="n">
        <f aca="false">F25+F26</f>
        <v>13074269.9424313</v>
      </c>
      <c r="G27" s="13" t="n">
        <f aca="false">G25+G26</f>
        <v>17772418.0067083</v>
      </c>
      <c r="H27" s="13" t="n">
        <f aca="false">H25+H26</f>
        <v>18494411.5249977</v>
      </c>
      <c r="I27" s="13" t="n">
        <f aca="false">I25+I26</f>
        <v>19157793.4754352</v>
      </c>
      <c r="J27" s="13" t="n">
        <f aca="false">J25+J26</f>
        <v>19834701.010218</v>
      </c>
    </row>
    <row r="28" customFormat="false" ht="15" hidden="false" customHeight="true" outlineLevel="0" collapsed="false">
      <c r="B28" s="20" t="s">
        <v>377</v>
      </c>
      <c r="C28" s="21" t="s">
        <v>247</v>
      </c>
      <c r="D28" s="14" t="n">
        <v>0.15</v>
      </c>
      <c r="E28" s="14" t="n">
        <v>0.15</v>
      </c>
      <c r="F28" s="14" t="n">
        <v>0.15</v>
      </c>
      <c r="G28" s="14" t="n">
        <v>0.15</v>
      </c>
      <c r="H28" s="14" t="n">
        <v>0.15</v>
      </c>
      <c r="I28" s="14" t="n">
        <v>0.15</v>
      </c>
      <c r="J28" s="14" t="n">
        <v>0.15</v>
      </c>
    </row>
    <row r="29" customFormat="false" ht="15" hidden="false" customHeight="true" outlineLevel="0" collapsed="false">
      <c r="B29" s="62" t="s">
        <v>378</v>
      </c>
      <c r="C29" s="21"/>
      <c r="D29" s="23" t="n">
        <f aca="false">D27*D28</f>
        <v>9625.47122569673</v>
      </c>
      <c r="E29" s="23" t="n">
        <f aca="false">E27*E28</f>
        <v>1099291.04294347</v>
      </c>
      <c r="F29" s="23" t="n">
        <f aca="false">F27*F28</f>
        <v>1961140.4913647</v>
      </c>
      <c r="G29" s="23" t="n">
        <f aca="false">G27*G28</f>
        <v>2665862.70100625</v>
      </c>
      <c r="H29" s="23" t="n">
        <f aca="false">H27*H28</f>
        <v>2774161.72874966</v>
      </c>
      <c r="I29" s="23" t="n">
        <f aca="false">I27*I28</f>
        <v>2873669.02131528</v>
      </c>
      <c r="J29" s="23" t="n">
        <f aca="false">J27*J28</f>
        <v>2975205.15153269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7" min="6" style="1" width="16"/>
    <col collapsed="false" customWidth="true" hidden="false" outlineLevel="0" max="8" min="8" style="1" width="12"/>
  </cols>
  <sheetData>
    <row r="2" customFormat="false" ht="15" hidden="false" customHeight="true" outlineLevel="0" collapsed="false">
      <c r="B2" s="3" t="s">
        <v>379</v>
      </c>
      <c r="H2" s="52" t="s">
        <v>380</v>
      </c>
    </row>
    <row r="3" customFormat="false" ht="15" hidden="false" customHeight="true" outlineLevel="0" collapsed="false">
      <c r="B3" s="53" t="s">
        <v>381</v>
      </c>
    </row>
    <row r="5" customFormat="false" ht="42" hidden="false" customHeight="true" outlineLevel="0" collapsed="false">
      <c r="B5" s="19" t="s">
        <v>382</v>
      </c>
      <c r="C5" s="19" t="s">
        <v>383</v>
      </c>
      <c r="D5" s="19" t="s">
        <v>384</v>
      </c>
      <c r="E5" s="19" t="s">
        <v>385</v>
      </c>
      <c r="F5" s="19" t="s">
        <v>386</v>
      </c>
      <c r="G5" s="19" t="s">
        <v>387</v>
      </c>
    </row>
    <row r="6" customFormat="false" ht="15" hidden="false" customHeight="true" outlineLevel="0" collapsed="false">
      <c r="B6" s="27" t="s">
        <v>388</v>
      </c>
      <c r="C6" s="23" t="n">
        <f aca="false">C7+C8</f>
        <v>27336361.0312552</v>
      </c>
      <c r="D6" s="24" t="n">
        <f aca="false">IFERROR(F6/C6,0)</f>
        <v>0</v>
      </c>
      <c r="E6" s="24" t="n">
        <f aca="false">IFERROR(G6/C6,0)</f>
        <v>1</v>
      </c>
      <c r="F6" s="23" t="n">
        <f aca="false">F7+F8</f>
        <v>0</v>
      </c>
      <c r="G6" s="23" t="n">
        <f aca="false">G7+G8</f>
        <v>27336361.0312552</v>
      </c>
    </row>
    <row r="7" customFormat="false" ht="15" hidden="false" customHeight="true" outlineLevel="0" collapsed="false">
      <c r="B7" s="7" t="s">
        <v>389</v>
      </c>
      <c r="C7" s="13" t="n">
        <f aca="false">F7+G7</f>
        <v>579085.838300916</v>
      </c>
      <c r="D7" s="14" t="n">
        <f aca="false">IFERROR(F7/C7,0)</f>
        <v>0</v>
      </c>
      <c r="E7" s="14" t="n">
        <f aca="false">IFERROR(G7/C7,0)</f>
        <v>1</v>
      </c>
      <c r="F7" s="13" t="s">
        <v>390</v>
      </c>
      <c r="G7" s="13" t="n">
        <v>579085.838300916</v>
      </c>
    </row>
    <row r="8" customFormat="false" ht="15" hidden="false" customHeight="true" outlineLevel="0" collapsed="false">
      <c r="B8" s="7" t="s">
        <v>391</v>
      </c>
      <c r="C8" s="13" t="n">
        <f aca="false">F8+G8</f>
        <v>26757275.1929543</v>
      </c>
      <c r="D8" s="14" t="n">
        <f aca="false">IFERROR(F8/C8,0)</f>
        <v>0</v>
      </c>
      <c r="E8" s="14" t="n">
        <f aca="false">IFERROR(G8/C8,0)</f>
        <v>1</v>
      </c>
      <c r="F8" s="13" t="n">
        <v>0</v>
      </c>
      <c r="G8" s="13" t="n">
        <v>26757275.1929543</v>
      </c>
    </row>
    <row r="9" customFormat="false" ht="15" hidden="false" customHeight="true" outlineLevel="0" collapsed="false">
      <c r="B9" s="27" t="s">
        <v>392</v>
      </c>
      <c r="C9" s="13" t="n">
        <f aca="false">F9+G9</f>
        <v>1618616.16219</v>
      </c>
      <c r="D9" s="14" t="n">
        <f aca="false">IFERROR(F9/C9,0)</f>
        <v>0.200349366008218</v>
      </c>
      <c r="E9" s="14" t="n">
        <f aca="false">IFERROR(G9/C9,0)</f>
        <v>0.799650633991782</v>
      </c>
      <c r="F9" s="13" t="n">
        <v>324288.721905421</v>
      </c>
      <c r="G9" s="13" t="n">
        <v>1294327.44028458</v>
      </c>
    </row>
    <row r="10" customFormat="false" ht="15" hidden="false" customHeight="true" outlineLevel="0" collapsed="false">
      <c r="B10" s="27" t="s">
        <v>393</v>
      </c>
      <c r="C10" s="13" t="n">
        <f aca="false">F10+G10</f>
        <v>1808303.85738393</v>
      </c>
      <c r="D10" s="14" t="n">
        <f aca="false">IFERROR(F10/C10,0)</f>
        <v>1</v>
      </c>
      <c r="E10" s="14" t="n">
        <f aca="false">IFERROR(G10/C10,0)</f>
        <v>0</v>
      </c>
      <c r="F10" s="13" t="n">
        <v>1808303.85738393</v>
      </c>
      <c r="G10" s="13" t="s">
        <v>390</v>
      </c>
    </row>
    <row r="11" customFormat="false" ht="15" hidden="false" customHeight="true" outlineLevel="0" collapsed="false">
      <c r="B11" s="27" t="s">
        <v>394</v>
      </c>
      <c r="C11" s="13" t="n">
        <f aca="false">F11+G11</f>
        <v>393814.950996336</v>
      </c>
      <c r="D11" s="14" t="n">
        <f aca="false">IFERROR(F11/C11,0)</f>
        <v>1</v>
      </c>
      <c r="E11" s="14" t="n">
        <f aca="false">IFERROR(G11/C11,0)</f>
        <v>0</v>
      </c>
      <c r="F11" s="13" t="n">
        <v>393814.950996336</v>
      </c>
      <c r="G11" s="13" t="s">
        <v>390</v>
      </c>
    </row>
    <row r="12" customFormat="false" ht="15" hidden="false" customHeight="true" outlineLevel="0" collapsed="false">
      <c r="B12" s="27" t="s">
        <v>395</v>
      </c>
      <c r="C12" s="13" t="n">
        <f aca="false">F12+G12</f>
        <v>1018194.0197046</v>
      </c>
      <c r="D12" s="14" t="n">
        <f aca="false">IFERROR(F12/C12,0)</f>
        <v>1</v>
      </c>
      <c r="E12" s="14" t="n">
        <f aca="false">IFERROR(G12/C12,0)</f>
        <v>0</v>
      </c>
      <c r="F12" s="13" t="n">
        <v>1018194.0197046</v>
      </c>
      <c r="G12" s="13" t="s">
        <v>390</v>
      </c>
    </row>
    <row r="13" customFormat="false" ht="15" hidden="false" customHeight="true" outlineLevel="0" collapsed="false">
      <c r="B13" s="27" t="s">
        <v>396</v>
      </c>
      <c r="C13" s="13" t="n">
        <f aca="false">F13+G13</f>
        <v>94026.7687233843</v>
      </c>
      <c r="D13" s="14" t="n">
        <f aca="false">IFERROR(F13/C13,0)</f>
        <v>1</v>
      </c>
      <c r="E13" s="14" t="n">
        <f aca="false">IFERROR(G13/C13,0)</f>
        <v>0</v>
      </c>
      <c r="F13" s="13" t="n">
        <v>94026.7687233843</v>
      </c>
      <c r="G13" s="13" t="s">
        <v>390</v>
      </c>
    </row>
    <row r="14" customFormat="false" ht="15" hidden="false" customHeight="true" outlineLevel="0" collapsed="false">
      <c r="B14" s="27" t="s">
        <v>301</v>
      </c>
      <c r="C14" s="13" t="n">
        <f aca="false">F14+G14</f>
        <v>0</v>
      </c>
      <c r="D14" s="14" t="n">
        <f aca="false">IFERROR(F14/C14,0)</f>
        <v>0</v>
      </c>
      <c r="E14" s="14" t="n">
        <f aca="false">IFERROR(G14/C14,0)</f>
        <v>0</v>
      </c>
      <c r="F14" s="13" t="s">
        <v>390</v>
      </c>
      <c r="G14" s="13" t="n">
        <v>0</v>
      </c>
    </row>
    <row r="15" customFormat="false" ht="15" hidden="false" customHeight="true" outlineLevel="0" collapsed="false">
      <c r="B15" s="27" t="s">
        <v>397</v>
      </c>
      <c r="C15" s="13" t="n">
        <f aca="false">F15+G15</f>
        <v>4104621.33974245</v>
      </c>
      <c r="D15" s="14" t="n">
        <f aca="false">IFERROR(F15/C15,0)</f>
        <v>0.689369623154984</v>
      </c>
      <c r="E15" s="14" t="n">
        <f aca="false">IFERROR(G15/C15,0)</f>
        <v>0.310630376845016</v>
      </c>
      <c r="F15" s="13" t="n">
        <v>2829601.26617216</v>
      </c>
      <c r="G15" s="13" t="n">
        <v>1275020.07357029</v>
      </c>
    </row>
    <row r="16" customFormat="false" ht="15" hidden="false" customHeight="true" outlineLevel="0" collapsed="false">
      <c r="B16" s="27" t="s">
        <v>398</v>
      </c>
      <c r="C16" s="13" t="n">
        <f aca="false">F16+G16</f>
        <v>294586.473831563</v>
      </c>
      <c r="D16" s="14" t="n">
        <f aca="false">IFERROR(F16/C16,0)</f>
        <v>0</v>
      </c>
      <c r="E16" s="14" t="n">
        <f aca="false">IFERROR(G16/C16,0)</f>
        <v>1</v>
      </c>
      <c r="F16" s="13" t="s">
        <v>390</v>
      </c>
      <c r="G16" s="13" t="n">
        <v>294586.473831563</v>
      </c>
    </row>
    <row r="17" customFormat="false" ht="15" hidden="false" customHeight="true" outlineLevel="0" collapsed="false">
      <c r="B17" s="27" t="s">
        <v>399</v>
      </c>
      <c r="C17" s="13" t="n">
        <f aca="false">F17+G17</f>
        <v>494719.888633929</v>
      </c>
      <c r="D17" s="14" t="n">
        <f aca="false">IFERROR(F17/C17,0)</f>
        <v>1</v>
      </c>
      <c r="E17" s="14" t="n">
        <f aca="false">IFERROR(G17/C17,0)</f>
        <v>0</v>
      </c>
      <c r="F17" s="13" t="n">
        <v>494719.888633929</v>
      </c>
      <c r="G17" s="13" t="s">
        <v>390</v>
      </c>
    </row>
    <row r="18" customFormat="false" ht="15" hidden="false" customHeight="true" outlineLevel="0" collapsed="false">
      <c r="B18" s="27" t="s">
        <v>400</v>
      </c>
      <c r="C18" s="13" t="n">
        <f aca="false">F18+G18</f>
        <v>0</v>
      </c>
      <c r="D18" s="14" t="n">
        <f aca="false">IFERROR(F18/C18,0)</f>
        <v>0</v>
      </c>
      <c r="E18" s="14" t="n">
        <f aca="false">IFERROR(G18/C18,0)</f>
        <v>0</v>
      </c>
      <c r="F18" s="13" t="s">
        <v>390</v>
      </c>
      <c r="G18" s="13" t="n">
        <v>0</v>
      </c>
    </row>
    <row r="19" customFormat="false" ht="15" hidden="false" customHeight="true" outlineLevel="0" collapsed="false">
      <c r="B19" s="27" t="s">
        <v>401</v>
      </c>
      <c r="C19" s="13" t="n">
        <f aca="false">F19+G19</f>
        <v>733370.49207655</v>
      </c>
      <c r="D19" s="14" t="n">
        <f aca="false">IFERROR(F19/C19,0)</f>
        <v>0</v>
      </c>
      <c r="E19" s="14" t="n">
        <f aca="false">IFERROR(G19/C19,0)</f>
        <v>1</v>
      </c>
      <c r="F19" s="13" t="s">
        <v>390</v>
      </c>
      <c r="G19" s="13" t="n">
        <v>733370.49207655</v>
      </c>
    </row>
    <row r="20" customFormat="false" ht="15" hidden="false" customHeight="true" outlineLevel="0" collapsed="false">
      <c r="B20" s="27" t="s">
        <v>402</v>
      </c>
      <c r="C20" s="13" t="n">
        <f aca="false">F20+G20</f>
        <v>0</v>
      </c>
      <c r="D20" s="14" t="n">
        <f aca="false">IFERROR(F20/C20,0)</f>
        <v>0</v>
      </c>
      <c r="E20" s="14" t="n">
        <f aca="false">IFERROR(G20/C20,0)</f>
        <v>0</v>
      </c>
      <c r="F20" s="13" t="n">
        <v>0</v>
      </c>
      <c r="G20" s="13" t="s">
        <v>390</v>
      </c>
    </row>
    <row r="21" customFormat="false" ht="15" hidden="false" customHeight="true" outlineLevel="0" collapsed="false">
      <c r="B21" s="27" t="s">
        <v>403</v>
      </c>
      <c r="C21" s="13" t="n">
        <f aca="false">F21+G21</f>
        <v>2835492.57919845</v>
      </c>
      <c r="D21" s="14" t="n">
        <f aca="false">IFERROR(F21/C21,0)</f>
        <v>1</v>
      </c>
      <c r="E21" s="14" t="n">
        <f aca="false">IFERROR(G21/C21,0)</f>
        <v>0</v>
      </c>
      <c r="F21" s="13" t="n">
        <f aca="false">Depreciate!J18</f>
        <v>2835492.57919845</v>
      </c>
      <c r="G21" s="13" t="s">
        <v>390</v>
      </c>
    </row>
    <row r="22" customFormat="false" ht="15" hidden="false" customHeight="true" outlineLevel="0" collapsed="false">
      <c r="B22" s="15" t="s">
        <v>159</v>
      </c>
      <c r="C22" s="16" t="n">
        <f aca="false">SUM(C6:C21)-C6</f>
        <v>40732107.5637364</v>
      </c>
      <c r="D22" s="17" t="n">
        <f aca="false">IFERROR(F22/C22,0)</f>
        <v>0.240558189565465</v>
      </c>
      <c r="E22" s="17" t="n">
        <f aca="false">IFERROR(G22/C22,0)</f>
        <v>0.759441810434535</v>
      </c>
      <c r="F22" s="16" t="n">
        <f aca="false">SUM(F6:F21)-F6</f>
        <v>9798442.05271821</v>
      </c>
      <c r="G22" s="16" t="n">
        <f aca="false">SUM(G6:G21)-G6</f>
        <v>30933665.5110182</v>
      </c>
    </row>
    <row r="23" customFormat="false" ht="15" hidden="false" customHeight="true" outlineLevel="0" collapsed="false">
      <c r="B23" s="7" t="s">
        <v>404</v>
      </c>
      <c r="C23" s="13" t="n">
        <f aca="false">C22-C24</f>
        <v>39146523.7254355</v>
      </c>
    </row>
    <row r="24" customFormat="false" ht="15" hidden="false" customHeight="true" outlineLevel="0" collapsed="false">
      <c r="B24" s="7" t="s">
        <v>405</v>
      </c>
      <c r="C24" s="13" t="n">
        <v>1585583.83830092</v>
      </c>
    </row>
    <row r="26" customFormat="false" ht="15" hidden="false" customHeight="true" outlineLevel="0" collapsed="false">
      <c r="B26" s="7" t="s">
        <v>406</v>
      </c>
      <c r="C26" s="13" t="n">
        <f aca="false">SalePlan!G18</f>
        <v>58917294.7663125</v>
      </c>
    </row>
    <row r="27" customFormat="false" ht="15" hidden="false" customHeight="true" outlineLevel="0" collapsed="false">
      <c r="B27" s="7" t="s">
        <v>407</v>
      </c>
      <c r="C27" s="69" t="n">
        <f aca="false">IFERROR(C22/C26,0)</f>
        <v>0.691343818912508</v>
      </c>
    </row>
    <row r="28" customFormat="false" ht="15" hidden="false" customHeight="true" outlineLevel="0" collapsed="false">
      <c r="B28" s="7" t="s">
        <v>408</v>
      </c>
      <c r="C28" s="13" t="n">
        <f aca="false">IFERROR(C22/ProdPlan!G17,0)</f>
        <v>20539.9242405646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9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409</v>
      </c>
      <c r="K2" s="52" t="s">
        <v>410</v>
      </c>
    </row>
    <row r="4" customFormat="false" ht="30" hidden="false" customHeight="true" outlineLevel="0" collapsed="false">
      <c r="B4" s="18" t="s">
        <v>42</v>
      </c>
      <c r="C4" s="19" t="s">
        <v>43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</row>
    <row r="5" customFormat="false" ht="15" hidden="false" customHeight="true" outlineLevel="0" collapsed="false">
      <c r="B5" s="6"/>
      <c r="C5" s="6"/>
      <c r="D5" s="18" t="s">
        <v>51</v>
      </c>
      <c r="E5" s="18" t="s">
        <v>52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</row>
    <row r="6" customFormat="false" ht="15" hidden="false" customHeight="true" outlineLevel="0" collapsed="false">
      <c r="B6" s="20" t="s">
        <v>411</v>
      </c>
      <c r="C6" s="21" t="s">
        <v>247</v>
      </c>
      <c r="D6" s="14" t="n">
        <f aca="false">ProdPlan!D13</f>
        <v>0.15</v>
      </c>
      <c r="E6" s="14" t="n">
        <f aca="false">ProdPlan!E13</f>
        <v>0.65</v>
      </c>
      <c r="F6" s="14" t="n">
        <f aca="false">ProdPlan!F13</f>
        <v>0.85</v>
      </c>
      <c r="G6" s="14" t="n">
        <f aca="false">ProdPlan!G13</f>
        <v>1</v>
      </c>
      <c r="H6" s="14" t="n">
        <f aca="false">ProdPlan!H13</f>
        <v>1</v>
      </c>
      <c r="I6" s="14" t="n">
        <f aca="false">ProdPlan!I13</f>
        <v>1</v>
      </c>
      <c r="J6" s="14" t="n">
        <f aca="false">ProdPlan!J13</f>
        <v>1</v>
      </c>
    </row>
    <row r="8" customFormat="false" ht="15" hidden="false" customHeight="true" outlineLevel="0" collapsed="false">
      <c r="B8" s="34" t="s">
        <v>412</v>
      </c>
    </row>
    <row r="9" customFormat="false" ht="15" hidden="false" customHeight="true" outlineLevel="0" collapsed="false">
      <c r="B9" s="20" t="s">
        <v>413</v>
      </c>
      <c r="C9" s="21" t="s">
        <v>32</v>
      </c>
      <c r="D9" s="13" t="n">
        <v>3497193.11069234</v>
      </c>
      <c r="E9" s="13" t="n">
        <v>15362010.073546</v>
      </c>
      <c r="F9" s="13" t="n">
        <v>20530735.6167529</v>
      </c>
      <c r="G9" s="13" t="n">
        <v>24685190.3533194</v>
      </c>
      <c r="H9" s="13" t="n">
        <v>25228264.5410924</v>
      </c>
      <c r="I9" s="13" t="n">
        <v>25783286.3609964</v>
      </c>
      <c r="J9" s="13" t="n">
        <v>26350518.6609384</v>
      </c>
    </row>
    <row r="10" customFormat="false" ht="15" hidden="false" customHeight="true" outlineLevel="0" collapsed="false">
      <c r="B10" s="20" t="s">
        <v>414</v>
      </c>
      <c r="C10" s="21" t="s">
        <v>32</v>
      </c>
      <c r="D10" s="13" t="n">
        <v>375595.881475553</v>
      </c>
      <c r="E10" s="13" t="n">
        <v>1649868.20349407</v>
      </c>
      <c r="F10" s="13" t="n">
        <v>2204985.39750046</v>
      </c>
      <c r="G10" s="13" t="n">
        <v>2651170.67793585</v>
      </c>
      <c r="H10" s="13" t="n">
        <v>2709496.43285044</v>
      </c>
      <c r="I10" s="13" t="n">
        <v>2769105.35437315</v>
      </c>
      <c r="J10" s="13" t="n">
        <v>2830025.67216936</v>
      </c>
    </row>
    <row r="11" customFormat="false" ht="15" hidden="false" customHeight="true" outlineLevel="0" collapsed="false">
      <c r="B11" s="20" t="s">
        <v>415</v>
      </c>
      <c r="C11" s="21" t="s">
        <v>32</v>
      </c>
      <c r="D11" s="13" t="n">
        <v>187583.888966231</v>
      </c>
      <c r="E11" s="13" t="n">
        <v>798120.722992851</v>
      </c>
      <c r="F11" s="13" t="n">
        <v>969024.434846021</v>
      </c>
      <c r="G11" s="13" t="n">
        <v>1107881.95779626</v>
      </c>
      <c r="H11" s="13" t="n">
        <v>1132255.36086778</v>
      </c>
      <c r="I11" s="13" t="n">
        <v>1157164.97880687</v>
      </c>
      <c r="J11" s="13" t="n">
        <v>1182622.60834062</v>
      </c>
    </row>
    <row r="12" customFormat="false" ht="15" hidden="false" customHeight="true" outlineLevel="0" collapsed="false">
      <c r="B12" s="20" t="s">
        <v>416</v>
      </c>
      <c r="C12" s="21" t="s">
        <v>32</v>
      </c>
      <c r="D12" s="13" t="n">
        <v>72356.5877125413</v>
      </c>
      <c r="E12" s="13" t="n">
        <v>317838.504808052</v>
      </c>
      <c r="F12" s="13" t="n">
        <v>424778.937118084</v>
      </c>
      <c r="G12" s="13" t="n">
        <v>510734.204393743</v>
      </c>
      <c r="H12" s="13" t="n">
        <v>521970.356890405</v>
      </c>
      <c r="I12" s="13" t="n">
        <v>533453.704741994</v>
      </c>
      <c r="J12" s="13" t="n">
        <v>545189.686246318</v>
      </c>
    </row>
    <row r="13" customFormat="false" ht="15" hidden="false" customHeight="true" outlineLevel="0" collapsed="false">
      <c r="B13" s="20" t="s">
        <v>417</v>
      </c>
      <c r="C13" s="21" t="s">
        <v>32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</row>
    <row r="14" customFormat="false" ht="15" hidden="false" customHeight="true" outlineLevel="0" collapsed="false">
      <c r="B14" s="20" t="s">
        <v>418</v>
      </c>
      <c r="C14" s="21" t="s">
        <v>32</v>
      </c>
      <c r="D14" s="13" t="n">
        <v>1522055.83050613</v>
      </c>
      <c r="E14" s="13" t="n">
        <v>1545971.55621953</v>
      </c>
      <c r="F14" s="13" t="n">
        <v>1579815.83120086</v>
      </c>
      <c r="G14" s="13" t="n">
        <v>1614557.01552136</v>
      </c>
      <c r="H14" s="13" t="n">
        <v>1650077.26986283</v>
      </c>
      <c r="I14" s="13" t="n">
        <v>1686378.96979982</v>
      </c>
      <c r="J14" s="13" t="n">
        <v>1723479.30713541</v>
      </c>
    </row>
    <row r="15" customFormat="false" ht="15" hidden="false" customHeight="true" outlineLevel="0" collapsed="false">
      <c r="B15" s="20" t="s">
        <v>419</v>
      </c>
      <c r="C15" s="21" t="s">
        <v>32</v>
      </c>
      <c r="D15" s="13" t="n">
        <v>182646.699660735</v>
      </c>
      <c r="E15" s="13" t="n">
        <v>185516.586746344</v>
      </c>
      <c r="F15" s="13" t="n">
        <v>189577.899744103</v>
      </c>
      <c r="G15" s="13" t="n">
        <v>193746.841862564</v>
      </c>
      <c r="H15" s="13" t="n">
        <v>198009.27238354</v>
      </c>
      <c r="I15" s="13" t="n">
        <v>202365.476375978</v>
      </c>
      <c r="J15" s="13" t="n">
        <v>206817.516856249</v>
      </c>
    </row>
    <row r="16" customFormat="false" ht="15" hidden="false" customHeight="true" outlineLevel="0" collapsed="false">
      <c r="B16" s="20" t="s">
        <v>420</v>
      </c>
      <c r="C16" s="21" t="s">
        <v>32</v>
      </c>
      <c r="D16" s="13" t="n">
        <f aca="false">Depreciate!$G$19</f>
        <v>566139.040861338</v>
      </c>
      <c r="E16" s="13" t="n">
        <f aca="false">Depreciate!$H$19</f>
        <v>2323012.62002274</v>
      </c>
      <c r="F16" s="13" t="n">
        <f aca="false">Depreciate!$I$19</f>
        <v>2376972.42609416</v>
      </c>
      <c r="G16" s="13" t="n">
        <f aca="false">Depreciate!$J$19</f>
        <v>2430932.23216559</v>
      </c>
      <c r="H16" s="13" t="n">
        <f aca="false">Depreciate!$K$19</f>
        <v>2484892.03823702</v>
      </c>
      <c r="I16" s="13" t="n">
        <f aca="false">Depreciate!$L$19</f>
        <v>2538851.84430845</v>
      </c>
      <c r="J16" s="13" t="n">
        <f aca="false">Depreciate!$M$19</f>
        <v>2592811.65037988</v>
      </c>
    </row>
    <row r="17" customFormat="false" ht="15" hidden="false" customHeight="true" outlineLevel="0" collapsed="false">
      <c r="B17" s="20" t="s">
        <v>421</v>
      </c>
      <c r="C17" s="21" t="s">
        <v>32</v>
      </c>
      <c r="D17" s="13" t="n">
        <v>144249.287126937</v>
      </c>
      <c r="E17" s="13" t="n">
        <v>633639.302093656</v>
      </c>
      <c r="F17" s="13" t="n">
        <v>846834.556505783</v>
      </c>
      <c r="G17" s="13" t="n">
        <v>1018194.0197046</v>
      </c>
      <c r="H17" s="13" t="n">
        <v>1040594.2881381</v>
      </c>
      <c r="I17" s="13" t="n">
        <v>1063487.36247714</v>
      </c>
      <c r="J17" s="13" t="n">
        <v>1086884.08445164</v>
      </c>
    </row>
    <row r="18" customFormat="false" ht="15" hidden="false" customHeight="true" outlineLevel="0" collapsed="false">
      <c r="B18" s="20" t="s">
        <v>422</v>
      </c>
      <c r="C18" s="21" t="s">
        <v>32</v>
      </c>
      <c r="D18" s="13" t="n">
        <v>13320.9330409666</v>
      </c>
      <c r="E18" s="13" t="n">
        <v>58514.44317979</v>
      </c>
      <c r="F18" s="13" t="n">
        <v>78202.3027542824</v>
      </c>
      <c r="G18" s="13" t="n">
        <v>94026.7687233843</v>
      </c>
      <c r="H18" s="13" t="n">
        <v>96095.3576352987</v>
      </c>
      <c r="I18" s="13" t="n">
        <v>98209.4555032753</v>
      </c>
      <c r="J18" s="13" t="n">
        <v>100370.063524347</v>
      </c>
    </row>
    <row r="19" customFormat="false" ht="15" hidden="false" customHeight="true" outlineLevel="0" collapsed="false">
      <c r="B19" s="20" t="s">
        <v>423</v>
      </c>
      <c r="C19" s="21" t="s">
        <v>32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</row>
    <row r="20" customFormat="false" ht="15" hidden="false" customHeight="true" outlineLevel="0" collapsed="false">
      <c r="B20" s="70" t="s">
        <v>424</v>
      </c>
      <c r="C20" s="59" t="s">
        <v>32</v>
      </c>
      <c r="D20" s="49" t="n">
        <f aca="false">SUM(D9:D19)</f>
        <v>6561141.26004277</v>
      </c>
      <c r="E20" s="49" t="n">
        <f aca="false">SUM(E9:E19)</f>
        <v>22874492.013103</v>
      </c>
      <c r="F20" s="49" t="n">
        <f aca="false">SUM(F9:F19)</f>
        <v>29200927.4025167</v>
      </c>
      <c r="G20" s="49" t="n">
        <f aca="false">SUM(G9:G19)</f>
        <v>34306434.0714228</v>
      </c>
      <c r="H20" s="49" t="n">
        <f aca="false">SUM(H9:H19)</f>
        <v>35061654.9179578</v>
      </c>
      <c r="I20" s="49" t="n">
        <f aca="false">SUM(I9:I19)</f>
        <v>35832303.5073831</v>
      </c>
      <c r="J20" s="49" t="n">
        <f aca="false">SUM(J9:J19)</f>
        <v>36618719.2500422</v>
      </c>
    </row>
    <row r="21" customFormat="false" ht="15" hidden="false" customHeight="true" outlineLevel="0" collapsed="false">
      <c r="B21" s="20" t="s">
        <v>425</v>
      </c>
      <c r="C21" s="21" t="s">
        <v>32</v>
      </c>
      <c r="D21" s="13" t="n">
        <v>-2578055.91234709</v>
      </c>
      <c r="E21" s="13" t="n">
        <v>-126098.785214834</v>
      </c>
      <c r="F21" s="13" t="n">
        <v>-433201.795424889</v>
      </c>
      <c r="G21" s="13" t="n">
        <v>-348879.663472022</v>
      </c>
      <c r="H21" s="13" t="n">
        <v>-48431.8412649143</v>
      </c>
      <c r="I21" s="13" t="n">
        <v>-49497.341772731</v>
      </c>
      <c r="J21" s="13" t="n">
        <v>-50586.2832917306</v>
      </c>
    </row>
    <row r="22" customFormat="false" ht="15" hidden="false" customHeight="true" outlineLevel="0" collapsed="false">
      <c r="B22" s="70" t="s">
        <v>426</v>
      </c>
      <c r="C22" s="59" t="s">
        <v>32</v>
      </c>
      <c r="D22" s="49" t="n">
        <f aca="false">D20+D21</f>
        <v>3983085.34769568</v>
      </c>
      <c r="E22" s="49" t="n">
        <f aca="false">E20+E21</f>
        <v>22748393.2278882</v>
      </c>
      <c r="F22" s="49" t="n">
        <f aca="false">F20+F21</f>
        <v>28767725.6070918</v>
      </c>
      <c r="G22" s="49" t="n">
        <f aca="false">G20+G21</f>
        <v>33957554.4079507</v>
      </c>
      <c r="H22" s="49" t="n">
        <f aca="false">H20+H21</f>
        <v>35013223.0766929</v>
      </c>
      <c r="I22" s="49" t="n">
        <f aca="false">I20+I21</f>
        <v>35782806.1656104</v>
      </c>
      <c r="J22" s="49" t="n">
        <f aca="false">J20+J21</f>
        <v>36568132.9667505</v>
      </c>
    </row>
    <row r="23" customFormat="false" ht="15" hidden="false" customHeight="true" outlineLevel="0" collapsed="false">
      <c r="B23" s="20" t="s">
        <v>427</v>
      </c>
      <c r="C23" s="21" t="s">
        <v>32</v>
      </c>
      <c r="D23" s="13" t="n">
        <v>154815.248459948</v>
      </c>
      <c r="E23" s="13" t="n">
        <v>1123057.22606462</v>
      </c>
      <c r="F23" s="13" t="n">
        <v>1434045.71414757</v>
      </c>
      <c r="G23" s="13" t="n">
        <v>1689151.42823444</v>
      </c>
      <c r="H23" s="13" t="n">
        <v>1717864.5220173</v>
      </c>
      <c r="I23" s="13" t="n">
        <v>1731824.22667559</v>
      </c>
      <c r="J23" s="13" t="n">
        <v>1746035.29446564</v>
      </c>
    </row>
    <row r="24" customFormat="false" ht="15" hidden="false" customHeight="true" outlineLevel="0" collapsed="false">
      <c r="B24" s="20" t="s">
        <v>428</v>
      </c>
      <c r="C24" s="21" t="s">
        <v>32</v>
      </c>
      <c r="D24" s="13" t="n">
        <f aca="false">D22-D23</f>
        <v>3828270.09923573</v>
      </c>
      <c r="E24" s="13" t="n">
        <f aca="false">E22-E23</f>
        <v>21625336.0018236</v>
      </c>
      <c r="F24" s="13" t="n">
        <f aca="false">F22-F23</f>
        <v>27333679.8929442</v>
      </c>
      <c r="G24" s="13" t="n">
        <f aca="false">G22-G23</f>
        <v>32268402.9797163</v>
      </c>
      <c r="H24" s="13" t="n">
        <f aca="false">H22-H23</f>
        <v>33295358.5546756</v>
      </c>
      <c r="I24" s="13" t="n">
        <f aca="false">I22-I23</f>
        <v>34050981.9389348</v>
      </c>
      <c r="J24" s="13" t="n">
        <f aca="false">J22-J23</f>
        <v>34822097.6722849</v>
      </c>
    </row>
    <row r="26" customFormat="false" ht="15" hidden="false" customHeight="true" outlineLevel="0" collapsed="false">
      <c r="B26" s="34" t="s">
        <v>429</v>
      </c>
    </row>
    <row r="27" customFormat="false" ht="15" hidden="false" customHeight="true" outlineLevel="0" collapsed="false">
      <c r="B27" s="20" t="s">
        <v>430</v>
      </c>
      <c r="C27" s="21" t="s">
        <v>32</v>
      </c>
      <c r="D27" s="13" t="n">
        <v>371252.508608933</v>
      </c>
      <c r="E27" s="13" t="n">
        <v>377085.916942813</v>
      </c>
      <c r="F27" s="13" t="n">
        <v>385341.049072027</v>
      </c>
      <c r="G27" s="13" t="n">
        <v>393814.950996336</v>
      </c>
      <c r="H27" s="13" t="n">
        <v>402478.879918256</v>
      </c>
      <c r="I27" s="13" t="n">
        <v>411333.415276458</v>
      </c>
      <c r="J27" s="13" t="n">
        <v>420382.75041254</v>
      </c>
    </row>
    <row r="28" customFormat="false" ht="15" hidden="false" customHeight="true" outlineLevel="0" collapsed="false">
      <c r="B28" s="20" t="s">
        <v>431</v>
      </c>
      <c r="C28" s="21" t="s">
        <v>32</v>
      </c>
      <c r="D28" s="13" t="n">
        <f aca="false">Depreciate!$G$20</f>
        <v>101140.086758214</v>
      </c>
      <c r="E28" s="13" t="n">
        <f aca="false">Depreciate!$H$20</f>
        <v>404560.347032858</v>
      </c>
      <c r="F28" s="13" t="n">
        <f aca="false">Depreciate!$I$20</f>
        <v>404560.347032858</v>
      </c>
      <c r="G28" s="13" t="n">
        <f aca="false">Depreciate!$J$20</f>
        <v>404560.347032858</v>
      </c>
      <c r="H28" s="13" t="n">
        <f aca="false">Depreciate!$K$20</f>
        <v>404560.347032858</v>
      </c>
      <c r="I28" s="13" t="n">
        <f aca="false">Depreciate!$L$20</f>
        <v>404560.347032858</v>
      </c>
      <c r="J28" s="13" t="n">
        <f aca="false">Depreciate!$M$20</f>
        <v>404560.347032858</v>
      </c>
    </row>
    <row r="29" customFormat="false" ht="23.25" hidden="false" customHeight="true" outlineLevel="0" collapsed="false">
      <c r="B29" s="20" t="s">
        <v>432</v>
      </c>
      <c r="C29" s="21" t="s">
        <v>32</v>
      </c>
      <c r="D29" s="13" t="n">
        <v>2890625.12429786</v>
      </c>
      <c r="E29" s="13" t="n">
        <v>3531149.27779482</v>
      </c>
      <c r="F29" s="13" t="n">
        <v>3841648.28337409</v>
      </c>
      <c r="G29" s="13" t="n">
        <v>4104621.33974245</v>
      </c>
      <c r="H29" s="13" t="n">
        <v>4194923.00921678</v>
      </c>
      <c r="I29" s="13" t="n">
        <v>4287211.31541955</v>
      </c>
      <c r="J29" s="13" t="n">
        <v>4381529.96435878</v>
      </c>
    </row>
    <row r="30" customFormat="false" ht="15" hidden="false" customHeight="true" outlineLevel="0" collapsed="false">
      <c r="B30" s="20" t="s">
        <v>433</v>
      </c>
      <c r="C30" s="21" t="s">
        <v>32</v>
      </c>
      <c r="D30" s="13" t="n">
        <v>45291.1670373016</v>
      </c>
      <c r="E30" s="13" t="n">
        <v>183889.750588333</v>
      </c>
      <c r="F30" s="13" t="n">
        <v>244128.55907125</v>
      </c>
      <c r="G30" s="13" t="n">
        <v>294586.473831563</v>
      </c>
      <c r="H30" s="13" t="n">
        <v>302963.51925</v>
      </c>
      <c r="I30" s="13" t="n">
        <v>309626.63445</v>
      </c>
      <c r="J30" s="13" t="n">
        <v>316438.4799</v>
      </c>
    </row>
    <row r="31" customFormat="false" ht="15" hidden="false" customHeight="true" outlineLevel="0" collapsed="false">
      <c r="B31" s="70" t="s">
        <v>434</v>
      </c>
      <c r="C31" s="59" t="s">
        <v>32</v>
      </c>
      <c r="D31" s="49" t="n">
        <f aca="false">SUM(D27:D30)</f>
        <v>3408308.88670231</v>
      </c>
      <c r="E31" s="49" t="n">
        <f aca="false">SUM(E27:E30)</f>
        <v>4496685.29235882</v>
      </c>
      <c r="F31" s="49" t="n">
        <f aca="false">SUM(F27:F30)</f>
        <v>4875678.23855023</v>
      </c>
      <c r="G31" s="49" t="n">
        <f aca="false">SUM(G27:G30)</f>
        <v>5197583.11160321</v>
      </c>
      <c r="H31" s="49" t="n">
        <f aca="false">SUM(H27:H30)</f>
        <v>5304925.75541789</v>
      </c>
      <c r="I31" s="49" t="n">
        <f aca="false">SUM(I27:I30)</f>
        <v>5412731.71217887</v>
      </c>
      <c r="J31" s="49" t="n">
        <f aca="false">SUM(J27:J30)</f>
        <v>5522911.54170418</v>
      </c>
    </row>
    <row r="33" customFormat="false" ht="15" hidden="false" customHeight="true" outlineLevel="0" collapsed="false">
      <c r="B33" s="34" t="s">
        <v>435</v>
      </c>
    </row>
    <row r="34" customFormat="false" ht="15" hidden="false" customHeight="true" outlineLevel="0" collapsed="false">
      <c r="B34" s="20" t="s">
        <v>357</v>
      </c>
      <c r="C34" s="21" t="s">
        <v>32</v>
      </c>
      <c r="D34" s="13" t="n">
        <v>131837.118272321</v>
      </c>
      <c r="E34" s="13" t="n">
        <v>515884.375848214</v>
      </c>
      <c r="F34" s="13" t="n">
        <v>505302.132241071</v>
      </c>
      <c r="G34" s="13" t="n">
        <v>494719.888633929</v>
      </c>
      <c r="H34" s="13" t="n">
        <v>484137.645026786</v>
      </c>
      <c r="I34" s="13" t="n">
        <v>473555.401419643</v>
      </c>
      <c r="J34" s="13" t="n">
        <v>462973.1578125</v>
      </c>
    </row>
    <row r="35" customFormat="false" ht="15" hidden="false" customHeight="true" outlineLevel="0" collapsed="false">
      <c r="B35" s="20" t="s">
        <v>359</v>
      </c>
      <c r="C35" s="21" t="s">
        <v>32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</row>
    <row r="36" customFormat="false" ht="15" hidden="false" customHeight="true" outlineLevel="0" collapsed="false">
      <c r="B36" s="20" t="s">
        <v>360</v>
      </c>
      <c r="C36" s="21" t="s">
        <v>32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</row>
    <row r="37" customFormat="false" ht="15" hidden="false" customHeight="true" outlineLevel="0" collapsed="false">
      <c r="B37" s="20" t="s">
        <v>436</v>
      </c>
      <c r="C37" s="21" t="s">
        <v>32</v>
      </c>
      <c r="D37" s="13" t="n">
        <v>186043.420382511</v>
      </c>
      <c r="E37" s="13" t="n">
        <v>492872.086768125</v>
      </c>
      <c r="F37" s="13" t="n">
        <v>625901.457358797</v>
      </c>
      <c r="G37" s="13" t="n">
        <v>733370.49207655</v>
      </c>
      <c r="H37" s="13" t="n">
        <v>749542.565762117</v>
      </c>
      <c r="I37" s="13" t="n">
        <v>766032.460564413</v>
      </c>
      <c r="J37" s="13" t="n">
        <v>782885.175886672</v>
      </c>
    </row>
    <row r="38" customFormat="false" ht="15" hidden="false" customHeight="true" outlineLevel="0" collapsed="false">
      <c r="B38" s="20" t="s">
        <v>437</v>
      </c>
      <c r="C38" s="21" t="s">
        <v>32</v>
      </c>
      <c r="D38" s="13" t="n">
        <v>1284788.82623617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</row>
    <row r="39" customFormat="false" ht="15" hidden="false" customHeight="true" outlineLevel="0" collapsed="false">
      <c r="B39" s="70" t="s">
        <v>438</v>
      </c>
      <c r="C39" s="59" t="s">
        <v>32</v>
      </c>
      <c r="D39" s="49" t="n">
        <f aca="false">SUM(D34:D38)</f>
        <v>1602669.364891</v>
      </c>
      <c r="E39" s="49" t="n">
        <f aca="false">SUM(E34:E38)</f>
        <v>1008756.46261634</v>
      </c>
      <c r="F39" s="49" t="n">
        <f aca="false">SUM(F34:F38)</f>
        <v>1131203.58959987</v>
      </c>
      <c r="G39" s="49" t="n">
        <f aca="false">SUM(G34:G38)</f>
        <v>1228090.38071048</v>
      </c>
      <c r="H39" s="49" t="n">
        <f aca="false">SUM(H34:H38)</f>
        <v>1233680.2107889</v>
      </c>
      <c r="I39" s="49" t="n">
        <f aca="false">SUM(I34:I38)</f>
        <v>1239587.86198406</v>
      </c>
      <c r="J39" s="49" t="n">
        <f aca="false">SUM(J34:J38)</f>
        <v>1245858.33369917</v>
      </c>
    </row>
    <row r="41" customFormat="false" ht="15" hidden="false" customHeight="true" outlineLevel="0" collapsed="false">
      <c r="B41" s="34" t="s">
        <v>439</v>
      </c>
    </row>
    <row r="42" customFormat="false" ht="23.25" hidden="false" customHeight="true" outlineLevel="0" collapsed="false">
      <c r="B42" s="20" t="s">
        <v>440</v>
      </c>
      <c r="C42" s="21" t="s">
        <v>32</v>
      </c>
      <c r="D42" s="13" t="n">
        <f aca="false">0</f>
        <v>0</v>
      </c>
      <c r="E42" s="13" t="n">
        <f aca="false">LOANS!$D$106</f>
        <v>1195508.18184696</v>
      </c>
      <c r="F42" s="13" t="n">
        <f aca="false">LOANS!$E$106</f>
        <v>976834.436576932</v>
      </c>
      <c r="G42" s="13" t="n">
        <f aca="false">LOANS!$F$106</f>
        <v>761648.859339746</v>
      </c>
      <c r="H42" s="13" t="n">
        <f aca="false">LOANS!$G$106</f>
        <v>546463.282102561</v>
      </c>
      <c r="I42" s="13" t="n">
        <f aca="false">LOANS!$H$106</f>
        <v>332407.674791507</v>
      </c>
      <c r="J42" s="13" t="n">
        <f aca="false">LOANS!$I$106</f>
        <v>116092.12762819</v>
      </c>
    </row>
    <row r="44" customFormat="false" ht="15" hidden="false" customHeight="true" outlineLevel="0" collapsed="false">
      <c r="B44" s="39" t="s">
        <v>441</v>
      </c>
      <c r="C44" s="63" t="s">
        <v>32</v>
      </c>
      <c r="D44" s="16" t="n">
        <f aca="false">D22+D31+D39+D42</f>
        <v>8994063.59928899</v>
      </c>
      <c r="E44" s="16" t="n">
        <f aca="false">E22+E31+E39+E42</f>
        <v>29449343.1647103</v>
      </c>
      <c r="F44" s="16" t="n">
        <f aca="false">F22+F31+F39+F42</f>
        <v>35751441.8718188</v>
      </c>
      <c r="G44" s="16" t="n">
        <f aca="false">G22+G31+G39+G42</f>
        <v>41144876.7596042</v>
      </c>
      <c r="H44" s="16" t="n">
        <f aca="false">H22+H31+H39+H42</f>
        <v>42098292.3250023</v>
      </c>
      <c r="I44" s="16" t="n">
        <f aca="false">I22+I31+I39+I42</f>
        <v>42767533.4145648</v>
      </c>
      <c r="J44" s="16" t="n">
        <f aca="false">J22+J31+J39+J42</f>
        <v>43452994.969782</v>
      </c>
    </row>
    <row r="45" customFormat="false" ht="15" hidden="false" customHeight="true" outlineLevel="0" collapsed="false">
      <c r="B45" s="20" t="s">
        <v>442</v>
      </c>
      <c r="C45" s="21" t="s">
        <v>258</v>
      </c>
      <c r="D45" s="13" t="n">
        <f aca="false">IFERROR(D44/(ProdPlan!D21+ProdPlan!D22),0)</f>
        <v>36283.3933216235</v>
      </c>
      <c r="E45" s="13" t="n">
        <f aca="false">IFERROR(E44/(ProdPlan!E21+ProdPlan!E22),0)</f>
        <v>22920.2007194453</v>
      </c>
      <c r="F45" s="13" t="n">
        <f aca="false">IFERROR(F44/(ProdPlan!F21+ProdPlan!F22),0)</f>
        <v>21419.7989177309</v>
      </c>
      <c r="G45" s="13" t="n">
        <f aca="false">IFERROR(G44/(ProdPlan!G21+ProdPlan!G22),0)</f>
        <v>20878.5618104318</v>
      </c>
      <c r="H45" s="13" t="n">
        <f aca="false">IFERROR(H44/(ProdPlan!H21+ProdPlan!H22),0)</f>
        <v>21228.8483639016</v>
      </c>
      <c r="I45" s="13" t="n">
        <f aca="false">IFERROR(I44/(ProdPlan!I21+ProdPlan!I22),0)</f>
        <v>21566.325653943</v>
      </c>
      <c r="J45" s="13" t="n">
        <f aca="false">IFERROR(J44/(ProdPlan!J21+ProdPlan!J22),0)</f>
        <v>21911.9824160428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4"/>
    <col collapsed="false" customWidth="true" hidden="false" outlineLevel="0" max="8" min="3" style="1" width="16"/>
    <col collapsed="false" customWidth="true" hidden="false" outlineLevel="0" max="10" min="9" style="1" width="8"/>
    <col collapsed="false" customWidth="true" hidden="false" outlineLevel="0" max="12" min="11" style="1" width="3"/>
  </cols>
  <sheetData>
    <row r="2" customFormat="false" ht="15" hidden="false" customHeight="true" outlineLevel="0" collapsed="false">
      <c r="B2" s="3" t="s">
        <v>443</v>
      </c>
      <c r="H2" s="52" t="s">
        <v>444</v>
      </c>
    </row>
    <row r="5" customFormat="false" ht="15" hidden="false" customHeight="true" outlineLevel="0" collapsed="false">
      <c r="B5" s="7" t="s">
        <v>23</v>
      </c>
      <c r="C5" s="58" t="n">
        <f aca="false">ИНФОРМАЦИЯ!$C$28</f>
        <v>84</v>
      </c>
      <c r="D5" s="71" t="s">
        <v>445</v>
      </c>
    </row>
    <row r="6" customFormat="false" ht="15" hidden="false" customHeight="true" outlineLevel="0" collapsed="false">
      <c r="B6" s="7" t="s">
        <v>446</v>
      </c>
      <c r="C6" s="58" t="n">
        <f aca="false">ИНФОРМАЦИЯ!$C$29</f>
        <v>12</v>
      </c>
      <c r="D6" s="71" t="s">
        <v>445</v>
      </c>
    </row>
    <row r="7" customFormat="false" ht="15" hidden="false" customHeight="true" outlineLevel="0" collapsed="false">
      <c r="B7" s="7" t="s">
        <v>447</v>
      </c>
      <c r="C7" s="58" t="n">
        <f aca="false">ИНФОРМАЦИЯ!$C$30</f>
        <v>12</v>
      </c>
      <c r="D7" s="71" t="s">
        <v>445</v>
      </c>
    </row>
    <row r="8" customFormat="false" ht="15" hidden="false" customHeight="true" outlineLevel="0" collapsed="false">
      <c r="B8" s="7" t="s">
        <v>22</v>
      </c>
      <c r="C8" s="14" t="n">
        <f aca="false">ИНФОРМАЦИЯ!$C$27</f>
        <v>0.07</v>
      </c>
      <c r="D8" s="71" t="s">
        <v>448</v>
      </c>
    </row>
    <row r="9" customFormat="false" ht="15" hidden="false" customHeight="true" outlineLevel="0" collapsed="false">
      <c r="B9" s="7" t="s">
        <v>449</v>
      </c>
      <c r="C9" s="13" t="n">
        <f aca="false">ИНФОРМАЦИЯ!$C$26</f>
        <v>18191813.9660399</v>
      </c>
      <c r="D9" s="71" t="s">
        <v>32</v>
      </c>
    </row>
    <row r="10" customFormat="false" ht="15" hidden="false" customHeight="true" outlineLevel="0" collapsed="false">
      <c r="B10" s="7" t="s">
        <v>450</v>
      </c>
      <c r="C10" s="72" t="n">
        <f aca="false">ИНФОРМАЦИЯ!$C$31</f>
        <v>46388</v>
      </c>
      <c r="D10" s="71"/>
    </row>
    <row r="11" customFormat="false" ht="15" hidden="false" customHeight="true" outlineLevel="0" collapsed="false">
      <c r="B11" s="7" t="s">
        <v>451</v>
      </c>
      <c r="C11" s="58" t="n">
        <f aca="false">ИНФОРМАЦИЯ!$C$32</f>
        <v>360</v>
      </c>
      <c r="D11" s="71" t="s">
        <v>452</v>
      </c>
    </row>
    <row r="12" customFormat="false" ht="15" hidden="false" customHeight="true" outlineLevel="0" collapsed="false">
      <c r="B12" s="7" t="s">
        <v>453</v>
      </c>
      <c r="C12" s="58" t="n">
        <f aca="false">C5-C6</f>
        <v>72</v>
      </c>
      <c r="D12" s="71" t="s">
        <v>454</v>
      </c>
    </row>
    <row r="13" customFormat="false" ht="15" hidden="false" customHeight="true" outlineLevel="0" collapsed="false">
      <c r="B13" s="7" t="s">
        <v>455</v>
      </c>
      <c r="C13" s="30" t="n">
        <f aca="false">C9/C12</f>
        <v>252664.082861666</v>
      </c>
      <c r="D13" s="71" t="s">
        <v>32</v>
      </c>
    </row>
    <row r="15" customFormat="false" ht="30" hidden="false" customHeight="true" outlineLevel="0" collapsed="false">
      <c r="A15" s="19" t="s">
        <v>456</v>
      </c>
      <c r="B15" s="19" t="s">
        <v>457</v>
      </c>
      <c r="C15" s="19" t="s">
        <v>458</v>
      </c>
      <c r="D15" s="19" t="s">
        <v>134</v>
      </c>
      <c r="E15" s="19" t="s">
        <v>459</v>
      </c>
      <c r="F15" s="19" t="s">
        <v>460</v>
      </c>
      <c r="G15" s="19" t="s">
        <v>461</v>
      </c>
      <c r="H15" s="19" t="s">
        <v>462</v>
      </c>
      <c r="I15" s="19" t="s">
        <v>463</v>
      </c>
    </row>
    <row r="16" customFormat="false" ht="15" hidden="false" customHeight="true" outlineLevel="0" collapsed="false">
      <c r="A16" s="73" t="n">
        <v>1</v>
      </c>
      <c r="B16" s="74" t="n">
        <f aca="false">EOMONTH($C$10,0)</f>
        <v>46418</v>
      </c>
      <c r="C16" s="30" t="n">
        <f aca="false">$C$9</f>
        <v>18191813.9660399</v>
      </c>
      <c r="D16" s="30" t="n">
        <f aca="false">IF(A16&gt;$C$6,MIN(C16,$C$13),0)</f>
        <v>0</v>
      </c>
      <c r="E16" s="30" t="n">
        <f aca="false">C16*$C$8*DAY(B16)/$C$11</f>
        <v>109656.211961963</v>
      </c>
      <c r="F16" s="30" t="n">
        <f aca="false">D16+E16</f>
        <v>109656.211961963</v>
      </c>
      <c r="G16" s="30" t="n">
        <f aca="false">C16-D16</f>
        <v>18191813.9660399</v>
      </c>
      <c r="H16" s="73" t="n">
        <f aca="false">YEAR(B16)</f>
        <v>2027</v>
      </c>
      <c r="I16" s="73" t="n">
        <f aca="false">H16-2026</f>
        <v>1</v>
      </c>
    </row>
    <row r="17" customFormat="false" ht="15" hidden="false" customHeight="true" outlineLevel="0" collapsed="false">
      <c r="A17" s="73" t="n">
        <v>2</v>
      </c>
      <c r="B17" s="74" t="n">
        <f aca="false">EOMONTH($C$10,1)</f>
        <v>46446</v>
      </c>
      <c r="C17" s="30" t="n">
        <f aca="false">G16</f>
        <v>18191813.9660399</v>
      </c>
      <c r="D17" s="30" t="n">
        <f aca="false">IF(A17&gt;$C$6,MIN(C17,$C$13),0)</f>
        <v>0</v>
      </c>
      <c r="E17" s="30" t="n">
        <f aca="false">C17*$C$8*DAY(B17)/$C$11</f>
        <v>99044.3204817731</v>
      </c>
      <c r="F17" s="30" t="n">
        <f aca="false">D17+E17</f>
        <v>99044.3204817731</v>
      </c>
      <c r="G17" s="30" t="n">
        <f aca="false">C17-D17</f>
        <v>18191813.9660399</v>
      </c>
      <c r="H17" s="73" t="n">
        <f aca="false">YEAR(B17)</f>
        <v>2027</v>
      </c>
      <c r="I17" s="73" t="n">
        <f aca="false">H17-2026</f>
        <v>1</v>
      </c>
    </row>
    <row r="18" customFormat="false" ht="15" hidden="false" customHeight="true" outlineLevel="0" collapsed="false">
      <c r="A18" s="73" t="n">
        <v>3</v>
      </c>
      <c r="B18" s="74" t="n">
        <f aca="false">EOMONTH($C$10,2)</f>
        <v>46477</v>
      </c>
      <c r="C18" s="30" t="n">
        <f aca="false">G17</f>
        <v>18191813.9660399</v>
      </c>
      <c r="D18" s="30" t="n">
        <f aca="false">IF(A18&gt;$C$6,MIN(C18,$C$13),0)</f>
        <v>0</v>
      </c>
      <c r="E18" s="30" t="n">
        <f aca="false">C18*$C$8*DAY(B18)/$C$11</f>
        <v>109656.211961963</v>
      </c>
      <c r="F18" s="30" t="n">
        <f aca="false">D18+E18</f>
        <v>109656.211961963</v>
      </c>
      <c r="G18" s="30" t="n">
        <f aca="false">C18-D18</f>
        <v>18191813.9660399</v>
      </c>
      <c r="H18" s="73" t="n">
        <f aca="false">YEAR(B18)</f>
        <v>2027</v>
      </c>
      <c r="I18" s="73" t="n">
        <f aca="false">H18-2026</f>
        <v>1</v>
      </c>
    </row>
    <row r="19" customFormat="false" ht="15" hidden="false" customHeight="true" outlineLevel="0" collapsed="false">
      <c r="A19" s="73" t="n">
        <v>4</v>
      </c>
      <c r="B19" s="74" t="n">
        <f aca="false">EOMONTH($C$10,3)</f>
        <v>46507</v>
      </c>
      <c r="C19" s="30" t="n">
        <f aca="false">G18</f>
        <v>18191813.9660399</v>
      </c>
      <c r="D19" s="30" t="n">
        <f aca="false">IF(A19&gt;$C$6,MIN(C19,$C$13),0)</f>
        <v>0</v>
      </c>
      <c r="E19" s="30" t="n">
        <f aca="false">C19*$C$8*DAY(B19)/$C$11</f>
        <v>106118.9148019</v>
      </c>
      <c r="F19" s="30" t="n">
        <f aca="false">D19+E19</f>
        <v>106118.9148019</v>
      </c>
      <c r="G19" s="30" t="n">
        <f aca="false">C19-D19</f>
        <v>18191813.9660399</v>
      </c>
      <c r="H19" s="73" t="n">
        <f aca="false">YEAR(B19)</f>
        <v>2027</v>
      </c>
      <c r="I19" s="73" t="n">
        <f aca="false">H19-2026</f>
        <v>1</v>
      </c>
    </row>
    <row r="20" customFormat="false" ht="15" hidden="false" customHeight="true" outlineLevel="0" collapsed="false">
      <c r="A20" s="73" t="n">
        <v>5</v>
      </c>
      <c r="B20" s="74" t="n">
        <f aca="false">EOMONTH($C$10,4)</f>
        <v>46538</v>
      </c>
      <c r="C20" s="30" t="n">
        <f aca="false">G19</f>
        <v>18191813.9660399</v>
      </c>
      <c r="D20" s="30" t="n">
        <f aca="false">IF(A20&gt;$C$6,MIN(C20,$C$13),0)</f>
        <v>0</v>
      </c>
      <c r="E20" s="30" t="n">
        <f aca="false">C20*$C$8*DAY(B20)/$C$11</f>
        <v>109656.211961963</v>
      </c>
      <c r="F20" s="30" t="n">
        <f aca="false">D20+E20</f>
        <v>109656.211961963</v>
      </c>
      <c r="G20" s="30" t="n">
        <f aca="false">C20-D20</f>
        <v>18191813.9660399</v>
      </c>
      <c r="H20" s="73" t="n">
        <f aca="false">YEAR(B20)</f>
        <v>2027</v>
      </c>
      <c r="I20" s="73" t="n">
        <f aca="false">H20-2026</f>
        <v>1</v>
      </c>
    </row>
    <row r="21" customFormat="false" ht="15" hidden="false" customHeight="true" outlineLevel="0" collapsed="false">
      <c r="A21" s="73" t="n">
        <v>6</v>
      </c>
      <c r="B21" s="74" t="n">
        <f aca="false">EOMONTH($C$10,5)</f>
        <v>46568</v>
      </c>
      <c r="C21" s="30" t="n">
        <f aca="false">G20</f>
        <v>18191813.9660399</v>
      </c>
      <c r="D21" s="30" t="n">
        <f aca="false">IF(A21&gt;$C$6,MIN(C21,$C$13),0)</f>
        <v>0</v>
      </c>
      <c r="E21" s="30" t="n">
        <f aca="false">C21*$C$8*DAY(B21)/$C$11</f>
        <v>106118.9148019</v>
      </c>
      <c r="F21" s="30" t="n">
        <f aca="false">D21+E21</f>
        <v>106118.9148019</v>
      </c>
      <c r="G21" s="30" t="n">
        <f aca="false">C21-D21</f>
        <v>18191813.9660399</v>
      </c>
      <c r="H21" s="73" t="n">
        <f aca="false">YEAR(B21)</f>
        <v>2027</v>
      </c>
      <c r="I21" s="73" t="n">
        <f aca="false">H21-2026</f>
        <v>1</v>
      </c>
    </row>
    <row r="22" customFormat="false" ht="15" hidden="false" customHeight="true" outlineLevel="0" collapsed="false">
      <c r="A22" s="73" t="n">
        <v>7</v>
      </c>
      <c r="B22" s="74" t="n">
        <f aca="false">EOMONTH($C$10,6)</f>
        <v>46599</v>
      </c>
      <c r="C22" s="30" t="n">
        <f aca="false">G21</f>
        <v>18191813.9660399</v>
      </c>
      <c r="D22" s="30" t="n">
        <f aca="false">IF(A22&gt;$C$6,MIN(C22,$C$13),0)</f>
        <v>0</v>
      </c>
      <c r="E22" s="30" t="n">
        <f aca="false">C22*$C$8*DAY(B22)/$C$11</f>
        <v>109656.211961963</v>
      </c>
      <c r="F22" s="30" t="n">
        <f aca="false">D22+E22</f>
        <v>109656.211961963</v>
      </c>
      <c r="G22" s="30" t="n">
        <f aca="false">C22-D22</f>
        <v>18191813.9660399</v>
      </c>
      <c r="H22" s="73" t="n">
        <f aca="false">YEAR(B22)</f>
        <v>2027</v>
      </c>
      <c r="I22" s="73" t="n">
        <f aca="false">H22-2026</f>
        <v>1</v>
      </c>
    </row>
    <row r="23" customFormat="false" ht="15" hidden="false" customHeight="true" outlineLevel="0" collapsed="false">
      <c r="A23" s="73" t="n">
        <v>8</v>
      </c>
      <c r="B23" s="74" t="n">
        <f aca="false">EOMONTH($C$10,7)</f>
        <v>46630</v>
      </c>
      <c r="C23" s="30" t="n">
        <f aca="false">G22</f>
        <v>18191813.9660399</v>
      </c>
      <c r="D23" s="30" t="n">
        <f aca="false">IF(A23&gt;$C$6,MIN(C23,$C$13),0)</f>
        <v>0</v>
      </c>
      <c r="E23" s="30" t="n">
        <f aca="false">C23*$C$8*DAY(B23)/$C$11</f>
        <v>109656.211961963</v>
      </c>
      <c r="F23" s="30" t="n">
        <f aca="false">D23+E23</f>
        <v>109656.211961963</v>
      </c>
      <c r="G23" s="30" t="n">
        <f aca="false">C23-D23</f>
        <v>18191813.9660399</v>
      </c>
      <c r="H23" s="73" t="n">
        <f aca="false">YEAR(B23)</f>
        <v>2027</v>
      </c>
      <c r="I23" s="73" t="n">
        <f aca="false">H23-2026</f>
        <v>1</v>
      </c>
    </row>
    <row r="24" customFormat="false" ht="15" hidden="false" customHeight="true" outlineLevel="0" collapsed="false">
      <c r="A24" s="73" t="n">
        <v>9</v>
      </c>
      <c r="B24" s="74" t="n">
        <f aca="false">EOMONTH($C$10,8)</f>
        <v>46660</v>
      </c>
      <c r="C24" s="30" t="n">
        <f aca="false">G23</f>
        <v>18191813.9660399</v>
      </c>
      <c r="D24" s="30" t="n">
        <f aca="false">IF(A24&gt;$C$6,MIN(C24,$C$13),0)</f>
        <v>0</v>
      </c>
      <c r="E24" s="30" t="n">
        <f aca="false">C24*$C$8*DAY(B24)/$C$11</f>
        <v>106118.9148019</v>
      </c>
      <c r="F24" s="30" t="n">
        <f aca="false">D24+E24</f>
        <v>106118.9148019</v>
      </c>
      <c r="G24" s="30" t="n">
        <f aca="false">C24-D24</f>
        <v>18191813.9660399</v>
      </c>
      <c r="H24" s="73" t="n">
        <f aca="false">YEAR(B24)</f>
        <v>2027</v>
      </c>
      <c r="I24" s="73" t="n">
        <f aca="false">H24-2026</f>
        <v>1</v>
      </c>
    </row>
    <row r="25" customFormat="false" ht="15" hidden="false" customHeight="true" outlineLevel="0" collapsed="false">
      <c r="A25" s="73" t="n">
        <v>10</v>
      </c>
      <c r="B25" s="74" t="n">
        <f aca="false">EOMONTH($C$10,9)</f>
        <v>46691</v>
      </c>
      <c r="C25" s="30" t="n">
        <f aca="false">G24</f>
        <v>18191813.9660399</v>
      </c>
      <c r="D25" s="30" t="n">
        <f aca="false">IF(A25&gt;$C$6,MIN(C25,$C$13),0)</f>
        <v>0</v>
      </c>
      <c r="E25" s="30" t="n">
        <f aca="false">C25*$C$8*DAY(B25)/$C$11</f>
        <v>109656.211961963</v>
      </c>
      <c r="F25" s="30" t="n">
        <f aca="false">D25+E25</f>
        <v>109656.211961963</v>
      </c>
      <c r="G25" s="30" t="n">
        <f aca="false">C25-D25</f>
        <v>18191813.9660399</v>
      </c>
      <c r="H25" s="73" t="n">
        <f aca="false">YEAR(B25)</f>
        <v>2027</v>
      </c>
      <c r="I25" s="73" t="n">
        <f aca="false">H25-2026</f>
        <v>1</v>
      </c>
    </row>
    <row r="26" customFormat="false" ht="15" hidden="false" customHeight="true" outlineLevel="0" collapsed="false">
      <c r="A26" s="73" t="n">
        <v>11</v>
      </c>
      <c r="B26" s="74" t="n">
        <f aca="false">EOMONTH($C$10,10)</f>
        <v>46721</v>
      </c>
      <c r="C26" s="30" t="n">
        <f aca="false">G25</f>
        <v>18191813.9660399</v>
      </c>
      <c r="D26" s="30" t="n">
        <f aca="false">IF(A26&gt;$C$6,MIN(C26,$C$13),0)</f>
        <v>0</v>
      </c>
      <c r="E26" s="30" t="n">
        <f aca="false">C26*$C$8*DAY(B26)/$C$11</f>
        <v>106118.9148019</v>
      </c>
      <c r="F26" s="30" t="n">
        <f aca="false">D26+E26</f>
        <v>106118.9148019</v>
      </c>
      <c r="G26" s="30" t="n">
        <f aca="false">C26-D26</f>
        <v>18191813.9660399</v>
      </c>
      <c r="H26" s="73" t="n">
        <f aca="false">YEAR(B26)</f>
        <v>2027</v>
      </c>
      <c r="I26" s="73" t="n">
        <f aca="false">H26-2026</f>
        <v>1</v>
      </c>
    </row>
    <row r="27" customFormat="false" ht="15" hidden="false" customHeight="true" outlineLevel="0" collapsed="false">
      <c r="A27" s="73" t="n">
        <v>12</v>
      </c>
      <c r="B27" s="74" t="n">
        <f aca="false">EOMONTH($C$10,11)</f>
        <v>46752</v>
      </c>
      <c r="C27" s="30" t="n">
        <f aca="false">G26</f>
        <v>18191813.9660399</v>
      </c>
      <c r="D27" s="30" t="n">
        <f aca="false">IF(A27&gt;$C$6,MIN(C27,$C$13),0)</f>
        <v>0</v>
      </c>
      <c r="E27" s="30" t="n">
        <f aca="false">C27*$C$8*DAY(B27)/$C$11</f>
        <v>109656.211961963</v>
      </c>
      <c r="F27" s="30" t="n">
        <f aca="false">D27+E27</f>
        <v>109656.211961963</v>
      </c>
      <c r="G27" s="30" t="n">
        <f aca="false">C27-D27</f>
        <v>18191813.9660399</v>
      </c>
      <c r="H27" s="73" t="n">
        <f aca="false">YEAR(B27)</f>
        <v>2027</v>
      </c>
      <c r="I27" s="73" t="n">
        <f aca="false">H27-2026</f>
        <v>1</v>
      </c>
    </row>
    <row r="28" customFormat="false" ht="15" hidden="false" customHeight="true" outlineLevel="0" collapsed="false">
      <c r="A28" s="73" t="n">
        <v>13</v>
      </c>
      <c r="B28" s="74" t="n">
        <f aca="false">EOMONTH($C$10,12)</f>
        <v>46783</v>
      </c>
      <c r="C28" s="30" t="n">
        <f aca="false">G27</f>
        <v>18191813.9660399</v>
      </c>
      <c r="D28" s="30" t="n">
        <f aca="false">IF(A28&gt;$C$6,MIN(C28,$C$13),0)</f>
        <v>252664.082861666</v>
      </c>
      <c r="E28" s="30" t="n">
        <f aca="false">C28*$C$8*DAY(B28)/$C$11</f>
        <v>109656.211961963</v>
      </c>
      <c r="F28" s="30" t="n">
        <f aca="false">D28+E28</f>
        <v>362320.294823629</v>
      </c>
      <c r="G28" s="30" t="n">
        <f aca="false">C28-D28</f>
        <v>17939149.8831783</v>
      </c>
      <c r="H28" s="73" t="n">
        <f aca="false">YEAR(B28)</f>
        <v>2028</v>
      </c>
      <c r="I28" s="73" t="n">
        <f aca="false">H28-2026</f>
        <v>2</v>
      </c>
    </row>
    <row r="29" customFormat="false" ht="15" hidden="false" customHeight="true" outlineLevel="0" collapsed="false">
      <c r="A29" s="73" t="n">
        <v>14</v>
      </c>
      <c r="B29" s="74" t="n">
        <f aca="false">EOMONTH($C$10,13)</f>
        <v>46812</v>
      </c>
      <c r="C29" s="30" t="n">
        <f aca="false">G28</f>
        <v>17939149.8831783</v>
      </c>
      <c r="D29" s="30" t="n">
        <f aca="false">IF(A29&gt;$C$6,MIN(C29,$C$13),0)</f>
        <v>252664.082861666</v>
      </c>
      <c r="E29" s="30" t="n">
        <f aca="false">C29*$C$8*DAY(B29)/$C$11</f>
        <v>101156.872952366</v>
      </c>
      <c r="F29" s="30" t="n">
        <f aca="false">D29+E29</f>
        <v>353820.955814032</v>
      </c>
      <c r="G29" s="30" t="n">
        <f aca="false">C29-D29</f>
        <v>17686485.8003166</v>
      </c>
      <c r="H29" s="73" t="n">
        <f aca="false">YEAR(B29)</f>
        <v>2028</v>
      </c>
      <c r="I29" s="73" t="n">
        <f aca="false">H29-2026</f>
        <v>2</v>
      </c>
    </row>
    <row r="30" customFormat="false" ht="15" hidden="false" customHeight="true" outlineLevel="0" collapsed="false">
      <c r="A30" s="73" t="n">
        <v>15</v>
      </c>
      <c r="B30" s="74" t="n">
        <f aca="false">EOMONTH($C$10,14)</f>
        <v>46843</v>
      </c>
      <c r="C30" s="30" t="n">
        <f aca="false">G29</f>
        <v>17686485.8003166</v>
      </c>
      <c r="D30" s="30" t="n">
        <f aca="false">IF(A30&gt;$C$6,MIN(C30,$C$13),0)</f>
        <v>252664.082861666</v>
      </c>
      <c r="E30" s="30" t="n">
        <f aca="false">C30*$C$8*DAY(B30)/$C$11</f>
        <v>106610.206074131</v>
      </c>
      <c r="F30" s="30" t="n">
        <f aca="false">D30+E30</f>
        <v>359274.288935797</v>
      </c>
      <c r="G30" s="30" t="n">
        <f aca="false">C30-D30</f>
        <v>17433821.7174549</v>
      </c>
      <c r="H30" s="73" t="n">
        <f aca="false">YEAR(B30)</f>
        <v>2028</v>
      </c>
      <c r="I30" s="73" t="n">
        <f aca="false">H30-2026</f>
        <v>2</v>
      </c>
    </row>
    <row r="31" customFormat="false" ht="15" hidden="false" customHeight="true" outlineLevel="0" collapsed="false">
      <c r="A31" s="73" t="n">
        <v>16</v>
      </c>
      <c r="B31" s="74" t="n">
        <f aca="false">EOMONTH($C$10,15)</f>
        <v>46873</v>
      </c>
      <c r="C31" s="30" t="n">
        <f aca="false">G30</f>
        <v>17433821.7174549</v>
      </c>
      <c r="D31" s="30" t="n">
        <f aca="false">IF(A31&gt;$C$6,MIN(C31,$C$13),0)</f>
        <v>252664.082861666</v>
      </c>
      <c r="E31" s="30" t="n">
        <f aca="false">C31*$C$8*DAY(B31)/$C$11</f>
        <v>101697.293351821</v>
      </c>
      <c r="F31" s="30" t="n">
        <f aca="false">D31+E31</f>
        <v>354361.376213486</v>
      </c>
      <c r="G31" s="30" t="n">
        <f aca="false">C31-D31</f>
        <v>17181157.6345933</v>
      </c>
      <c r="H31" s="73" t="n">
        <f aca="false">YEAR(B31)</f>
        <v>2028</v>
      </c>
      <c r="I31" s="73" t="n">
        <f aca="false">H31-2026</f>
        <v>2</v>
      </c>
    </row>
    <row r="32" customFormat="false" ht="15" hidden="false" customHeight="true" outlineLevel="0" collapsed="false">
      <c r="A32" s="73" t="n">
        <v>17</v>
      </c>
      <c r="B32" s="74" t="n">
        <f aca="false">EOMONTH($C$10,16)</f>
        <v>46904</v>
      </c>
      <c r="C32" s="30" t="n">
        <f aca="false">G31</f>
        <v>17181157.6345933</v>
      </c>
      <c r="D32" s="30" t="n">
        <f aca="false">IF(A32&gt;$C$6,MIN(C32,$C$13),0)</f>
        <v>252664.082861666</v>
      </c>
      <c r="E32" s="30" t="n">
        <f aca="false">C32*$C$8*DAY(B32)/$C$11</f>
        <v>103564.200186298</v>
      </c>
      <c r="F32" s="30" t="n">
        <f aca="false">D32+E32</f>
        <v>356228.283047964</v>
      </c>
      <c r="G32" s="30" t="n">
        <f aca="false">C32-D32</f>
        <v>16928493.5517316</v>
      </c>
      <c r="H32" s="73" t="n">
        <f aca="false">YEAR(B32)</f>
        <v>2028</v>
      </c>
      <c r="I32" s="73" t="n">
        <f aca="false">H32-2026</f>
        <v>2</v>
      </c>
    </row>
    <row r="33" customFormat="false" ht="15" hidden="false" customHeight="true" outlineLevel="0" collapsed="false">
      <c r="A33" s="73" t="n">
        <v>18</v>
      </c>
      <c r="B33" s="74" t="n">
        <f aca="false">EOMONTH($C$10,17)</f>
        <v>46934</v>
      </c>
      <c r="C33" s="30" t="n">
        <f aca="false">G32</f>
        <v>16928493.5517316</v>
      </c>
      <c r="D33" s="30" t="n">
        <f aca="false">IF(A33&gt;$C$6,MIN(C33,$C$13),0)</f>
        <v>252664.082861666</v>
      </c>
      <c r="E33" s="30" t="n">
        <f aca="false">C33*$C$8*DAY(B33)/$C$11</f>
        <v>98749.5457184344</v>
      </c>
      <c r="F33" s="30" t="n">
        <f aca="false">D33+E33</f>
        <v>351413.6285801</v>
      </c>
      <c r="G33" s="30" t="n">
        <f aca="false">C33-D33</f>
        <v>16675829.46887</v>
      </c>
      <c r="H33" s="73" t="n">
        <f aca="false">YEAR(B33)</f>
        <v>2028</v>
      </c>
      <c r="I33" s="73" t="n">
        <f aca="false">H33-2026</f>
        <v>2</v>
      </c>
    </row>
    <row r="34" customFormat="false" ht="15" hidden="false" customHeight="true" outlineLevel="0" collapsed="false">
      <c r="A34" s="73" t="n">
        <v>19</v>
      </c>
      <c r="B34" s="74" t="n">
        <f aca="false">EOMONTH($C$10,18)</f>
        <v>46965</v>
      </c>
      <c r="C34" s="30" t="n">
        <f aca="false">G33</f>
        <v>16675829.46887</v>
      </c>
      <c r="D34" s="30" t="n">
        <f aca="false">IF(A34&gt;$C$6,MIN(C34,$C$13),0)</f>
        <v>252664.082861666</v>
      </c>
      <c r="E34" s="30" t="n">
        <f aca="false">C34*$C$8*DAY(B34)/$C$11</f>
        <v>100518.194298466</v>
      </c>
      <c r="F34" s="30" t="n">
        <f aca="false">D34+E34</f>
        <v>353182.277160132</v>
      </c>
      <c r="G34" s="30" t="n">
        <f aca="false">C34-D34</f>
        <v>16423165.3860083</v>
      </c>
      <c r="H34" s="73" t="n">
        <f aca="false">YEAR(B34)</f>
        <v>2028</v>
      </c>
      <c r="I34" s="73" t="n">
        <f aca="false">H34-2026</f>
        <v>2</v>
      </c>
    </row>
    <row r="35" customFormat="false" ht="15" hidden="false" customHeight="true" outlineLevel="0" collapsed="false">
      <c r="A35" s="73" t="n">
        <v>20</v>
      </c>
      <c r="B35" s="74" t="n">
        <f aca="false">EOMONTH($C$10,19)</f>
        <v>46996</v>
      </c>
      <c r="C35" s="30" t="n">
        <f aca="false">G34</f>
        <v>16423165.3860083</v>
      </c>
      <c r="D35" s="30" t="n">
        <f aca="false">IF(A35&gt;$C$6,MIN(C35,$C$13),0)</f>
        <v>252664.082861666</v>
      </c>
      <c r="E35" s="30" t="n">
        <f aca="false">C35*$C$8*DAY(B35)/$C$11</f>
        <v>98995.1913545499</v>
      </c>
      <c r="F35" s="30" t="n">
        <f aca="false">D35+E35</f>
        <v>351659.274216216</v>
      </c>
      <c r="G35" s="30" t="n">
        <f aca="false">C35-D35</f>
        <v>16170501.3031466</v>
      </c>
      <c r="H35" s="73" t="n">
        <f aca="false">YEAR(B35)</f>
        <v>2028</v>
      </c>
      <c r="I35" s="73" t="n">
        <f aca="false">H35-2026</f>
        <v>2</v>
      </c>
    </row>
    <row r="36" customFormat="false" ht="15" hidden="false" customHeight="true" outlineLevel="0" collapsed="false">
      <c r="A36" s="73" t="n">
        <v>21</v>
      </c>
      <c r="B36" s="74" t="n">
        <f aca="false">EOMONTH($C$10,20)</f>
        <v>47026</v>
      </c>
      <c r="C36" s="30" t="n">
        <f aca="false">G35</f>
        <v>16170501.3031466</v>
      </c>
      <c r="D36" s="30" t="n">
        <f aca="false">IF(A36&gt;$C$6,MIN(C36,$C$13),0)</f>
        <v>252664.082861666</v>
      </c>
      <c r="E36" s="30" t="n">
        <f aca="false">C36*$C$8*DAY(B36)/$C$11</f>
        <v>94327.9242683553</v>
      </c>
      <c r="F36" s="30" t="n">
        <f aca="false">D36+E36</f>
        <v>346992.007130021</v>
      </c>
      <c r="G36" s="30" t="n">
        <f aca="false">C36-D36</f>
        <v>15917837.220285</v>
      </c>
      <c r="H36" s="73" t="n">
        <f aca="false">YEAR(B36)</f>
        <v>2028</v>
      </c>
      <c r="I36" s="73" t="n">
        <f aca="false">H36-2026</f>
        <v>2</v>
      </c>
    </row>
    <row r="37" customFormat="false" ht="15" hidden="false" customHeight="true" outlineLevel="0" collapsed="false">
      <c r="A37" s="73" t="n">
        <v>22</v>
      </c>
      <c r="B37" s="74" t="n">
        <f aca="false">EOMONTH($C$10,21)</f>
        <v>47057</v>
      </c>
      <c r="C37" s="30" t="n">
        <f aca="false">G36</f>
        <v>15917837.220285</v>
      </c>
      <c r="D37" s="30" t="n">
        <f aca="false">IF(A37&gt;$C$6,MIN(C37,$C$13),0)</f>
        <v>252664.082861666</v>
      </c>
      <c r="E37" s="30" t="n">
        <f aca="false">C37*$C$8*DAY(B37)/$C$11</f>
        <v>95949.1854667176</v>
      </c>
      <c r="F37" s="30" t="n">
        <f aca="false">D37+E37</f>
        <v>348613.268328384</v>
      </c>
      <c r="G37" s="30" t="n">
        <f aca="false">C37-D37</f>
        <v>15665173.1374233</v>
      </c>
      <c r="H37" s="73" t="n">
        <f aca="false">YEAR(B37)</f>
        <v>2028</v>
      </c>
      <c r="I37" s="73" t="n">
        <f aca="false">H37-2026</f>
        <v>2</v>
      </c>
    </row>
    <row r="38" customFormat="false" ht="15" hidden="false" customHeight="true" outlineLevel="0" collapsed="false">
      <c r="A38" s="73" t="n">
        <v>23</v>
      </c>
      <c r="B38" s="74" t="n">
        <f aca="false">EOMONTH($C$10,22)</f>
        <v>47087</v>
      </c>
      <c r="C38" s="30" t="n">
        <f aca="false">G37</f>
        <v>15665173.1374233</v>
      </c>
      <c r="D38" s="30" t="n">
        <f aca="false">IF(A38&gt;$C$6,MIN(C38,$C$13),0)</f>
        <v>252664.082861666</v>
      </c>
      <c r="E38" s="30" t="n">
        <f aca="false">C38*$C$8*DAY(B38)/$C$11</f>
        <v>91380.1766349692</v>
      </c>
      <c r="F38" s="30" t="n">
        <f aca="false">D38+E38</f>
        <v>344044.259496635</v>
      </c>
      <c r="G38" s="30" t="n">
        <f aca="false">C38-D38</f>
        <v>15412509.0545616</v>
      </c>
      <c r="H38" s="73" t="n">
        <f aca="false">YEAR(B38)</f>
        <v>2028</v>
      </c>
      <c r="I38" s="73" t="n">
        <f aca="false">H38-2026</f>
        <v>2</v>
      </c>
    </row>
    <row r="39" customFormat="false" ht="15" hidden="false" customHeight="true" outlineLevel="0" collapsed="false">
      <c r="A39" s="73" t="n">
        <v>24</v>
      </c>
      <c r="B39" s="74" t="n">
        <f aca="false">EOMONTH($C$10,23)</f>
        <v>47118</v>
      </c>
      <c r="C39" s="30" t="n">
        <f aca="false">G38</f>
        <v>15412509.0545616</v>
      </c>
      <c r="D39" s="30" t="n">
        <f aca="false">IF(A39&gt;$C$6,MIN(C39,$C$13),0)</f>
        <v>252664.082861666</v>
      </c>
      <c r="E39" s="30" t="n">
        <f aca="false">C39*$C$8*DAY(B39)/$C$11</f>
        <v>92903.1795788854</v>
      </c>
      <c r="F39" s="30" t="n">
        <f aca="false">D39+E39</f>
        <v>345567.262440551</v>
      </c>
      <c r="G39" s="30" t="n">
        <f aca="false">C39-D39</f>
        <v>15159844.9717</v>
      </c>
      <c r="H39" s="73" t="n">
        <f aca="false">YEAR(B39)</f>
        <v>2028</v>
      </c>
      <c r="I39" s="73" t="n">
        <f aca="false">H39-2026</f>
        <v>2</v>
      </c>
    </row>
    <row r="40" customFormat="false" ht="15" hidden="false" customHeight="true" outlineLevel="0" collapsed="false">
      <c r="A40" s="73" t="n">
        <v>25</v>
      </c>
      <c r="B40" s="74" t="n">
        <f aca="false">EOMONTH($C$10,24)</f>
        <v>47149</v>
      </c>
      <c r="C40" s="30" t="n">
        <f aca="false">G39</f>
        <v>15159844.9717</v>
      </c>
      <c r="D40" s="30" t="n">
        <f aca="false">IF(A40&gt;$C$6,MIN(C40,$C$13),0)</f>
        <v>252664.082861666</v>
      </c>
      <c r="E40" s="30" t="n">
        <f aca="false">C40*$C$8*DAY(B40)/$C$11</f>
        <v>91380.1766349692</v>
      </c>
      <c r="F40" s="30" t="n">
        <f aca="false">D40+E40</f>
        <v>344044.259496635</v>
      </c>
      <c r="G40" s="30" t="n">
        <f aca="false">C40-D40</f>
        <v>14907180.8888383</v>
      </c>
      <c r="H40" s="73" t="n">
        <f aca="false">YEAR(B40)</f>
        <v>2029</v>
      </c>
      <c r="I40" s="73" t="n">
        <f aca="false">H40-2026</f>
        <v>3</v>
      </c>
    </row>
    <row r="41" customFormat="false" ht="15" hidden="false" customHeight="true" outlineLevel="0" collapsed="false">
      <c r="A41" s="73" t="n">
        <v>26</v>
      </c>
      <c r="B41" s="74" t="n">
        <f aca="false">EOMONTH($C$10,25)</f>
        <v>47177</v>
      </c>
      <c r="C41" s="30" t="n">
        <f aca="false">G40</f>
        <v>14907180.8888383</v>
      </c>
      <c r="D41" s="30" t="n">
        <f aca="false">IF(A41&gt;$C$6,MIN(C41,$C$13),0)</f>
        <v>252664.082861666</v>
      </c>
      <c r="E41" s="30" t="n">
        <f aca="false">C41*$C$8*DAY(B41)/$C$11</f>
        <v>81161.318172564</v>
      </c>
      <c r="F41" s="30" t="n">
        <f aca="false">D41+E41</f>
        <v>333825.40103423</v>
      </c>
      <c r="G41" s="30" t="n">
        <f aca="false">C41-D41</f>
        <v>14654516.8059766</v>
      </c>
      <c r="H41" s="73" t="n">
        <f aca="false">YEAR(B41)</f>
        <v>2029</v>
      </c>
      <c r="I41" s="73" t="n">
        <f aca="false">H41-2026</f>
        <v>3</v>
      </c>
    </row>
    <row r="42" customFormat="false" ht="15" hidden="false" customHeight="true" outlineLevel="0" collapsed="false">
      <c r="A42" s="73" t="n">
        <v>27</v>
      </c>
      <c r="B42" s="74" t="n">
        <f aca="false">EOMONTH($C$10,26)</f>
        <v>47208</v>
      </c>
      <c r="C42" s="30" t="n">
        <f aca="false">G41</f>
        <v>14654516.8059766</v>
      </c>
      <c r="D42" s="30" t="n">
        <f aca="false">IF(A42&gt;$C$6,MIN(C42,$C$13),0)</f>
        <v>252664.082861666</v>
      </c>
      <c r="E42" s="30" t="n">
        <f aca="false">C42*$C$8*DAY(B42)/$C$11</f>
        <v>88334.1707471369</v>
      </c>
      <c r="F42" s="30" t="n">
        <f aca="false">D42+E42</f>
        <v>340998.253608803</v>
      </c>
      <c r="G42" s="30" t="n">
        <f aca="false">C42-D42</f>
        <v>14401852.723115</v>
      </c>
      <c r="H42" s="73" t="n">
        <f aca="false">YEAR(B42)</f>
        <v>2029</v>
      </c>
      <c r="I42" s="73" t="n">
        <f aca="false">H42-2026</f>
        <v>3</v>
      </c>
    </row>
    <row r="43" customFormat="false" ht="15" hidden="false" customHeight="true" outlineLevel="0" collapsed="false">
      <c r="A43" s="73" t="n">
        <v>28</v>
      </c>
      <c r="B43" s="74" t="n">
        <f aca="false">EOMONTH($C$10,27)</f>
        <v>47238</v>
      </c>
      <c r="C43" s="30" t="n">
        <f aca="false">G42</f>
        <v>14401852.723115</v>
      </c>
      <c r="D43" s="30" t="n">
        <f aca="false">IF(A43&gt;$C$6,MIN(C43,$C$13),0)</f>
        <v>252664.082861666</v>
      </c>
      <c r="E43" s="30" t="n">
        <f aca="false">C43*$C$8*DAY(B43)/$C$11</f>
        <v>84010.8075515039</v>
      </c>
      <c r="F43" s="30" t="n">
        <f aca="false">D43+E43</f>
        <v>336674.89041317</v>
      </c>
      <c r="G43" s="30" t="n">
        <f aca="false">C43-D43</f>
        <v>14149188.6402533</v>
      </c>
      <c r="H43" s="73" t="n">
        <f aca="false">YEAR(B43)</f>
        <v>2029</v>
      </c>
      <c r="I43" s="73" t="n">
        <f aca="false">H43-2026</f>
        <v>3</v>
      </c>
    </row>
    <row r="44" customFormat="false" ht="15" hidden="false" customHeight="true" outlineLevel="0" collapsed="false">
      <c r="A44" s="73" t="n">
        <v>29</v>
      </c>
      <c r="B44" s="74" t="n">
        <f aca="false">EOMONTH($C$10,28)</f>
        <v>47269</v>
      </c>
      <c r="C44" s="30" t="n">
        <f aca="false">G43</f>
        <v>14149188.6402533</v>
      </c>
      <c r="D44" s="30" t="n">
        <f aca="false">IF(A44&gt;$C$6,MIN(C44,$C$13),0)</f>
        <v>252664.082861666</v>
      </c>
      <c r="E44" s="30" t="n">
        <f aca="false">C44*$C$8*DAY(B44)/$C$11</f>
        <v>85288.1648593046</v>
      </c>
      <c r="F44" s="30" t="n">
        <f aca="false">D44+E44</f>
        <v>337952.247720971</v>
      </c>
      <c r="G44" s="30" t="n">
        <f aca="false">C44-D44</f>
        <v>13896524.5573916</v>
      </c>
      <c r="H44" s="73" t="n">
        <f aca="false">YEAR(B44)</f>
        <v>2029</v>
      </c>
      <c r="I44" s="73" t="n">
        <f aca="false">H44-2026</f>
        <v>3</v>
      </c>
    </row>
    <row r="45" customFormat="false" ht="15" hidden="false" customHeight="true" outlineLevel="0" collapsed="false">
      <c r="A45" s="73" t="n">
        <v>30</v>
      </c>
      <c r="B45" s="74" t="n">
        <f aca="false">EOMONTH($C$10,29)</f>
        <v>47299</v>
      </c>
      <c r="C45" s="30" t="n">
        <f aca="false">G44</f>
        <v>13896524.5573916</v>
      </c>
      <c r="D45" s="30" t="n">
        <f aca="false">IF(A45&gt;$C$6,MIN(C45,$C$13),0)</f>
        <v>252664.082861666</v>
      </c>
      <c r="E45" s="30" t="n">
        <f aca="false">C45*$C$8*DAY(B45)/$C$11</f>
        <v>81063.0599181178</v>
      </c>
      <c r="F45" s="30" t="n">
        <f aca="false">D45+E45</f>
        <v>333727.142779784</v>
      </c>
      <c r="G45" s="30" t="n">
        <f aca="false">C45-D45</f>
        <v>13643860.47453</v>
      </c>
      <c r="H45" s="73" t="n">
        <f aca="false">YEAR(B45)</f>
        <v>2029</v>
      </c>
      <c r="I45" s="73" t="n">
        <f aca="false">H45-2026</f>
        <v>3</v>
      </c>
    </row>
    <row r="46" customFormat="false" ht="15" hidden="false" customHeight="true" outlineLevel="0" collapsed="false">
      <c r="A46" s="73" t="n">
        <v>31</v>
      </c>
      <c r="B46" s="74" t="n">
        <f aca="false">EOMONTH($C$10,30)</f>
        <v>47330</v>
      </c>
      <c r="C46" s="30" t="n">
        <f aca="false">G45</f>
        <v>13643860.47453</v>
      </c>
      <c r="D46" s="30" t="n">
        <f aca="false">IF(A46&gt;$C$6,MIN(C46,$C$13),0)</f>
        <v>252664.082861666</v>
      </c>
      <c r="E46" s="30" t="n">
        <f aca="false">C46*$C$8*DAY(B46)/$C$11</f>
        <v>82242.1589714723</v>
      </c>
      <c r="F46" s="30" t="n">
        <f aca="false">D46+E46</f>
        <v>334906.241833138</v>
      </c>
      <c r="G46" s="30" t="n">
        <f aca="false">C46-D46</f>
        <v>13391196.3916683</v>
      </c>
      <c r="H46" s="73" t="n">
        <f aca="false">YEAR(B46)</f>
        <v>2029</v>
      </c>
      <c r="I46" s="73" t="n">
        <f aca="false">H46-2026</f>
        <v>3</v>
      </c>
    </row>
    <row r="47" customFormat="false" ht="15" hidden="false" customHeight="true" outlineLevel="0" collapsed="false">
      <c r="A47" s="73" t="n">
        <v>32</v>
      </c>
      <c r="B47" s="74" t="n">
        <f aca="false">EOMONTH($C$10,31)</f>
        <v>47361</v>
      </c>
      <c r="C47" s="30" t="n">
        <f aca="false">G46</f>
        <v>13391196.3916683</v>
      </c>
      <c r="D47" s="30" t="n">
        <f aca="false">IF(A47&gt;$C$6,MIN(C47,$C$13),0)</f>
        <v>252664.082861666</v>
      </c>
      <c r="E47" s="30" t="n">
        <f aca="false">C47*$C$8*DAY(B47)/$C$11</f>
        <v>80719.1560275561</v>
      </c>
      <c r="F47" s="30" t="n">
        <f aca="false">D47+E47</f>
        <v>333383.238889222</v>
      </c>
      <c r="G47" s="30" t="n">
        <f aca="false">C47-D47</f>
        <v>13138532.3088066</v>
      </c>
      <c r="H47" s="73" t="n">
        <f aca="false">YEAR(B47)</f>
        <v>2029</v>
      </c>
      <c r="I47" s="73" t="n">
        <f aca="false">H47-2026</f>
        <v>3</v>
      </c>
    </row>
    <row r="48" customFormat="false" ht="15" hidden="false" customHeight="true" outlineLevel="0" collapsed="false">
      <c r="A48" s="73" t="n">
        <v>33</v>
      </c>
      <c r="B48" s="74" t="n">
        <f aca="false">EOMONTH($C$10,32)</f>
        <v>47391</v>
      </c>
      <c r="C48" s="30" t="n">
        <f aca="false">G47</f>
        <v>13138532.3088066</v>
      </c>
      <c r="D48" s="30" t="n">
        <f aca="false">IF(A48&gt;$C$6,MIN(C48,$C$13),0)</f>
        <v>252664.082861666</v>
      </c>
      <c r="E48" s="30" t="n">
        <f aca="false">C48*$C$8*DAY(B48)/$C$11</f>
        <v>76641.4384680387</v>
      </c>
      <c r="F48" s="30" t="n">
        <f aca="false">D48+E48</f>
        <v>329305.521329705</v>
      </c>
      <c r="G48" s="30" t="n">
        <f aca="false">C48-D48</f>
        <v>12885868.225945</v>
      </c>
      <c r="H48" s="73" t="n">
        <f aca="false">YEAR(B48)</f>
        <v>2029</v>
      </c>
      <c r="I48" s="73" t="n">
        <f aca="false">H48-2026</f>
        <v>3</v>
      </c>
    </row>
    <row r="49" customFormat="false" ht="15" hidden="false" customHeight="true" outlineLevel="0" collapsed="false">
      <c r="A49" s="73" t="n">
        <v>34</v>
      </c>
      <c r="B49" s="74" t="n">
        <f aca="false">EOMONTH($C$10,33)</f>
        <v>47422</v>
      </c>
      <c r="C49" s="30" t="n">
        <f aca="false">G48</f>
        <v>12885868.225945</v>
      </c>
      <c r="D49" s="30" t="n">
        <f aca="false">IF(A49&gt;$C$6,MIN(C49,$C$13),0)</f>
        <v>252664.082861666</v>
      </c>
      <c r="E49" s="30" t="n">
        <f aca="false">C49*$C$8*DAY(B49)/$C$11</f>
        <v>77673.1501397238</v>
      </c>
      <c r="F49" s="30" t="n">
        <f aca="false">D49+E49</f>
        <v>330337.23300139</v>
      </c>
      <c r="G49" s="30" t="n">
        <f aca="false">C49-D49</f>
        <v>12633204.1430833</v>
      </c>
      <c r="H49" s="73" t="n">
        <f aca="false">YEAR(B49)</f>
        <v>2029</v>
      </c>
      <c r="I49" s="73" t="n">
        <f aca="false">H49-2026</f>
        <v>3</v>
      </c>
    </row>
    <row r="50" customFormat="false" ht="15" hidden="false" customHeight="true" outlineLevel="0" collapsed="false">
      <c r="A50" s="73" t="n">
        <v>35</v>
      </c>
      <c r="B50" s="74" t="n">
        <f aca="false">EOMONTH($C$10,34)</f>
        <v>47452</v>
      </c>
      <c r="C50" s="30" t="n">
        <f aca="false">G49</f>
        <v>12633204.1430833</v>
      </c>
      <c r="D50" s="30" t="n">
        <f aca="false">IF(A50&gt;$C$6,MIN(C50,$C$13),0)</f>
        <v>252664.082861666</v>
      </c>
      <c r="E50" s="30" t="n">
        <f aca="false">C50*$C$8*DAY(B50)/$C$11</f>
        <v>73693.6908346526</v>
      </c>
      <c r="F50" s="30" t="n">
        <f aca="false">D50+E50</f>
        <v>326357.773696319</v>
      </c>
      <c r="G50" s="30" t="n">
        <f aca="false">C50-D50</f>
        <v>12380540.0602216</v>
      </c>
      <c r="H50" s="73" t="n">
        <f aca="false">YEAR(B50)</f>
        <v>2029</v>
      </c>
      <c r="I50" s="73" t="n">
        <f aca="false">H50-2026</f>
        <v>3</v>
      </c>
    </row>
    <row r="51" customFormat="false" ht="15" hidden="false" customHeight="true" outlineLevel="0" collapsed="false">
      <c r="A51" s="73" t="n">
        <v>36</v>
      </c>
      <c r="B51" s="74" t="n">
        <f aca="false">EOMONTH($C$10,35)</f>
        <v>47483</v>
      </c>
      <c r="C51" s="30" t="n">
        <f aca="false">G50</f>
        <v>12380540.0602216</v>
      </c>
      <c r="D51" s="30" t="n">
        <f aca="false">IF(A51&gt;$C$6,MIN(C51,$C$13),0)</f>
        <v>252664.082861666</v>
      </c>
      <c r="E51" s="30" t="n">
        <f aca="false">C51*$C$8*DAY(B51)/$C$11</f>
        <v>74627.1442518915</v>
      </c>
      <c r="F51" s="30" t="n">
        <f aca="false">D51+E51</f>
        <v>327291.227113557</v>
      </c>
      <c r="G51" s="30" t="n">
        <f aca="false">C51-D51</f>
        <v>12127875.97736</v>
      </c>
      <c r="H51" s="73" t="n">
        <f aca="false">YEAR(B51)</f>
        <v>2029</v>
      </c>
      <c r="I51" s="73" t="n">
        <f aca="false">H51-2026</f>
        <v>3</v>
      </c>
    </row>
    <row r="52" customFormat="false" ht="15" hidden="false" customHeight="true" outlineLevel="0" collapsed="false">
      <c r="A52" s="73" t="n">
        <v>37</v>
      </c>
      <c r="B52" s="74" t="n">
        <f aca="false">EOMONTH($C$10,36)</f>
        <v>47514</v>
      </c>
      <c r="C52" s="30" t="n">
        <f aca="false">G51</f>
        <v>12127875.97736</v>
      </c>
      <c r="D52" s="30" t="n">
        <f aca="false">IF(A52&gt;$C$6,MIN(C52,$C$13),0)</f>
        <v>252664.082861666</v>
      </c>
      <c r="E52" s="30" t="n">
        <f aca="false">C52*$C$8*DAY(B52)/$C$11</f>
        <v>73104.1413079754</v>
      </c>
      <c r="F52" s="30" t="n">
        <f aca="false">D52+E52</f>
        <v>325768.224169641</v>
      </c>
      <c r="G52" s="30" t="n">
        <f aca="false">C52-D52</f>
        <v>11875211.8944983</v>
      </c>
      <c r="H52" s="73" t="n">
        <f aca="false">YEAR(B52)</f>
        <v>2030</v>
      </c>
      <c r="I52" s="73" t="n">
        <f aca="false">H52-2026</f>
        <v>4</v>
      </c>
    </row>
    <row r="53" customFormat="false" ht="15" hidden="false" customHeight="true" outlineLevel="0" collapsed="false">
      <c r="A53" s="73" t="n">
        <v>38</v>
      </c>
      <c r="B53" s="74" t="n">
        <f aca="false">EOMONTH($C$10,37)</f>
        <v>47542</v>
      </c>
      <c r="C53" s="30" t="n">
        <f aca="false">G52</f>
        <v>11875211.8944983</v>
      </c>
      <c r="D53" s="30" t="n">
        <f aca="false">IF(A53&gt;$C$6,MIN(C53,$C$13),0)</f>
        <v>252664.082861666</v>
      </c>
      <c r="E53" s="30" t="n">
        <f aca="false">C53*$C$8*DAY(B53)/$C$11</f>
        <v>64653.9314256019</v>
      </c>
      <c r="F53" s="30" t="n">
        <f aca="false">D53+E53</f>
        <v>317318.014287268</v>
      </c>
      <c r="G53" s="30" t="n">
        <f aca="false">C53-D53</f>
        <v>11622547.8116366</v>
      </c>
      <c r="H53" s="73" t="n">
        <f aca="false">YEAR(B53)</f>
        <v>2030</v>
      </c>
      <c r="I53" s="73" t="n">
        <f aca="false">H53-2026</f>
        <v>4</v>
      </c>
    </row>
    <row r="54" customFormat="false" ht="15" hidden="false" customHeight="true" outlineLevel="0" collapsed="false">
      <c r="A54" s="73" t="n">
        <v>39</v>
      </c>
      <c r="B54" s="74" t="n">
        <f aca="false">EOMONTH($C$10,38)</f>
        <v>47573</v>
      </c>
      <c r="C54" s="30" t="n">
        <f aca="false">G53</f>
        <v>11622547.8116366</v>
      </c>
      <c r="D54" s="30" t="n">
        <f aca="false">IF(A54&gt;$C$6,MIN(C54,$C$13),0)</f>
        <v>252664.082861666</v>
      </c>
      <c r="E54" s="30" t="n">
        <f aca="false">C54*$C$8*DAY(B54)/$C$11</f>
        <v>70058.1354201431</v>
      </c>
      <c r="F54" s="30" t="n">
        <f aca="false">D54+E54</f>
        <v>322722.218281809</v>
      </c>
      <c r="G54" s="30" t="n">
        <f aca="false">C54-D54</f>
        <v>11369883.728775</v>
      </c>
      <c r="H54" s="73" t="n">
        <f aca="false">YEAR(B54)</f>
        <v>2030</v>
      </c>
      <c r="I54" s="73" t="n">
        <f aca="false">H54-2026</f>
        <v>4</v>
      </c>
    </row>
    <row r="55" customFormat="false" ht="15" hidden="false" customHeight="true" outlineLevel="0" collapsed="false">
      <c r="A55" s="73" t="n">
        <v>40</v>
      </c>
      <c r="B55" s="74" t="n">
        <f aca="false">EOMONTH($C$10,39)</f>
        <v>47603</v>
      </c>
      <c r="C55" s="30" t="n">
        <f aca="false">G54</f>
        <v>11369883.728775</v>
      </c>
      <c r="D55" s="30" t="n">
        <f aca="false">IF(A55&gt;$C$6,MIN(C55,$C$13),0)</f>
        <v>252664.082861666</v>
      </c>
      <c r="E55" s="30" t="n">
        <f aca="false">C55*$C$8*DAY(B55)/$C$11</f>
        <v>66324.3217511873</v>
      </c>
      <c r="F55" s="30" t="n">
        <f aca="false">D55+E55</f>
        <v>318988.404612853</v>
      </c>
      <c r="G55" s="30" t="n">
        <f aca="false">C55-D55</f>
        <v>11117219.6459133</v>
      </c>
      <c r="H55" s="73" t="n">
        <f aca="false">YEAR(B55)</f>
        <v>2030</v>
      </c>
      <c r="I55" s="73" t="n">
        <f aca="false">H55-2026</f>
        <v>4</v>
      </c>
    </row>
    <row r="56" customFormat="false" ht="15" hidden="false" customHeight="true" outlineLevel="0" collapsed="false">
      <c r="A56" s="73" t="n">
        <v>41</v>
      </c>
      <c r="B56" s="74" t="n">
        <f aca="false">EOMONTH($C$10,40)</f>
        <v>47634</v>
      </c>
      <c r="C56" s="30" t="n">
        <f aca="false">G55</f>
        <v>11117219.6459133</v>
      </c>
      <c r="D56" s="30" t="n">
        <f aca="false">IF(A56&gt;$C$6,MIN(C56,$C$13),0)</f>
        <v>252664.082861666</v>
      </c>
      <c r="E56" s="30" t="n">
        <f aca="false">C56*$C$8*DAY(B56)/$C$11</f>
        <v>67012.1295323108</v>
      </c>
      <c r="F56" s="30" t="n">
        <f aca="false">D56+E56</f>
        <v>319676.212393977</v>
      </c>
      <c r="G56" s="30" t="n">
        <f aca="false">C56-D56</f>
        <v>10864555.5630516</v>
      </c>
      <c r="H56" s="73" t="n">
        <f aca="false">YEAR(B56)</f>
        <v>2030</v>
      </c>
      <c r="I56" s="73" t="n">
        <f aca="false">H56-2026</f>
        <v>4</v>
      </c>
    </row>
    <row r="57" customFormat="false" ht="15" hidden="false" customHeight="true" outlineLevel="0" collapsed="false">
      <c r="A57" s="73" t="n">
        <v>42</v>
      </c>
      <c r="B57" s="74" t="n">
        <f aca="false">EOMONTH($C$10,41)</f>
        <v>47664</v>
      </c>
      <c r="C57" s="30" t="n">
        <f aca="false">G56</f>
        <v>10864555.5630516</v>
      </c>
      <c r="D57" s="30" t="n">
        <f aca="false">IF(A57&gt;$C$6,MIN(C57,$C$13),0)</f>
        <v>252664.082861666</v>
      </c>
      <c r="E57" s="30" t="n">
        <f aca="false">C57*$C$8*DAY(B57)/$C$11</f>
        <v>63376.5741178013</v>
      </c>
      <c r="F57" s="30" t="n">
        <f aca="false">D57+E57</f>
        <v>316040.656979467</v>
      </c>
      <c r="G57" s="30" t="n">
        <f aca="false">C57-D57</f>
        <v>10611891.48019</v>
      </c>
      <c r="H57" s="73" t="n">
        <f aca="false">YEAR(B57)</f>
        <v>2030</v>
      </c>
      <c r="I57" s="73" t="n">
        <f aca="false">H57-2026</f>
        <v>4</v>
      </c>
    </row>
    <row r="58" customFormat="false" ht="15" hidden="false" customHeight="true" outlineLevel="0" collapsed="false">
      <c r="A58" s="73" t="n">
        <v>43</v>
      </c>
      <c r="B58" s="74" t="n">
        <f aca="false">EOMONTH($C$10,42)</f>
        <v>47695</v>
      </c>
      <c r="C58" s="30" t="n">
        <f aca="false">G57</f>
        <v>10611891.48019</v>
      </c>
      <c r="D58" s="30" t="n">
        <f aca="false">IF(A58&gt;$C$6,MIN(C58,$C$13),0)</f>
        <v>252664.082861666</v>
      </c>
      <c r="E58" s="30" t="n">
        <f aca="false">C58*$C$8*DAY(B58)/$C$11</f>
        <v>63966.1236444785</v>
      </c>
      <c r="F58" s="30" t="n">
        <f aca="false">D58+E58</f>
        <v>316630.206506144</v>
      </c>
      <c r="G58" s="30" t="n">
        <f aca="false">C58-D58</f>
        <v>10359227.3973283</v>
      </c>
      <c r="H58" s="73" t="n">
        <f aca="false">YEAR(B58)</f>
        <v>2030</v>
      </c>
      <c r="I58" s="73" t="n">
        <f aca="false">H58-2026</f>
        <v>4</v>
      </c>
    </row>
    <row r="59" customFormat="false" ht="15" hidden="false" customHeight="true" outlineLevel="0" collapsed="false">
      <c r="A59" s="73" t="n">
        <v>44</v>
      </c>
      <c r="B59" s="74" t="n">
        <f aca="false">EOMONTH($C$10,43)</f>
        <v>47726</v>
      </c>
      <c r="C59" s="30" t="n">
        <f aca="false">G58</f>
        <v>10359227.3973283</v>
      </c>
      <c r="D59" s="30" t="n">
        <f aca="false">IF(A59&gt;$C$6,MIN(C59,$C$13),0)</f>
        <v>252664.082861666</v>
      </c>
      <c r="E59" s="30" t="n">
        <f aca="false">C59*$C$8*DAY(B59)/$C$11</f>
        <v>62443.1207005623</v>
      </c>
      <c r="F59" s="30" t="n">
        <f aca="false">D59+E59</f>
        <v>315107.203562228</v>
      </c>
      <c r="G59" s="30" t="n">
        <f aca="false">C59-D59</f>
        <v>10106563.3144666</v>
      </c>
      <c r="H59" s="73" t="n">
        <f aca="false">YEAR(B59)</f>
        <v>2030</v>
      </c>
      <c r="I59" s="73" t="n">
        <f aca="false">H59-2026</f>
        <v>4</v>
      </c>
    </row>
    <row r="60" customFormat="false" ht="15" hidden="false" customHeight="true" outlineLevel="0" collapsed="false">
      <c r="A60" s="73" t="n">
        <v>45</v>
      </c>
      <c r="B60" s="74" t="n">
        <f aca="false">EOMONTH($C$10,44)</f>
        <v>47756</v>
      </c>
      <c r="C60" s="30" t="n">
        <f aca="false">G59</f>
        <v>10106563.3144666</v>
      </c>
      <c r="D60" s="30" t="n">
        <f aca="false">IF(A60&gt;$C$6,MIN(C60,$C$13),0)</f>
        <v>252664.082861666</v>
      </c>
      <c r="E60" s="30" t="n">
        <f aca="false">C60*$C$8*DAY(B60)/$C$11</f>
        <v>58954.9526677221</v>
      </c>
      <c r="F60" s="30" t="n">
        <f aca="false">D60+E60</f>
        <v>311619.035529388</v>
      </c>
      <c r="G60" s="30" t="n">
        <f aca="false">C60-D60</f>
        <v>9853899.23160498</v>
      </c>
      <c r="H60" s="73" t="n">
        <f aca="false">YEAR(B60)</f>
        <v>2030</v>
      </c>
      <c r="I60" s="73" t="n">
        <f aca="false">H60-2026</f>
        <v>4</v>
      </c>
    </row>
    <row r="61" customFormat="false" ht="15" hidden="false" customHeight="true" outlineLevel="0" collapsed="false">
      <c r="A61" s="73" t="n">
        <v>46</v>
      </c>
      <c r="B61" s="74" t="n">
        <f aca="false">EOMONTH($C$10,45)</f>
        <v>47787</v>
      </c>
      <c r="C61" s="30" t="n">
        <f aca="false">G60</f>
        <v>9853899.23160498</v>
      </c>
      <c r="D61" s="30" t="n">
        <f aca="false">IF(A61&gt;$C$6,MIN(C61,$C$13),0)</f>
        <v>252664.082861666</v>
      </c>
      <c r="E61" s="30" t="n">
        <f aca="false">C61*$C$8*DAY(B61)/$C$11</f>
        <v>59397.11481273</v>
      </c>
      <c r="F61" s="30" t="n">
        <f aca="false">D61+E61</f>
        <v>312061.197674396</v>
      </c>
      <c r="G61" s="30" t="n">
        <f aca="false">C61-D61</f>
        <v>9601235.14874331</v>
      </c>
      <c r="H61" s="73" t="n">
        <f aca="false">YEAR(B61)</f>
        <v>2030</v>
      </c>
      <c r="I61" s="73" t="n">
        <f aca="false">H61-2026</f>
        <v>4</v>
      </c>
    </row>
    <row r="62" customFormat="false" ht="15" hidden="false" customHeight="true" outlineLevel="0" collapsed="false">
      <c r="A62" s="73" t="n">
        <v>47</v>
      </c>
      <c r="B62" s="74" t="n">
        <f aca="false">EOMONTH($C$10,46)</f>
        <v>47817</v>
      </c>
      <c r="C62" s="30" t="n">
        <f aca="false">G61</f>
        <v>9601235.14874331</v>
      </c>
      <c r="D62" s="30" t="n">
        <f aca="false">IF(A62&gt;$C$6,MIN(C62,$C$13),0)</f>
        <v>252664.082861666</v>
      </c>
      <c r="E62" s="30" t="n">
        <f aca="false">C62*$C$8*DAY(B62)/$C$11</f>
        <v>56007.205034336</v>
      </c>
      <c r="F62" s="30" t="n">
        <f aca="false">D62+E62</f>
        <v>308671.287896002</v>
      </c>
      <c r="G62" s="30" t="n">
        <f aca="false">C62-D62</f>
        <v>9348571.06588165</v>
      </c>
      <c r="H62" s="73" t="n">
        <f aca="false">YEAR(B62)</f>
        <v>2030</v>
      </c>
      <c r="I62" s="73" t="n">
        <f aca="false">H62-2026</f>
        <v>4</v>
      </c>
    </row>
    <row r="63" customFormat="false" ht="15" hidden="false" customHeight="true" outlineLevel="0" collapsed="false">
      <c r="A63" s="73" t="n">
        <v>48</v>
      </c>
      <c r="B63" s="74" t="n">
        <f aca="false">EOMONTH($C$10,47)</f>
        <v>47848</v>
      </c>
      <c r="C63" s="30" t="n">
        <f aca="false">G62</f>
        <v>9348571.06588165</v>
      </c>
      <c r="D63" s="30" t="n">
        <f aca="false">IF(A63&gt;$C$6,MIN(C63,$C$13),0)</f>
        <v>252664.082861666</v>
      </c>
      <c r="E63" s="30" t="n">
        <f aca="false">C63*$C$8*DAY(B63)/$C$11</f>
        <v>56351.1089248977</v>
      </c>
      <c r="F63" s="30" t="n">
        <f aca="false">D63+E63</f>
        <v>309015.191786564</v>
      </c>
      <c r="G63" s="30" t="n">
        <f aca="false">C63-D63</f>
        <v>9095906.98301998</v>
      </c>
      <c r="H63" s="73" t="n">
        <f aca="false">YEAR(B63)</f>
        <v>2030</v>
      </c>
      <c r="I63" s="73" t="n">
        <f aca="false">H63-2026</f>
        <v>4</v>
      </c>
    </row>
    <row r="64" customFormat="false" ht="15" hidden="false" customHeight="true" outlineLevel="0" collapsed="false">
      <c r="A64" s="73" t="n">
        <v>49</v>
      </c>
      <c r="B64" s="74" t="n">
        <f aca="false">EOMONTH($C$10,48)</f>
        <v>47879</v>
      </c>
      <c r="C64" s="30" t="n">
        <f aca="false">G63</f>
        <v>9095906.98301998</v>
      </c>
      <c r="D64" s="30" t="n">
        <f aca="false">IF(A64&gt;$C$6,MIN(C64,$C$13),0)</f>
        <v>252664.082861666</v>
      </c>
      <c r="E64" s="30" t="n">
        <f aca="false">C64*$C$8*DAY(B64)/$C$11</f>
        <v>54828.1059809816</v>
      </c>
      <c r="F64" s="30" t="n">
        <f aca="false">D64+E64</f>
        <v>307492.188842648</v>
      </c>
      <c r="G64" s="30" t="n">
        <f aca="false">C64-D64</f>
        <v>8843242.90015832</v>
      </c>
      <c r="H64" s="73" t="n">
        <f aca="false">YEAR(B64)</f>
        <v>2031</v>
      </c>
      <c r="I64" s="73" t="n">
        <f aca="false">H64-2026</f>
        <v>5</v>
      </c>
    </row>
    <row r="65" customFormat="false" ht="15" hidden="false" customHeight="true" outlineLevel="0" collapsed="false">
      <c r="A65" s="73" t="n">
        <v>50</v>
      </c>
      <c r="B65" s="74" t="n">
        <f aca="false">EOMONTH($C$10,49)</f>
        <v>47907</v>
      </c>
      <c r="C65" s="30" t="n">
        <f aca="false">G64</f>
        <v>8843242.90015832</v>
      </c>
      <c r="D65" s="30" t="n">
        <f aca="false">IF(A65&gt;$C$6,MIN(C65,$C$13),0)</f>
        <v>252664.082861666</v>
      </c>
      <c r="E65" s="30" t="n">
        <f aca="false">C65*$C$8*DAY(B65)/$C$11</f>
        <v>48146.5446786397</v>
      </c>
      <c r="F65" s="30" t="n">
        <f aca="false">D65+E65</f>
        <v>300810.627540306</v>
      </c>
      <c r="G65" s="30" t="n">
        <f aca="false">C65-D65</f>
        <v>8590578.81729665</v>
      </c>
      <c r="H65" s="73" t="n">
        <f aca="false">YEAR(B65)</f>
        <v>2031</v>
      </c>
      <c r="I65" s="73" t="n">
        <f aca="false">H65-2026</f>
        <v>5</v>
      </c>
    </row>
    <row r="66" customFormat="false" ht="15" hidden="false" customHeight="true" outlineLevel="0" collapsed="false">
      <c r="A66" s="73" t="n">
        <v>51</v>
      </c>
      <c r="B66" s="74" t="n">
        <f aca="false">EOMONTH($C$10,50)</f>
        <v>47938</v>
      </c>
      <c r="C66" s="30" t="n">
        <f aca="false">G65</f>
        <v>8590578.81729665</v>
      </c>
      <c r="D66" s="30" t="n">
        <f aca="false">IF(A66&gt;$C$6,MIN(C66,$C$13),0)</f>
        <v>252664.082861666</v>
      </c>
      <c r="E66" s="30" t="n">
        <f aca="false">C66*$C$8*DAY(B66)/$C$11</f>
        <v>51782.1000931493</v>
      </c>
      <c r="F66" s="30" t="n">
        <f aca="false">D66+E66</f>
        <v>304446.182954815</v>
      </c>
      <c r="G66" s="30" t="n">
        <f aca="false">C66-D66</f>
        <v>8337914.73443499</v>
      </c>
      <c r="H66" s="73" t="n">
        <f aca="false">YEAR(B66)</f>
        <v>2031</v>
      </c>
      <c r="I66" s="73" t="n">
        <f aca="false">H66-2026</f>
        <v>5</v>
      </c>
    </row>
    <row r="67" customFormat="false" ht="15" hidden="false" customHeight="true" outlineLevel="0" collapsed="false">
      <c r="A67" s="73" t="n">
        <v>52</v>
      </c>
      <c r="B67" s="74" t="n">
        <f aca="false">EOMONTH($C$10,51)</f>
        <v>47968</v>
      </c>
      <c r="C67" s="30" t="n">
        <f aca="false">G66</f>
        <v>8337914.73443499</v>
      </c>
      <c r="D67" s="30" t="n">
        <f aca="false">IF(A67&gt;$C$6,MIN(C67,$C$13),0)</f>
        <v>252664.082861666</v>
      </c>
      <c r="E67" s="30" t="n">
        <f aca="false">C67*$C$8*DAY(B67)/$C$11</f>
        <v>48637.8359508708</v>
      </c>
      <c r="F67" s="30" t="n">
        <f aca="false">D67+E67</f>
        <v>301301.918812537</v>
      </c>
      <c r="G67" s="30" t="n">
        <f aca="false">C67-D67</f>
        <v>8085250.65157332</v>
      </c>
      <c r="H67" s="73" t="n">
        <f aca="false">YEAR(B67)</f>
        <v>2031</v>
      </c>
      <c r="I67" s="73" t="n">
        <f aca="false">H67-2026</f>
        <v>5</v>
      </c>
    </row>
    <row r="68" customFormat="false" ht="15" hidden="false" customHeight="true" outlineLevel="0" collapsed="false">
      <c r="A68" s="73" t="n">
        <v>53</v>
      </c>
      <c r="B68" s="74" t="n">
        <f aca="false">EOMONTH($C$10,52)</f>
        <v>47999</v>
      </c>
      <c r="C68" s="30" t="n">
        <f aca="false">G67</f>
        <v>8085250.65157332</v>
      </c>
      <c r="D68" s="30" t="n">
        <f aca="false">IF(A68&gt;$C$6,MIN(C68,$C$13),0)</f>
        <v>252664.082861666</v>
      </c>
      <c r="E68" s="30" t="n">
        <f aca="false">C68*$C$8*DAY(B68)/$C$11</f>
        <v>48736.094205317</v>
      </c>
      <c r="F68" s="30" t="n">
        <f aca="false">D68+E68</f>
        <v>301400.177066983</v>
      </c>
      <c r="G68" s="30" t="n">
        <f aca="false">C68-D68</f>
        <v>7832586.56871165</v>
      </c>
      <c r="H68" s="73" t="n">
        <f aca="false">YEAR(B68)</f>
        <v>2031</v>
      </c>
      <c r="I68" s="73" t="n">
        <f aca="false">H68-2026</f>
        <v>5</v>
      </c>
    </row>
    <row r="69" customFormat="false" ht="15" hidden="false" customHeight="true" outlineLevel="0" collapsed="false">
      <c r="A69" s="73" t="n">
        <v>54</v>
      </c>
      <c r="B69" s="74" t="n">
        <f aca="false">EOMONTH($C$10,53)</f>
        <v>48029</v>
      </c>
      <c r="C69" s="30" t="n">
        <f aca="false">G68</f>
        <v>7832586.56871165</v>
      </c>
      <c r="D69" s="30" t="n">
        <f aca="false">IF(A69&gt;$C$6,MIN(C69,$C$13),0)</f>
        <v>252664.082861666</v>
      </c>
      <c r="E69" s="30" t="n">
        <f aca="false">C69*$C$8*DAY(B69)/$C$11</f>
        <v>45690.0883174847</v>
      </c>
      <c r="F69" s="30" t="n">
        <f aca="false">D69+E69</f>
        <v>298354.171179151</v>
      </c>
      <c r="G69" s="30" t="n">
        <f aca="false">C69-D69</f>
        <v>7579922.48584999</v>
      </c>
      <c r="H69" s="73" t="n">
        <f aca="false">YEAR(B69)</f>
        <v>2031</v>
      </c>
      <c r="I69" s="73" t="n">
        <f aca="false">H69-2026</f>
        <v>5</v>
      </c>
    </row>
    <row r="70" customFormat="false" ht="15" hidden="false" customHeight="true" outlineLevel="0" collapsed="false">
      <c r="A70" s="73" t="n">
        <v>55</v>
      </c>
      <c r="B70" s="74" t="n">
        <f aca="false">EOMONTH($C$10,54)</f>
        <v>48060</v>
      </c>
      <c r="C70" s="30" t="n">
        <f aca="false">G69</f>
        <v>7579922.48584999</v>
      </c>
      <c r="D70" s="30" t="n">
        <f aca="false">IF(A70&gt;$C$6,MIN(C70,$C$13),0)</f>
        <v>252664.082861666</v>
      </c>
      <c r="E70" s="30" t="n">
        <f aca="false">C70*$C$8*DAY(B70)/$C$11</f>
        <v>45690.0883174847</v>
      </c>
      <c r="F70" s="30" t="n">
        <f aca="false">D70+E70</f>
        <v>298354.171179151</v>
      </c>
      <c r="G70" s="30" t="n">
        <f aca="false">C70-D70</f>
        <v>7327258.40298832</v>
      </c>
      <c r="H70" s="73" t="n">
        <f aca="false">YEAR(B70)</f>
        <v>2031</v>
      </c>
      <c r="I70" s="73" t="n">
        <f aca="false">H70-2026</f>
        <v>5</v>
      </c>
    </row>
    <row r="71" customFormat="false" ht="15" hidden="false" customHeight="true" outlineLevel="0" collapsed="false">
      <c r="A71" s="73" t="n">
        <v>56</v>
      </c>
      <c r="B71" s="74" t="n">
        <f aca="false">EOMONTH($C$10,55)</f>
        <v>48091</v>
      </c>
      <c r="C71" s="30" t="n">
        <f aca="false">G70</f>
        <v>7327258.40298832</v>
      </c>
      <c r="D71" s="30" t="n">
        <f aca="false">IF(A71&gt;$C$6,MIN(C71,$C$13),0)</f>
        <v>252664.082861666</v>
      </c>
      <c r="E71" s="30" t="n">
        <f aca="false">C71*$C$8*DAY(B71)/$C$11</f>
        <v>44167.0853735685</v>
      </c>
      <c r="F71" s="30" t="n">
        <f aca="false">D71+E71</f>
        <v>296831.168235234</v>
      </c>
      <c r="G71" s="30" t="n">
        <f aca="false">C71-D71</f>
        <v>7074594.32012666</v>
      </c>
      <c r="H71" s="73" t="n">
        <f aca="false">YEAR(B71)</f>
        <v>2031</v>
      </c>
      <c r="I71" s="73" t="n">
        <f aca="false">H71-2026</f>
        <v>5</v>
      </c>
    </row>
    <row r="72" customFormat="false" ht="15" hidden="false" customHeight="true" outlineLevel="0" collapsed="false">
      <c r="A72" s="73" t="n">
        <v>57</v>
      </c>
      <c r="B72" s="74" t="n">
        <f aca="false">EOMONTH($C$10,56)</f>
        <v>48121</v>
      </c>
      <c r="C72" s="30" t="n">
        <f aca="false">G71</f>
        <v>7074594.32012666</v>
      </c>
      <c r="D72" s="30" t="n">
        <f aca="false">IF(A72&gt;$C$6,MIN(C72,$C$13),0)</f>
        <v>252664.082861666</v>
      </c>
      <c r="E72" s="30" t="n">
        <f aca="false">C72*$C$8*DAY(B72)/$C$11</f>
        <v>41268.4668674055</v>
      </c>
      <c r="F72" s="30" t="n">
        <f aca="false">D72+E72</f>
        <v>293932.549729071</v>
      </c>
      <c r="G72" s="30" t="n">
        <f aca="false">C72-D72</f>
        <v>6821930.23726499</v>
      </c>
      <c r="H72" s="73" t="n">
        <f aca="false">YEAR(B72)</f>
        <v>2031</v>
      </c>
      <c r="I72" s="73" t="n">
        <f aca="false">H72-2026</f>
        <v>5</v>
      </c>
    </row>
    <row r="73" customFormat="false" ht="15" hidden="false" customHeight="true" outlineLevel="0" collapsed="false">
      <c r="A73" s="73" t="n">
        <v>58</v>
      </c>
      <c r="B73" s="74" t="n">
        <f aca="false">EOMONTH($C$10,57)</f>
        <v>48152</v>
      </c>
      <c r="C73" s="30" t="n">
        <f aca="false">G72</f>
        <v>6821930.23726499</v>
      </c>
      <c r="D73" s="30" t="n">
        <f aca="false">IF(A73&gt;$C$6,MIN(C73,$C$13),0)</f>
        <v>252664.082861666</v>
      </c>
      <c r="E73" s="30" t="n">
        <f aca="false">C73*$C$8*DAY(B73)/$C$11</f>
        <v>41121.0794857362</v>
      </c>
      <c r="F73" s="30" t="n">
        <f aca="false">D73+E73</f>
        <v>293785.162347402</v>
      </c>
      <c r="G73" s="30" t="n">
        <f aca="false">C73-D73</f>
        <v>6569266.15440333</v>
      </c>
      <c r="H73" s="73" t="n">
        <f aca="false">YEAR(B73)</f>
        <v>2031</v>
      </c>
      <c r="I73" s="73" t="n">
        <f aca="false">H73-2026</f>
        <v>5</v>
      </c>
    </row>
    <row r="74" customFormat="false" ht="15" hidden="false" customHeight="true" outlineLevel="0" collapsed="false">
      <c r="A74" s="73" t="n">
        <v>59</v>
      </c>
      <c r="B74" s="74" t="n">
        <f aca="false">EOMONTH($C$10,58)</f>
        <v>48182</v>
      </c>
      <c r="C74" s="30" t="n">
        <f aca="false">G73</f>
        <v>6569266.15440333</v>
      </c>
      <c r="D74" s="30" t="n">
        <f aca="false">IF(A74&gt;$C$6,MIN(C74,$C$13),0)</f>
        <v>252664.082861666</v>
      </c>
      <c r="E74" s="30" t="n">
        <f aca="false">C74*$C$8*DAY(B74)/$C$11</f>
        <v>38320.7192340194</v>
      </c>
      <c r="F74" s="30" t="n">
        <f aca="false">D74+E74</f>
        <v>290984.802095685</v>
      </c>
      <c r="G74" s="30" t="n">
        <f aca="false">C74-D74</f>
        <v>6316602.07154166</v>
      </c>
      <c r="H74" s="73" t="n">
        <f aca="false">YEAR(B74)</f>
        <v>2031</v>
      </c>
      <c r="I74" s="73" t="n">
        <f aca="false">H74-2026</f>
        <v>5</v>
      </c>
    </row>
    <row r="75" customFormat="false" ht="15" hidden="false" customHeight="true" outlineLevel="0" collapsed="false">
      <c r="A75" s="73" t="n">
        <v>60</v>
      </c>
      <c r="B75" s="74" t="n">
        <f aca="false">EOMONTH($C$10,59)</f>
        <v>48213</v>
      </c>
      <c r="C75" s="30" t="n">
        <f aca="false">G74</f>
        <v>6316602.07154166</v>
      </c>
      <c r="D75" s="30" t="n">
        <f aca="false">IF(A75&gt;$C$6,MIN(C75,$C$13),0)</f>
        <v>252664.082861666</v>
      </c>
      <c r="E75" s="30" t="n">
        <f aca="false">C75*$C$8*DAY(B75)/$C$11</f>
        <v>38075.0735979039</v>
      </c>
      <c r="F75" s="30" t="n">
        <f aca="false">D75+E75</f>
        <v>290739.15645957</v>
      </c>
      <c r="G75" s="30" t="n">
        <f aca="false">C75-D75</f>
        <v>6063937.98867999</v>
      </c>
      <c r="H75" s="73" t="n">
        <f aca="false">YEAR(B75)</f>
        <v>2031</v>
      </c>
      <c r="I75" s="73" t="n">
        <f aca="false">H75-2026</f>
        <v>5</v>
      </c>
    </row>
    <row r="76" customFormat="false" ht="15" hidden="false" customHeight="true" outlineLevel="0" collapsed="false">
      <c r="A76" s="73" t="n">
        <v>61</v>
      </c>
      <c r="B76" s="74" t="n">
        <f aca="false">EOMONTH($C$10,60)</f>
        <v>48244</v>
      </c>
      <c r="C76" s="30" t="n">
        <f aca="false">G75</f>
        <v>6063937.98867999</v>
      </c>
      <c r="D76" s="30" t="n">
        <f aca="false">IF(A76&gt;$C$6,MIN(C76,$C$13),0)</f>
        <v>252664.082861666</v>
      </c>
      <c r="E76" s="30" t="n">
        <f aca="false">C76*$C$8*DAY(B76)/$C$11</f>
        <v>36552.0706539877</v>
      </c>
      <c r="F76" s="30" t="n">
        <f aca="false">D76+E76</f>
        <v>289216.153515654</v>
      </c>
      <c r="G76" s="30" t="n">
        <f aca="false">C76-D76</f>
        <v>5811273.90581833</v>
      </c>
      <c r="H76" s="73" t="n">
        <f aca="false">YEAR(B76)</f>
        <v>2032</v>
      </c>
      <c r="I76" s="73" t="n">
        <f aca="false">H76-2026</f>
        <v>6</v>
      </c>
    </row>
    <row r="77" customFormat="false" ht="15" hidden="false" customHeight="true" outlineLevel="0" collapsed="false">
      <c r="A77" s="73" t="n">
        <v>62</v>
      </c>
      <c r="B77" s="74" t="n">
        <f aca="false">EOMONTH($C$10,61)</f>
        <v>48273</v>
      </c>
      <c r="C77" s="30" t="n">
        <f aca="false">G76</f>
        <v>5811273.90581833</v>
      </c>
      <c r="D77" s="30" t="n">
        <f aca="false">IF(A77&gt;$C$6,MIN(C77,$C$13),0)</f>
        <v>252664.082861666</v>
      </c>
      <c r="E77" s="30" t="n">
        <f aca="false">C77*$C$8*DAY(B77)/$C$11</f>
        <v>32769.1278578089</v>
      </c>
      <c r="F77" s="30" t="n">
        <f aca="false">D77+E77</f>
        <v>285433.210719475</v>
      </c>
      <c r="G77" s="30" t="n">
        <f aca="false">C77-D77</f>
        <v>5558609.82295666</v>
      </c>
      <c r="H77" s="73" t="n">
        <f aca="false">YEAR(B77)</f>
        <v>2032</v>
      </c>
      <c r="I77" s="73" t="n">
        <f aca="false">H77-2026</f>
        <v>6</v>
      </c>
    </row>
    <row r="78" customFormat="false" ht="15" hidden="false" customHeight="true" outlineLevel="0" collapsed="false">
      <c r="A78" s="73" t="n">
        <v>63</v>
      </c>
      <c r="B78" s="74" t="n">
        <f aca="false">EOMONTH($C$10,62)</f>
        <v>48304</v>
      </c>
      <c r="C78" s="30" t="n">
        <f aca="false">G77</f>
        <v>5558609.82295666</v>
      </c>
      <c r="D78" s="30" t="n">
        <f aca="false">IF(A78&gt;$C$6,MIN(C78,$C$13),0)</f>
        <v>252664.082861666</v>
      </c>
      <c r="E78" s="30" t="n">
        <f aca="false">C78*$C$8*DAY(B78)/$C$11</f>
        <v>33506.0647661554</v>
      </c>
      <c r="F78" s="30" t="n">
        <f aca="false">D78+E78</f>
        <v>286170.147627821</v>
      </c>
      <c r="G78" s="30" t="n">
        <f aca="false">C78-D78</f>
        <v>5305945.740095</v>
      </c>
      <c r="H78" s="73" t="n">
        <f aca="false">YEAR(B78)</f>
        <v>2032</v>
      </c>
      <c r="I78" s="73" t="n">
        <f aca="false">H78-2026</f>
        <v>6</v>
      </c>
    </row>
    <row r="79" customFormat="false" ht="15" hidden="false" customHeight="true" outlineLevel="0" collapsed="false">
      <c r="A79" s="73" t="n">
        <v>64</v>
      </c>
      <c r="B79" s="74" t="n">
        <f aca="false">EOMONTH($C$10,63)</f>
        <v>48334</v>
      </c>
      <c r="C79" s="30" t="n">
        <f aca="false">G78</f>
        <v>5305945.740095</v>
      </c>
      <c r="D79" s="30" t="n">
        <f aca="false">IF(A79&gt;$C$6,MIN(C79,$C$13),0)</f>
        <v>252664.082861666</v>
      </c>
      <c r="E79" s="30" t="n">
        <f aca="false">C79*$C$8*DAY(B79)/$C$11</f>
        <v>30951.3501505542</v>
      </c>
      <c r="F79" s="30" t="n">
        <f aca="false">D79+E79</f>
        <v>283615.43301222</v>
      </c>
      <c r="G79" s="30" t="n">
        <f aca="false">C79-D79</f>
        <v>5053281.65723333</v>
      </c>
      <c r="H79" s="73" t="n">
        <f aca="false">YEAR(B79)</f>
        <v>2032</v>
      </c>
      <c r="I79" s="73" t="n">
        <f aca="false">H79-2026</f>
        <v>6</v>
      </c>
    </row>
    <row r="80" customFormat="false" ht="15" hidden="false" customHeight="true" outlineLevel="0" collapsed="false">
      <c r="A80" s="73" t="n">
        <v>65</v>
      </c>
      <c r="B80" s="74" t="n">
        <f aca="false">EOMONTH($C$10,64)</f>
        <v>48365</v>
      </c>
      <c r="C80" s="30" t="n">
        <f aca="false">G79</f>
        <v>5053281.65723333</v>
      </c>
      <c r="D80" s="30" t="n">
        <f aca="false">IF(A80&gt;$C$6,MIN(C80,$C$13),0)</f>
        <v>252664.082861666</v>
      </c>
      <c r="E80" s="30" t="n">
        <f aca="false">C80*$C$8*DAY(B80)/$C$11</f>
        <v>30460.0588783231</v>
      </c>
      <c r="F80" s="30" t="n">
        <f aca="false">D80+E80</f>
        <v>283124.141739989</v>
      </c>
      <c r="G80" s="30" t="n">
        <f aca="false">C80-D80</f>
        <v>4800617.57437167</v>
      </c>
      <c r="H80" s="73" t="n">
        <f aca="false">YEAR(B80)</f>
        <v>2032</v>
      </c>
      <c r="I80" s="73" t="n">
        <f aca="false">H80-2026</f>
        <v>6</v>
      </c>
    </row>
    <row r="81" customFormat="false" ht="15" hidden="false" customHeight="true" outlineLevel="0" collapsed="false">
      <c r="A81" s="73" t="n">
        <v>66</v>
      </c>
      <c r="B81" s="74" t="n">
        <f aca="false">EOMONTH($C$10,65)</f>
        <v>48395</v>
      </c>
      <c r="C81" s="30" t="n">
        <f aca="false">G80</f>
        <v>4800617.57437167</v>
      </c>
      <c r="D81" s="30" t="n">
        <f aca="false">IF(A81&gt;$C$6,MIN(C81,$C$13),0)</f>
        <v>252664.082861666</v>
      </c>
      <c r="E81" s="30" t="n">
        <f aca="false">C81*$C$8*DAY(B81)/$C$11</f>
        <v>28003.6025171681</v>
      </c>
      <c r="F81" s="30" t="n">
        <f aca="false">D81+E81</f>
        <v>280667.685378834</v>
      </c>
      <c r="G81" s="30" t="n">
        <f aca="false">C81-D81</f>
        <v>4547953.49151</v>
      </c>
      <c r="H81" s="73" t="n">
        <f aca="false">YEAR(B81)</f>
        <v>2032</v>
      </c>
      <c r="I81" s="73" t="n">
        <f aca="false">H81-2026</f>
        <v>6</v>
      </c>
    </row>
    <row r="82" customFormat="false" ht="15" hidden="false" customHeight="true" outlineLevel="0" collapsed="false">
      <c r="A82" s="73" t="n">
        <v>67</v>
      </c>
      <c r="B82" s="74" t="n">
        <f aca="false">EOMONTH($C$10,66)</f>
        <v>48426</v>
      </c>
      <c r="C82" s="30" t="n">
        <f aca="false">G81</f>
        <v>4547953.49151</v>
      </c>
      <c r="D82" s="30" t="n">
        <f aca="false">IF(A82&gt;$C$6,MIN(C82,$C$13),0)</f>
        <v>252664.082861666</v>
      </c>
      <c r="E82" s="30" t="n">
        <f aca="false">C82*$C$8*DAY(B82)/$C$11</f>
        <v>27414.0529904908</v>
      </c>
      <c r="F82" s="30" t="n">
        <f aca="false">D82+E82</f>
        <v>280078.135852157</v>
      </c>
      <c r="G82" s="30" t="n">
        <f aca="false">C82-D82</f>
        <v>4295289.40864833</v>
      </c>
      <c r="H82" s="73" t="n">
        <f aca="false">YEAR(B82)</f>
        <v>2032</v>
      </c>
      <c r="I82" s="73" t="n">
        <f aca="false">H82-2026</f>
        <v>6</v>
      </c>
    </row>
    <row r="83" customFormat="false" ht="15" hidden="false" customHeight="true" outlineLevel="0" collapsed="false">
      <c r="A83" s="73" t="n">
        <v>68</v>
      </c>
      <c r="B83" s="74" t="n">
        <f aca="false">EOMONTH($C$10,67)</f>
        <v>48457</v>
      </c>
      <c r="C83" s="30" t="n">
        <f aca="false">G82</f>
        <v>4295289.40864833</v>
      </c>
      <c r="D83" s="30" t="n">
        <f aca="false">IF(A83&gt;$C$6,MIN(C83,$C$13),0)</f>
        <v>252664.082861666</v>
      </c>
      <c r="E83" s="30" t="n">
        <f aca="false">C83*$C$8*DAY(B83)/$C$11</f>
        <v>25891.0500465747</v>
      </c>
      <c r="F83" s="30" t="n">
        <f aca="false">D83+E83</f>
        <v>278555.132908241</v>
      </c>
      <c r="G83" s="30" t="n">
        <f aca="false">C83-D83</f>
        <v>4042625.32578667</v>
      </c>
      <c r="H83" s="73" t="n">
        <f aca="false">YEAR(B83)</f>
        <v>2032</v>
      </c>
      <c r="I83" s="73" t="n">
        <f aca="false">H83-2026</f>
        <v>6</v>
      </c>
    </row>
    <row r="84" customFormat="false" ht="15" hidden="false" customHeight="true" outlineLevel="0" collapsed="false">
      <c r="A84" s="73" t="n">
        <v>69</v>
      </c>
      <c r="B84" s="74" t="n">
        <f aca="false">EOMONTH($C$10,68)</f>
        <v>48487</v>
      </c>
      <c r="C84" s="30" t="n">
        <f aca="false">G83</f>
        <v>4042625.32578667</v>
      </c>
      <c r="D84" s="30" t="n">
        <f aca="false">IF(A84&gt;$C$6,MIN(C84,$C$13),0)</f>
        <v>252664.082861666</v>
      </c>
      <c r="E84" s="30" t="n">
        <f aca="false">C84*$C$8*DAY(B84)/$C$11</f>
        <v>23581.9810670889</v>
      </c>
      <c r="F84" s="30" t="n">
        <f aca="false">D84+E84</f>
        <v>276246.063928755</v>
      </c>
      <c r="G84" s="30" t="n">
        <f aca="false">C84-D84</f>
        <v>3789961.242925</v>
      </c>
      <c r="H84" s="73" t="n">
        <f aca="false">YEAR(B84)</f>
        <v>2032</v>
      </c>
      <c r="I84" s="73" t="n">
        <f aca="false">H84-2026</f>
        <v>6</v>
      </c>
    </row>
    <row r="85" customFormat="false" ht="15" hidden="false" customHeight="true" outlineLevel="0" collapsed="false">
      <c r="A85" s="73" t="n">
        <v>70</v>
      </c>
      <c r="B85" s="74" t="n">
        <f aca="false">EOMONTH($C$10,69)</f>
        <v>48518</v>
      </c>
      <c r="C85" s="30" t="n">
        <f aca="false">G84</f>
        <v>3789961.242925</v>
      </c>
      <c r="D85" s="30" t="n">
        <f aca="false">IF(A85&gt;$C$6,MIN(C85,$C$13),0)</f>
        <v>252664.082861666</v>
      </c>
      <c r="E85" s="30" t="n">
        <f aca="false">C85*$C$8*DAY(B85)/$C$11</f>
        <v>22845.0441587424</v>
      </c>
      <c r="F85" s="30" t="n">
        <f aca="false">D85+E85</f>
        <v>275509.127020408</v>
      </c>
      <c r="G85" s="30" t="n">
        <f aca="false">C85-D85</f>
        <v>3537297.16006334</v>
      </c>
      <c r="H85" s="73" t="n">
        <f aca="false">YEAR(B85)</f>
        <v>2032</v>
      </c>
      <c r="I85" s="73" t="n">
        <f aca="false">H85-2026</f>
        <v>6</v>
      </c>
    </row>
    <row r="86" customFormat="false" ht="15" hidden="false" customHeight="true" outlineLevel="0" collapsed="false">
      <c r="A86" s="73" t="n">
        <v>71</v>
      </c>
      <c r="B86" s="74" t="n">
        <f aca="false">EOMONTH($C$10,70)</f>
        <v>48548</v>
      </c>
      <c r="C86" s="30" t="n">
        <f aca="false">G85</f>
        <v>3537297.16006334</v>
      </c>
      <c r="D86" s="30" t="n">
        <f aca="false">IF(A86&gt;$C$6,MIN(C86,$C$13),0)</f>
        <v>252664.082861666</v>
      </c>
      <c r="E86" s="30" t="n">
        <f aca="false">C86*$C$8*DAY(B86)/$C$11</f>
        <v>20634.2334337028</v>
      </c>
      <c r="F86" s="30" t="n">
        <f aca="false">D86+E86</f>
        <v>273298.316295369</v>
      </c>
      <c r="G86" s="30" t="n">
        <f aca="false">C86-D86</f>
        <v>3284633.07720167</v>
      </c>
      <c r="H86" s="73" t="n">
        <f aca="false">YEAR(B86)</f>
        <v>2032</v>
      </c>
      <c r="I86" s="73" t="n">
        <f aca="false">H86-2026</f>
        <v>6</v>
      </c>
    </row>
    <row r="87" customFormat="false" ht="15" hidden="false" customHeight="true" outlineLevel="0" collapsed="false">
      <c r="A87" s="73" t="n">
        <v>72</v>
      </c>
      <c r="B87" s="74" t="n">
        <f aca="false">EOMONTH($C$10,71)</f>
        <v>48579</v>
      </c>
      <c r="C87" s="30" t="n">
        <f aca="false">G86</f>
        <v>3284633.07720167</v>
      </c>
      <c r="D87" s="30" t="n">
        <f aca="false">IF(A87&gt;$C$6,MIN(C87,$C$13),0)</f>
        <v>252664.082861666</v>
      </c>
      <c r="E87" s="30" t="n">
        <f aca="false">C87*$C$8*DAY(B87)/$C$11</f>
        <v>19799.0382709101</v>
      </c>
      <c r="F87" s="30" t="n">
        <f aca="false">D87+E87</f>
        <v>272463.121132576</v>
      </c>
      <c r="G87" s="30" t="n">
        <f aca="false">C87-D87</f>
        <v>3031968.99434</v>
      </c>
      <c r="H87" s="73" t="n">
        <f aca="false">YEAR(B87)</f>
        <v>2032</v>
      </c>
      <c r="I87" s="73" t="n">
        <f aca="false">H87-2026</f>
        <v>6</v>
      </c>
    </row>
    <row r="88" customFormat="false" ht="15" hidden="false" customHeight="true" outlineLevel="0" collapsed="false">
      <c r="A88" s="73" t="n">
        <v>73</v>
      </c>
      <c r="B88" s="74" t="n">
        <f aca="false">EOMONTH($C$10,72)</f>
        <v>48610</v>
      </c>
      <c r="C88" s="30" t="n">
        <f aca="false">G87</f>
        <v>3031968.99434</v>
      </c>
      <c r="D88" s="30" t="n">
        <f aca="false">IF(A88&gt;$C$6,MIN(C88,$C$13),0)</f>
        <v>252664.082861666</v>
      </c>
      <c r="E88" s="30" t="n">
        <f aca="false">C88*$C$8*DAY(B88)/$C$11</f>
        <v>18276.0353269939</v>
      </c>
      <c r="F88" s="30" t="n">
        <f aca="false">D88+E88</f>
        <v>270940.11818866</v>
      </c>
      <c r="G88" s="30" t="n">
        <f aca="false">C88-D88</f>
        <v>2779304.91147834</v>
      </c>
      <c r="H88" s="73" t="n">
        <f aca="false">YEAR(B88)</f>
        <v>2033</v>
      </c>
      <c r="I88" s="73" t="n">
        <f aca="false">H88-2026</f>
        <v>7</v>
      </c>
    </row>
    <row r="89" customFormat="false" ht="15" hidden="false" customHeight="true" outlineLevel="0" collapsed="false">
      <c r="A89" s="73" t="n">
        <v>74</v>
      </c>
      <c r="B89" s="74" t="n">
        <f aca="false">EOMONTH($C$10,73)</f>
        <v>48638</v>
      </c>
      <c r="C89" s="30" t="n">
        <f aca="false">G88</f>
        <v>2779304.91147834</v>
      </c>
      <c r="D89" s="30" t="n">
        <f aca="false">IF(A89&gt;$C$6,MIN(C89,$C$13),0)</f>
        <v>252664.082861666</v>
      </c>
      <c r="E89" s="30" t="n">
        <f aca="false">C89*$C$8*DAY(B89)/$C$11</f>
        <v>15131.7711847154</v>
      </c>
      <c r="F89" s="30" t="n">
        <f aca="false">D89+E89</f>
        <v>267795.854046381</v>
      </c>
      <c r="G89" s="30" t="n">
        <f aca="false">C89-D89</f>
        <v>2526640.82861667</v>
      </c>
      <c r="H89" s="73" t="n">
        <f aca="false">YEAR(B89)</f>
        <v>2033</v>
      </c>
      <c r="I89" s="73" t="n">
        <f aca="false">H89-2026</f>
        <v>7</v>
      </c>
    </row>
    <row r="90" customFormat="false" ht="15" hidden="false" customHeight="true" outlineLevel="0" collapsed="false">
      <c r="A90" s="73" t="n">
        <v>75</v>
      </c>
      <c r="B90" s="74" t="n">
        <f aca="false">EOMONTH($C$10,74)</f>
        <v>48669</v>
      </c>
      <c r="C90" s="30" t="n">
        <f aca="false">G89</f>
        <v>2526640.82861667</v>
      </c>
      <c r="D90" s="30" t="n">
        <f aca="false">IF(A90&gt;$C$6,MIN(C90,$C$13),0)</f>
        <v>252664.082861666</v>
      </c>
      <c r="E90" s="30" t="n">
        <f aca="false">C90*$C$8*DAY(B90)/$C$11</f>
        <v>15230.0294391616</v>
      </c>
      <c r="F90" s="30" t="n">
        <f aca="false">D90+E90</f>
        <v>267894.112300828</v>
      </c>
      <c r="G90" s="30" t="n">
        <f aca="false">C90-D90</f>
        <v>2273976.74575501</v>
      </c>
      <c r="H90" s="73" t="n">
        <f aca="false">YEAR(B90)</f>
        <v>2033</v>
      </c>
      <c r="I90" s="73" t="n">
        <f aca="false">H90-2026</f>
        <v>7</v>
      </c>
    </row>
    <row r="91" customFormat="false" ht="15" hidden="false" customHeight="true" outlineLevel="0" collapsed="false">
      <c r="A91" s="73" t="n">
        <v>76</v>
      </c>
      <c r="B91" s="74" t="n">
        <f aca="false">EOMONTH($C$10,75)</f>
        <v>48699</v>
      </c>
      <c r="C91" s="30" t="n">
        <f aca="false">G90</f>
        <v>2273976.74575501</v>
      </c>
      <c r="D91" s="30" t="n">
        <f aca="false">IF(A91&gt;$C$6,MIN(C91,$C$13),0)</f>
        <v>252664.082861666</v>
      </c>
      <c r="E91" s="30" t="n">
        <f aca="false">C91*$C$8*DAY(B91)/$C$11</f>
        <v>13264.8643502375</v>
      </c>
      <c r="F91" s="30" t="n">
        <f aca="false">D91+E91</f>
        <v>265928.947211903</v>
      </c>
      <c r="G91" s="30" t="n">
        <f aca="false">C91-D91</f>
        <v>2021312.66289334</v>
      </c>
      <c r="H91" s="73" t="n">
        <f aca="false">YEAR(B91)</f>
        <v>2033</v>
      </c>
      <c r="I91" s="73" t="n">
        <f aca="false">H91-2026</f>
        <v>7</v>
      </c>
    </row>
    <row r="92" customFormat="false" ht="15" hidden="false" customHeight="true" outlineLevel="0" collapsed="false">
      <c r="A92" s="73" t="n">
        <v>77</v>
      </c>
      <c r="B92" s="74" t="n">
        <f aca="false">EOMONTH($C$10,76)</f>
        <v>48730</v>
      </c>
      <c r="C92" s="30" t="n">
        <f aca="false">G91</f>
        <v>2021312.66289334</v>
      </c>
      <c r="D92" s="30" t="n">
        <f aca="false">IF(A92&gt;$C$6,MIN(C92,$C$13),0)</f>
        <v>252664.082861666</v>
      </c>
      <c r="E92" s="30" t="n">
        <f aca="false">C92*$C$8*DAY(B92)/$C$11</f>
        <v>12184.0235513293</v>
      </c>
      <c r="F92" s="30" t="n">
        <f aca="false">D92+E92</f>
        <v>264848.106412995</v>
      </c>
      <c r="G92" s="30" t="n">
        <f aca="false">C92-D92</f>
        <v>1768648.58003167</v>
      </c>
      <c r="H92" s="73" t="n">
        <f aca="false">YEAR(B92)</f>
        <v>2033</v>
      </c>
      <c r="I92" s="73" t="n">
        <f aca="false">H92-2026</f>
        <v>7</v>
      </c>
    </row>
    <row r="93" customFormat="false" ht="15" hidden="false" customHeight="true" outlineLevel="0" collapsed="false">
      <c r="A93" s="73" t="n">
        <v>78</v>
      </c>
      <c r="B93" s="74" t="n">
        <f aca="false">EOMONTH($C$10,77)</f>
        <v>48760</v>
      </c>
      <c r="C93" s="30" t="n">
        <f aca="false">G92</f>
        <v>1768648.58003167</v>
      </c>
      <c r="D93" s="30" t="n">
        <f aca="false">IF(A93&gt;$C$6,MIN(C93,$C$13),0)</f>
        <v>252664.082861666</v>
      </c>
      <c r="E93" s="30" t="n">
        <f aca="false">C93*$C$8*DAY(B93)/$C$11</f>
        <v>10317.1167168514</v>
      </c>
      <c r="F93" s="30" t="n">
        <f aca="false">D93+E93</f>
        <v>262981.199578517</v>
      </c>
      <c r="G93" s="30" t="n">
        <f aca="false">C93-D93</f>
        <v>1515984.49717001</v>
      </c>
      <c r="H93" s="73" t="n">
        <f aca="false">YEAR(B93)</f>
        <v>2033</v>
      </c>
      <c r="I93" s="73" t="n">
        <f aca="false">H93-2026</f>
        <v>7</v>
      </c>
    </row>
    <row r="94" customFormat="false" ht="15" hidden="false" customHeight="true" outlineLevel="0" collapsed="false">
      <c r="A94" s="73" t="n">
        <v>79</v>
      </c>
      <c r="B94" s="74" t="n">
        <f aca="false">EOMONTH($C$10,78)</f>
        <v>48791</v>
      </c>
      <c r="C94" s="30" t="n">
        <f aca="false">G93</f>
        <v>1515984.49717001</v>
      </c>
      <c r="D94" s="30" t="n">
        <f aca="false">IF(A94&gt;$C$6,MIN(C94,$C$13),0)</f>
        <v>252664.082861666</v>
      </c>
      <c r="E94" s="30" t="n">
        <f aca="false">C94*$C$8*DAY(B94)/$C$11</f>
        <v>9138.01766349699</v>
      </c>
      <c r="F94" s="30" t="n">
        <f aca="false">D94+E94</f>
        <v>261802.100525163</v>
      </c>
      <c r="G94" s="30" t="n">
        <f aca="false">C94-D94</f>
        <v>1263320.41430834</v>
      </c>
      <c r="H94" s="73" t="n">
        <f aca="false">YEAR(B94)</f>
        <v>2033</v>
      </c>
      <c r="I94" s="73" t="n">
        <f aca="false">H94-2026</f>
        <v>7</v>
      </c>
    </row>
    <row r="95" customFormat="false" ht="15" hidden="false" customHeight="true" outlineLevel="0" collapsed="false">
      <c r="A95" s="73" t="n">
        <v>80</v>
      </c>
      <c r="B95" s="74" t="n">
        <f aca="false">EOMONTH($C$10,79)</f>
        <v>48822</v>
      </c>
      <c r="C95" s="30" t="n">
        <f aca="false">G94</f>
        <v>1263320.41430834</v>
      </c>
      <c r="D95" s="30" t="n">
        <f aca="false">IF(A95&gt;$C$6,MIN(C95,$C$13),0)</f>
        <v>252664.082861666</v>
      </c>
      <c r="E95" s="30" t="n">
        <f aca="false">C95*$C$8*DAY(B95)/$C$11</f>
        <v>7615.01471958084</v>
      </c>
      <c r="F95" s="30" t="n">
        <f aca="false">D95+E95</f>
        <v>260279.097581247</v>
      </c>
      <c r="G95" s="30" t="n">
        <f aca="false">C95-D95</f>
        <v>1010656.33144668</v>
      </c>
      <c r="H95" s="73" t="n">
        <f aca="false">YEAR(B95)</f>
        <v>2033</v>
      </c>
      <c r="I95" s="73" t="n">
        <f aca="false">H95-2026</f>
        <v>7</v>
      </c>
    </row>
    <row r="96" customFormat="false" ht="15" hidden="false" customHeight="true" outlineLevel="0" collapsed="false">
      <c r="A96" s="73" t="n">
        <v>81</v>
      </c>
      <c r="B96" s="74" t="n">
        <f aca="false">EOMONTH($C$10,80)</f>
        <v>48852</v>
      </c>
      <c r="C96" s="30" t="n">
        <f aca="false">G95</f>
        <v>1010656.33144668</v>
      </c>
      <c r="D96" s="30" t="n">
        <f aca="false">IF(A96&gt;$C$6,MIN(C96,$C$13),0)</f>
        <v>252664.082861666</v>
      </c>
      <c r="E96" s="30" t="n">
        <f aca="false">C96*$C$8*DAY(B96)/$C$11</f>
        <v>5895.49526677228</v>
      </c>
      <c r="F96" s="30" t="n">
        <f aca="false">D96+E96</f>
        <v>258559.578128438</v>
      </c>
      <c r="G96" s="30" t="n">
        <f aca="false">C96-D96</f>
        <v>757992.24858501</v>
      </c>
      <c r="H96" s="73" t="n">
        <f aca="false">YEAR(B96)</f>
        <v>2033</v>
      </c>
      <c r="I96" s="73" t="n">
        <f aca="false">H96-2026</f>
        <v>7</v>
      </c>
    </row>
    <row r="97" customFormat="false" ht="15" hidden="false" customHeight="true" outlineLevel="0" collapsed="false">
      <c r="A97" s="73" t="n">
        <v>82</v>
      </c>
      <c r="B97" s="74" t="n">
        <f aca="false">EOMONTH($C$10,81)</f>
        <v>48883</v>
      </c>
      <c r="C97" s="30" t="n">
        <f aca="false">G96</f>
        <v>757992.24858501</v>
      </c>
      <c r="D97" s="30" t="n">
        <f aca="false">IF(A97&gt;$C$6,MIN(C97,$C$13),0)</f>
        <v>252664.082861666</v>
      </c>
      <c r="E97" s="30" t="n">
        <f aca="false">C97*$C$8*DAY(B97)/$C$11</f>
        <v>4569.00883174854</v>
      </c>
      <c r="F97" s="30" t="n">
        <f aca="false">D97+E97</f>
        <v>257233.091693414</v>
      </c>
      <c r="G97" s="30" t="n">
        <f aca="false">C97-D97</f>
        <v>505328.165723345</v>
      </c>
      <c r="H97" s="73" t="n">
        <f aca="false">YEAR(B97)</f>
        <v>2033</v>
      </c>
      <c r="I97" s="73" t="n">
        <f aca="false">H97-2026</f>
        <v>7</v>
      </c>
    </row>
    <row r="98" customFormat="false" ht="15" hidden="false" customHeight="true" outlineLevel="0" collapsed="false">
      <c r="A98" s="73" t="n">
        <v>83</v>
      </c>
      <c r="B98" s="74" t="n">
        <f aca="false">EOMONTH($C$10,82)</f>
        <v>48913</v>
      </c>
      <c r="C98" s="30" t="n">
        <f aca="false">G97</f>
        <v>505328.165723345</v>
      </c>
      <c r="D98" s="30" t="n">
        <f aca="false">IF(A98&gt;$C$6,MIN(C98,$C$13),0)</f>
        <v>252664.082861666</v>
      </c>
      <c r="E98" s="30" t="n">
        <f aca="false">C98*$C$8*DAY(B98)/$C$11</f>
        <v>2947.74763338618</v>
      </c>
      <c r="F98" s="30" t="n">
        <f aca="false">D98+E98</f>
        <v>255611.830495052</v>
      </c>
      <c r="G98" s="30" t="n">
        <f aca="false">C98-D98</f>
        <v>252664.082861679</v>
      </c>
      <c r="H98" s="73" t="n">
        <f aca="false">YEAR(B98)</f>
        <v>2033</v>
      </c>
      <c r="I98" s="73" t="n">
        <f aca="false">H98-2026</f>
        <v>7</v>
      </c>
    </row>
    <row r="99" customFormat="false" ht="15" hidden="false" customHeight="true" outlineLevel="0" collapsed="false">
      <c r="A99" s="73" t="n">
        <v>84</v>
      </c>
      <c r="B99" s="74" t="n">
        <f aca="false">EOMONTH($C$10,83)</f>
        <v>48944</v>
      </c>
      <c r="C99" s="30" t="n">
        <f aca="false">G98</f>
        <v>252664.082861679</v>
      </c>
      <c r="D99" s="30" t="n">
        <f aca="false">IF(A99&gt;$C$6,MIN(C99,$C$13),0)</f>
        <v>252664.082861666</v>
      </c>
      <c r="E99" s="30" t="n">
        <f aca="false">C99*$C$8*DAY(B99)/$C$11</f>
        <v>1523.00294391623</v>
      </c>
      <c r="F99" s="30" t="n">
        <f aca="false">D99+E99</f>
        <v>254187.085805582</v>
      </c>
      <c r="G99" s="30" t="n">
        <f aca="false">C99-D99</f>
        <v>1.27474777400494E-008</v>
      </c>
      <c r="H99" s="73" t="n">
        <f aca="false">YEAR(B99)</f>
        <v>2033</v>
      </c>
      <c r="I99" s="73" t="n">
        <f aca="false">H99-2026</f>
        <v>7</v>
      </c>
    </row>
    <row r="100" customFormat="false" ht="15" hidden="false" customHeight="true" outlineLevel="0" collapsed="false">
      <c r="B100" s="11" t="s">
        <v>159</v>
      </c>
      <c r="D100" s="48" t="n">
        <f aca="false">SUM(D16:D99)</f>
        <v>18191813.9660399</v>
      </c>
      <c r="E100" s="48" t="n">
        <f aca="false">SUM(E16:E99)</f>
        <v>5220068.02570901</v>
      </c>
      <c r="F100" s="48" t="n">
        <f aca="false">SUM(F16:F99)</f>
        <v>23411881.991749</v>
      </c>
    </row>
    <row r="102" customFormat="false" ht="15" hidden="false" customHeight="true" outlineLevel="0" collapsed="false">
      <c r="B102" s="34" t="s">
        <v>464</v>
      </c>
    </row>
    <row r="103" customFormat="false" ht="15" hidden="false" customHeight="true" outlineLevel="0" collapsed="false">
      <c r="B103" s="5" t="s">
        <v>42</v>
      </c>
      <c r="C103" s="18" t="s">
        <v>465</v>
      </c>
      <c r="D103" s="18" t="s">
        <v>466</v>
      </c>
      <c r="E103" s="18" t="s">
        <v>467</v>
      </c>
      <c r="F103" s="18" t="s">
        <v>468</v>
      </c>
      <c r="G103" s="18" t="s">
        <v>469</v>
      </c>
      <c r="H103" s="18" t="s">
        <v>470</v>
      </c>
      <c r="I103" s="18" t="s">
        <v>471</v>
      </c>
    </row>
    <row r="104" customFormat="false" ht="15" hidden="false" customHeight="true" outlineLevel="0" collapsed="false">
      <c r="B104" s="7" t="s">
        <v>472</v>
      </c>
      <c r="C104" s="13" t="n">
        <f aca="false">$C$9</f>
        <v>18191813.9660399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</row>
    <row r="105" customFormat="false" ht="15" hidden="false" customHeight="true" outlineLevel="0" collapsed="false">
      <c r="B105" s="7" t="s">
        <v>134</v>
      </c>
      <c r="C105" s="13" t="n">
        <f aca="false">SUMIF($I$16:$I$99,1,$D$16:$D$99)</f>
        <v>0</v>
      </c>
      <c r="D105" s="13" t="n">
        <f aca="false">SUMIF($I$16:$I$99,2,$D$16:$D$99)</f>
        <v>3031968.99433999</v>
      </c>
      <c r="E105" s="13" t="n">
        <f aca="false">SUMIF($I$16:$I$99,3,$D$16:$D$99)</f>
        <v>3031968.99433999</v>
      </c>
      <c r="F105" s="13" t="n">
        <f aca="false">SUMIF($I$16:$I$99,4,$D$16:$D$99)</f>
        <v>3031968.99433999</v>
      </c>
      <c r="G105" s="13" t="n">
        <f aca="false">SUMIF($I$16:$I$99,5,$D$16:$D$99)</f>
        <v>3031968.99433999</v>
      </c>
      <c r="H105" s="13" t="n">
        <f aca="false">SUMIF($I$16:$I$99,6,$D$16:$D$99)</f>
        <v>3031968.99433999</v>
      </c>
      <c r="I105" s="13" t="n">
        <f aca="false">SUMIF($I$16:$I$99,7,$D$16:$D$99)</f>
        <v>3031968.99433999</v>
      </c>
    </row>
    <row r="106" customFormat="false" ht="15" hidden="false" customHeight="true" outlineLevel="0" collapsed="false">
      <c r="B106" s="7" t="s">
        <v>459</v>
      </c>
      <c r="C106" s="13" t="n">
        <f aca="false">SUMIF($I$16:$I$99,1,$E$16:$E$99)</f>
        <v>1291113.46342311</v>
      </c>
      <c r="D106" s="13" t="n">
        <f aca="false">SUMIF($I$16:$I$99,2,$E$16:$E$99)</f>
        <v>1195508.18184696</v>
      </c>
      <c r="E106" s="13" t="n">
        <f aca="false">SUMIF($I$16:$I$99,3,$E$16:$E$99)</f>
        <v>976834.436576932</v>
      </c>
      <c r="F106" s="13" t="n">
        <f aca="false">SUMIF($I$16:$I$99,4,$E$16:$E$99)</f>
        <v>761648.859339746</v>
      </c>
      <c r="G106" s="13" t="n">
        <f aca="false">SUMIF($I$16:$I$99,5,$E$16:$E$99)</f>
        <v>546463.282102561</v>
      </c>
      <c r="H106" s="13" t="n">
        <f aca="false">SUMIF($I$16:$I$99,6,$E$16:$E$99)</f>
        <v>332407.674791507</v>
      </c>
      <c r="I106" s="13" t="n">
        <f aca="false">SUMIF($I$16:$I$99,7,$E$16:$E$99)</f>
        <v>116092.12762819</v>
      </c>
    </row>
    <row r="107" customFormat="false" ht="15" hidden="false" customHeight="true" outlineLevel="0" collapsed="false">
      <c r="B107" s="27" t="s">
        <v>473</v>
      </c>
      <c r="C107" s="13" t="n">
        <f aca="false">C105+C106</f>
        <v>1291113.46342311</v>
      </c>
      <c r="D107" s="13" t="n">
        <f aca="false">D105+D106</f>
        <v>4227477.17618695</v>
      </c>
      <c r="E107" s="13" t="n">
        <f aca="false">E105+E106</f>
        <v>4008803.43091692</v>
      </c>
      <c r="F107" s="13" t="n">
        <f aca="false">F105+F106</f>
        <v>3793617.85367974</v>
      </c>
      <c r="G107" s="13" t="n">
        <f aca="false">G105+G106</f>
        <v>3578432.27644255</v>
      </c>
      <c r="H107" s="13" t="n">
        <f aca="false">H105+H106</f>
        <v>3364376.6691315</v>
      </c>
      <c r="I107" s="13" t="n">
        <f aca="false">I105+I106</f>
        <v>3148061.12196818</v>
      </c>
    </row>
    <row r="108" customFormat="false" ht="15" hidden="false" customHeight="true" outlineLevel="0" collapsed="false">
      <c r="B108" s="27" t="s">
        <v>474</v>
      </c>
      <c r="C108" s="13" t="n">
        <f aca="false">$C$9-SUM($C$105:C105)</f>
        <v>18191813.9660399</v>
      </c>
      <c r="D108" s="13" t="n">
        <f aca="false">$C$9-SUM($C$105:D105)</f>
        <v>15159844.9717</v>
      </c>
      <c r="E108" s="13" t="n">
        <f aca="false">$C$9-SUM($C$105:E105)</f>
        <v>12127875.97736</v>
      </c>
      <c r="F108" s="13" t="n">
        <f aca="false">$C$9-SUM($C$105:F105)</f>
        <v>9095906.98301997</v>
      </c>
      <c r="G108" s="13" t="n">
        <f aca="false">$C$9-SUM($C$105:G105)</f>
        <v>6063937.98867998</v>
      </c>
      <c r="H108" s="13" t="n">
        <f aca="false">$C$9-SUM($C$105:H105)</f>
        <v>3031968.99433999</v>
      </c>
      <c r="I108" s="13" t="n">
        <f aca="false">$C$9-SUM($C$105:I105)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9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475</v>
      </c>
      <c r="K2" s="52" t="s">
        <v>476</v>
      </c>
    </row>
    <row r="4" customFormat="false" ht="30" hidden="false" customHeight="true" outlineLevel="0" collapsed="false">
      <c r="B4" s="18" t="s">
        <v>42</v>
      </c>
      <c r="C4" s="19" t="s">
        <v>43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</row>
    <row r="5" customFormat="false" ht="15" hidden="false" customHeight="true" outlineLevel="0" collapsed="false">
      <c r="B5" s="6"/>
      <c r="C5" s="6"/>
      <c r="D5" s="18" t="s">
        <v>51</v>
      </c>
      <c r="E5" s="18" t="s">
        <v>52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</row>
    <row r="6" customFormat="false" ht="15" hidden="false" customHeight="true" outlineLevel="0" collapsed="false">
      <c r="B6" s="62" t="s">
        <v>477</v>
      </c>
      <c r="C6" s="21" t="s">
        <v>32</v>
      </c>
      <c r="D6" s="23" t="n">
        <f aca="false">D7+D8</f>
        <v>9058233.4074603</v>
      </c>
      <c r="E6" s="23" t="n">
        <f aca="false">E7+E8</f>
        <v>36777950.1176668</v>
      </c>
      <c r="F6" s="23" t="n">
        <f aca="false">F7+F8</f>
        <v>48825711.8142501</v>
      </c>
      <c r="G6" s="23" t="n">
        <f aca="false">G7+G8</f>
        <v>58917294.7663125</v>
      </c>
      <c r="H6" s="23" t="n">
        <f aca="false">H7+H8</f>
        <v>60592703.85</v>
      </c>
      <c r="I6" s="23" t="n">
        <f aca="false">I7+I8</f>
        <v>61925326.89</v>
      </c>
      <c r="J6" s="23" t="n">
        <f aca="false">J7+J8</f>
        <v>63287695.98</v>
      </c>
    </row>
    <row r="7" customFormat="false" ht="15" hidden="false" customHeight="true" outlineLevel="0" collapsed="false">
      <c r="B7" s="20" t="s">
        <v>478</v>
      </c>
      <c r="C7" s="21" t="s">
        <v>32</v>
      </c>
      <c r="D7" s="13" t="n">
        <f aca="false">SalePlan!D10</f>
        <v>9058233.4074603</v>
      </c>
      <c r="E7" s="13" t="n">
        <f aca="false">SalePlan!E10</f>
        <v>36777950.1176668</v>
      </c>
      <c r="F7" s="13" t="n">
        <f aca="false">SalePlan!F10</f>
        <v>48825711.8142501</v>
      </c>
      <c r="G7" s="13" t="n">
        <f aca="false">SalePlan!G10</f>
        <v>58917294.7663125</v>
      </c>
      <c r="H7" s="13" t="n">
        <f aca="false">SalePlan!H10</f>
        <v>60592703.85</v>
      </c>
      <c r="I7" s="13" t="n">
        <f aca="false">SalePlan!I10</f>
        <v>61925326.89</v>
      </c>
      <c r="J7" s="13" t="n">
        <f aca="false">SalePlan!J10</f>
        <v>63287695.98</v>
      </c>
    </row>
    <row r="8" customFormat="false" ht="15" hidden="false" customHeight="true" outlineLevel="0" collapsed="false">
      <c r="B8" s="20" t="s">
        <v>479</v>
      </c>
      <c r="C8" s="21" t="s">
        <v>32</v>
      </c>
      <c r="D8" s="13" t="n">
        <f aca="false">SalePlan!D16+Taxes!D19</f>
        <v>0</v>
      </c>
      <c r="E8" s="13" t="n">
        <f aca="false">SalePlan!E16+Taxes!E19</f>
        <v>0</v>
      </c>
      <c r="F8" s="13" t="n">
        <f aca="false">SalePlan!F16+Taxes!F19</f>
        <v>0</v>
      </c>
      <c r="G8" s="13" t="n">
        <f aca="false">SalePlan!G16+Taxes!G19</f>
        <v>0</v>
      </c>
      <c r="H8" s="13" t="n">
        <f aca="false">SalePlan!H16+Taxes!H19</f>
        <v>0</v>
      </c>
      <c r="I8" s="13" t="n">
        <f aca="false">SalePlan!I16+Taxes!I19</f>
        <v>0</v>
      </c>
      <c r="J8" s="13" t="n">
        <f aca="false">SalePlan!J16+Taxes!J19</f>
        <v>0</v>
      </c>
    </row>
    <row r="9" customFormat="false" ht="15" hidden="false" customHeight="true" outlineLevel="0" collapsed="false">
      <c r="B9" s="20" t="s">
        <v>480</v>
      </c>
      <c r="C9" s="21" t="s">
        <v>32</v>
      </c>
      <c r="D9" s="13" t="n">
        <f aca="false">Taxes!D19</f>
        <v>0</v>
      </c>
      <c r="E9" s="13" t="n">
        <f aca="false">Taxes!E19</f>
        <v>0</v>
      </c>
      <c r="F9" s="13" t="n">
        <f aca="false">Taxes!F19</f>
        <v>0</v>
      </c>
      <c r="G9" s="13" t="n">
        <f aca="false">Taxes!G19</f>
        <v>0</v>
      </c>
      <c r="H9" s="13" t="n">
        <f aca="false">Taxes!H19</f>
        <v>0</v>
      </c>
      <c r="I9" s="13" t="n">
        <f aca="false">Taxes!I19</f>
        <v>0</v>
      </c>
      <c r="J9" s="13" t="n">
        <f aca="false">Taxes!J19</f>
        <v>0</v>
      </c>
    </row>
    <row r="10" customFormat="false" ht="15" hidden="false" customHeight="true" outlineLevel="0" collapsed="false">
      <c r="B10" s="70" t="s">
        <v>481</v>
      </c>
      <c r="C10" s="59" t="s">
        <v>32</v>
      </c>
      <c r="D10" s="49" t="n">
        <f aca="false">D6-D9</f>
        <v>9058233.4074603</v>
      </c>
      <c r="E10" s="49" t="n">
        <f aca="false">E6-E9</f>
        <v>36777950.1176668</v>
      </c>
      <c r="F10" s="49" t="n">
        <f aca="false">F6-F9</f>
        <v>48825711.8142501</v>
      </c>
      <c r="G10" s="49" t="n">
        <f aca="false">G6-G9</f>
        <v>58917294.7663125</v>
      </c>
      <c r="H10" s="49" t="n">
        <f aca="false">H6-H9</f>
        <v>60592703.85</v>
      </c>
      <c r="I10" s="49" t="n">
        <f aca="false">I6-I9</f>
        <v>61925326.89</v>
      </c>
      <c r="J10" s="49" t="n">
        <f aca="false">J6-J9</f>
        <v>63287695.98</v>
      </c>
    </row>
    <row r="11" customFormat="false" ht="15" hidden="false" customHeight="true" outlineLevel="0" collapsed="false">
      <c r="B11" s="20" t="s">
        <v>426</v>
      </c>
      <c r="C11" s="21" t="s">
        <v>32</v>
      </c>
      <c r="D11" s="13" t="n">
        <f aca="false">CostSold!D22</f>
        <v>3983085.34769568</v>
      </c>
      <c r="E11" s="13" t="n">
        <f aca="false">CostSold!E22</f>
        <v>22748393.2278882</v>
      </c>
      <c r="F11" s="13" t="n">
        <f aca="false">CostSold!F22</f>
        <v>28767725.6070918</v>
      </c>
      <c r="G11" s="13" t="n">
        <f aca="false">CostSold!G22</f>
        <v>33957554.4079507</v>
      </c>
      <c r="H11" s="13" t="n">
        <f aca="false">CostSold!H22</f>
        <v>35013223.0766929</v>
      </c>
      <c r="I11" s="13" t="n">
        <f aca="false">CostSold!I22</f>
        <v>35782806.1656104</v>
      </c>
      <c r="J11" s="13" t="n">
        <f aca="false">CostSold!J22</f>
        <v>36568132.9667505</v>
      </c>
    </row>
    <row r="12" customFormat="false" ht="15" hidden="false" customHeight="true" outlineLevel="0" collapsed="false">
      <c r="B12" s="20" t="s">
        <v>482</v>
      </c>
      <c r="C12" s="21" t="s">
        <v>32</v>
      </c>
      <c r="D12" s="13" t="n">
        <f aca="false">CostSold!D23</f>
        <v>154815.248459948</v>
      </c>
      <c r="E12" s="13" t="n">
        <f aca="false">CostSold!E23</f>
        <v>1123057.22606462</v>
      </c>
      <c r="F12" s="13" t="n">
        <f aca="false">CostSold!F23</f>
        <v>1434045.71414757</v>
      </c>
      <c r="G12" s="13" t="n">
        <f aca="false">CostSold!G23</f>
        <v>1689151.42823444</v>
      </c>
      <c r="H12" s="13" t="n">
        <f aca="false">CostSold!H23</f>
        <v>1717864.5220173</v>
      </c>
      <c r="I12" s="13" t="n">
        <f aca="false">CostSold!I23</f>
        <v>1731824.22667559</v>
      </c>
      <c r="J12" s="13" t="n">
        <f aca="false">CostSold!J23</f>
        <v>1746035.29446564</v>
      </c>
    </row>
    <row r="13" customFormat="false" ht="15" hidden="false" customHeight="true" outlineLevel="0" collapsed="false">
      <c r="B13" s="20" t="s">
        <v>483</v>
      </c>
      <c r="C13" s="21" t="s">
        <v>32</v>
      </c>
      <c r="D13" s="13" t="n">
        <f aca="false">CostSold!D24</f>
        <v>3828270.09923573</v>
      </c>
      <c r="E13" s="13" t="n">
        <f aca="false">CostSold!E24</f>
        <v>21625336.0018236</v>
      </c>
      <c r="F13" s="13" t="n">
        <f aca="false">CostSold!F24</f>
        <v>27333679.8929442</v>
      </c>
      <c r="G13" s="13" t="n">
        <f aca="false">CostSold!G24</f>
        <v>32268402.9797163</v>
      </c>
      <c r="H13" s="13" t="n">
        <f aca="false">CostSold!H24</f>
        <v>33295358.5546756</v>
      </c>
      <c r="I13" s="13" t="n">
        <f aca="false">CostSold!I24</f>
        <v>34050981.9389348</v>
      </c>
      <c r="J13" s="13" t="n">
        <f aca="false">CostSold!J24</f>
        <v>34822097.6722849</v>
      </c>
    </row>
    <row r="14" customFormat="false" ht="15" hidden="false" customHeight="true" outlineLevel="0" collapsed="false">
      <c r="B14" s="70" t="s">
        <v>484</v>
      </c>
      <c r="C14" s="59" t="s">
        <v>32</v>
      </c>
      <c r="D14" s="49" t="n">
        <f aca="false">D10-D11</f>
        <v>5075148.05976462</v>
      </c>
      <c r="E14" s="49" t="n">
        <f aca="false">E10-E11</f>
        <v>14029556.8897786</v>
      </c>
      <c r="F14" s="49" t="n">
        <f aca="false">F10-F11</f>
        <v>20057986.2071583</v>
      </c>
      <c r="G14" s="49" t="n">
        <f aca="false">G10-G11</f>
        <v>24959740.3583618</v>
      </c>
      <c r="H14" s="49" t="n">
        <f aca="false">H10-H11</f>
        <v>25579480.7733071</v>
      </c>
      <c r="I14" s="49" t="n">
        <f aca="false">I10-I11</f>
        <v>26142520.7243897</v>
      </c>
      <c r="J14" s="49" t="n">
        <f aca="false">J10-J11</f>
        <v>26719563.0132495</v>
      </c>
    </row>
    <row r="15" customFormat="false" ht="15" hidden="false" customHeight="true" outlineLevel="0" collapsed="false">
      <c r="B15" s="20" t="s">
        <v>485</v>
      </c>
      <c r="C15" s="21" t="s">
        <v>32</v>
      </c>
      <c r="D15" s="13" t="n">
        <f aca="false">CostSold!D31</f>
        <v>3408308.88670231</v>
      </c>
      <c r="E15" s="13" t="n">
        <f aca="false">CostSold!E31</f>
        <v>4496685.29235882</v>
      </c>
      <c r="F15" s="13" t="n">
        <f aca="false">CostSold!F31</f>
        <v>4875678.23855023</v>
      </c>
      <c r="G15" s="13" t="n">
        <f aca="false">CostSold!G31</f>
        <v>5197583.11160321</v>
      </c>
      <c r="H15" s="13" t="n">
        <f aca="false">CostSold!H31</f>
        <v>5304925.75541789</v>
      </c>
      <c r="I15" s="13" t="n">
        <f aca="false">CostSold!I31</f>
        <v>5412731.71217887</v>
      </c>
      <c r="J15" s="13" t="n">
        <f aca="false">CostSold!J31</f>
        <v>5522911.54170418</v>
      </c>
    </row>
    <row r="16" customFormat="false" ht="15" hidden="false" customHeight="true" outlineLevel="0" collapsed="false">
      <c r="B16" s="20" t="s">
        <v>486</v>
      </c>
      <c r="C16" s="21" t="s">
        <v>32</v>
      </c>
      <c r="D16" s="13" t="n">
        <f aca="false">CostSold!D39</f>
        <v>1602669.364891</v>
      </c>
      <c r="E16" s="13" t="n">
        <f aca="false">CostSold!E39</f>
        <v>1008756.46261634</v>
      </c>
      <c r="F16" s="13" t="n">
        <f aca="false">CostSold!F39</f>
        <v>1131203.58959987</v>
      </c>
      <c r="G16" s="13" t="n">
        <f aca="false">CostSold!G39</f>
        <v>1228090.38071048</v>
      </c>
      <c r="H16" s="13" t="n">
        <f aca="false">CostSold!H39</f>
        <v>1233680.2107889</v>
      </c>
      <c r="I16" s="13" t="n">
        <f aca="false">CostSold!I39</f>
        <v>1239587.86198406</v>
      </c>
      <c r="J16" s="13" t="n">
        <f aca="false">CostSold!J39</f>
        <v>1245858.33369917</v>
      </c>
    </row>
    <row r="17" customFormat="false" ht="15" hidden="false" customHeight="true" outlineLevel="0" collapsed="false">
      <c r="B17" s="70" t="s">
        <v>487</v>
      </c>
      <c r="C17" s="59" t="s">
        <v>32</v>
      </c>
      <c r="D17" s="49" t="n">
        <f aca="false">D14-D15-D16</f>
        <v>64169.8081713128</v>
      </c>
      <c r="E17" s="49" t="n">
        <f aca="false">E14-E15-E16</f>
        <v>8524115.1348034</v>
      </c>
      <c r="F17" s="49" t="n">
        <f aca="false">F14-F15-F16</f>
        <v>14051104.3790082</v>
      </c>
      <c r="G17" s="49" t="n">
        <f aca="false">G14-G15-G16</f>
        <v>18534066.8660481</v>
      </c>
      <c r="H17" s="49" t="n">
        <f aca="false">H14-H15-H16</f>
        <v>19040874.8071003</v>
      </c>
      <c r="I17" s="49" t="n">
        <f aca="false">I14-I15-I16</f>
        <v>19490201.1502267</v>
      </c>
      <c r="J17" s="49" t="n">
        <f aca="false">J14-J15-J16</f>
        <v>19950793.1378462</v>
      </c>
    </row>
    <row r="18" customFormat="false" ht="15" hidden="false" customHeight="true" outlineLevel="0" collapsed="false">
      <c r="B18" s="20" t="s">
        <v>488</v>
      </c>
      <c r="C18" s="21" t="s">
        <v>32</v>
      </c>
      <c r="D18" s="13" t="n">
        <f aca="false">D19</f>
        <v>0</v>
      </c>
      <c r="E18" s="13" t="n">
        <f aca="false">E19</f>
        <v>1195508.18184696</v>
      </c>
      <c r="F18" s="13" t="n">
        <f aca="false">F19</f>
        <v>976834.436576932</v>
      </c>
      <c r="G18" s="13" t="n">
        <f aca="false">G19</f>
        <v>761648.859339746</v>
      </c>
      <c r="H18" s="13" t="n">
        <f aca="false">H19</f>
        <v>546463.282102561</v>
      </c>
      <c r="I18" s="13" t="n">
        <f aca="false">I19</f>
        <v>332407.674791507</v>
      </c>
      <c r="J18" s="13" t="n">
        <f aca="false">J19</f>
        <v>116092.12762819</v>
      </c>
    </row>
    <row r="19" customFormat="false" ht="15" hidden="false" customHeight="true" outlineLevel="0" collapsed="false">
      <c r="B19" s="20" t="s">
        <v>489</v>
      </c>
      <c r="C19" s="21" t="s">
        <v>32</v>
      </c>
      <c r="D19" s="13" t="n">
        <f aca="false">CostSold!D42</f>
        <v>0</v>
      </c>
      <c r="E19" s="13" t="n">
        <f aca="false">CostSold!E42</f>
        <v>1195508.18184696</v>
      </c>
      <c r="F19" s="13" t="n">
        <f aca="false">CostSold!F42</f>
        <v>976834.436576932</v>
      </c>
      <c r="G19" s="13" t="n">
        <f aca="false">CostSold!G42</f>
        <v>761648.859339746</v>
      </c>
      <c r="H19" s="13" t="n">
        <f aca="false">CostSold!H42</f>
        <v>546463.282102561</v>
      </c>
      <c r="I19" s="13" t="n">
        <f aca="false">CostSold!I42</f>
        <v>332407.674791507</v>
      </c>
      <c r="J19" s="13" t="n">
        <f aca="false">CostSold!J42</f>
        <v>116092.12762819</v>
      </c>
    </row>
    <row r="20" customFormat="false" ht="15" hidden="false" customHeight="true" outlineLevel="0" collapsed="false">
      <c r="B20" s="70" t="s">
        <v>490</v>
      </c>
      <c r="C20" s="59" t="s">
        <v>32</v>
      </c>
      <c r="D20" s="49" t="n">
        <f aca="false">D17-D18</f>
        <v>64169.8081713128</v>
      </c>
      <c r="E20" s="49" t="n">
        <f aca="false">E17-E18</f>
        <v>7328606.95295645</v>
      </c>
      <c r="F20" s="49" t="n">
        <f aca="false">F17-F18</f>
        <v>13074269.9424313</v>
      </c>
      <c r="G20" s="49" t="n">
        <f aca="false">G17-G18</f>
        <v>17772418.0067083</v>
      </c>
      <c r="H20" s="49" t="n">
        <f aca="false">H17-H18</f>
        <v>18494411.5249977</v>
      </c>
      <c r="I20" s="49" t="n">
        <f aca="false">I17-I18</f>
        <v>19157793.4754352</v>
      </c>
      <c r="J20" s="49" t="n">
        <f aca="false">J17-J18</f>
        <v>19834701.010218</v>
      </c>
    </row>
    <row r="21" customFormat="false" ht="15" hidden="false" customHeight="true" outlineLevel="0" collapsed="false">
      <c r="B21" s="20" t="s">
        <v>491</v>
      </c>
      <c r="C21" s="21" t="s">
        <v>32</v>
      </c>
      <c r="D21" s="13" t="n">
        <f aca="false">Taxes!D29</f>
        <v>9625.47122569673</v>
      </c>
      <c r="E21" s="13" t="n">
        <f aca="false">Taxes!E29</f>
        <v>1099291.04294347</v>
      </c>
      <c r="F21" s="13" t="n">
        <f aca="false">Taxes!F29</f>
        <v>1961140.4913647</v>
      </c>
      <c r="G21" s="13" t="n">
        <f aca="false">Taxes!G29</f>
        <v>2665862.70100625</v>
      </c>
      <c r="H21" s="13" t="n">
        <f aca="false">Taxes!H29</f>
        <v>2774161.72874966</v>
      </c>
      <c r="I21" s="13" t="n">
        <f aca="false">Taxes!I29</f>
        <v>2873669.02131528</v>
      </c>
      <c r="J21" s="13" t="n">
        <f aca="false">Taxes!J29</f>
        <v>2975205.15153269</v>
      </c>
    </row>
    <row r="22" customFormat="false" ht="15" hidden="false" customHeight="true" outlineLevel="0" collapsed="false">
      <c r="B22" s="39" t="s">
        <v>492</v>
      </c>
      <c r="C22" s="63" t="s">
        <v>32</v>
      </c>
      <c r="D22" s="16" t="n">
        <f aca="false">D20-D21</f>
        <v>54544.3369456161</v>
      </c>
      <c r="E22" s="16" t="n">
        <f aca="false">E20-E21</f>
        <v>6229315.91001298</v>
      </c>
      <c r="F22" s="16" t="n">
        <f aca="false">F20-F21</f>
        <v>11113129.4510666</v>
      </c>
      <c r="G22" s="16" t="n">
        <f aca="false">G20-G21</f>
        <v>15106555.3057021</v>
      </c>
      <c r="H22" s="16" t="n">
        <f aca="false">H20-H21</f>
        <v>15720249.7962481</v>
      </c>
      <c r="I22" s="16" t="n">
        <f aca="false">I20-I21</f>
        <v>16284124.4541199</v>
      </c>
      <c r="J22" s="16" t="n">
        <f aca="false">J20-J21</f>
        <v>16859495.8586853</v>
      </c>
    </row>
    <row r="24" customFormat="false" ht="15" hidden="false" customHeight="true" outlineLevel="0" collapsed="false">
      <c r="B24" s="34" t="s">
        <v>493</v>
      </c>
    </row>
    <row r="25" customFormat="false" ht="15" hidden="false" customHeight="true" outlineLevel="0" collapsed="false">
      <c r="B25" s="20" t="s">
        <v>494</v>
      </c>
      <c r="C25" s="21" t="s">
        <v>247</v>
      </c>
      <c r="D25" s="14" t="n">
        <f aca="false">IFERROR(D14/D10,0)</f>
        <v>0.560280115500751</v>
      </c>
      <c r="E25" s="14" t="n">
        <f aca="false">IFERROR(E14/E10,0)</f>
        <v>0.381466526679509</v>
      </c>
      <c r="F25" s="14" t="n">
        <f aca="false">IFERROR(F14/F10,0)</f>
        <v>0.410807860486824</v>
      </c>
      <c r="G25" s="14" t="n">
        <f aca="false">IFERROR(G14/G10,0)</f>
        <v>0.423640298784274</v>
      </c>
      <c r="H25" s="14" t="n">
        <f aca="false">IFERROR(H14/H10,0)</f>
        <v>0.422154469895093</v>
      </c>
      <c r="I25" s="14" t="n">
        <f aca="false">IFERROR(I14/I10,0)</f>
        <v>0.422162014111407</v>
      </c>
      <c r="J25" s="14" t="n">
        <f aca="false">IFERROR(J14/J10,0)</f>
        <v>0.42219206434207</v>
      </c>
    </row>
    <row r="26" customFormat="false" ht="15" hidden="false" customHeight="true" outlineLevel="0" collapsed="false">
      <c r="B26" s="20" t="s">
        <v>495</v>
      </c>
      <c r="C26" s="21" t="s">
        <v>247</v>
      </c>
      <c r="D26" s="14" t="n">
        <f aca="false">IFERROR(D22/D10,0)</f>
        <v>0.00602152036628839</v>
      </c>
      <c r="E26" s="14" t="n">
        <f aca="false">IFERROR(E22/E10,0)</f>
        <v>0.169376376064544</v>
      </c>
      <c r="F26" s="14" t="n">
        <f aca="false">IFERROR(F22/F10,0)</f>
        <v>0.227608140017391</v>
      </c>
      <c r="G26" s="14" t="n">
        <f aca="false">IFERROR(G22/G10,0)</f>
        <v>0.256402731415626</v>
      </c>
      <c r="H26" s="14" t="n">
        <f aca="false">IFERROR(H22/H10,0)</f>
        <v>0.259441298991447</v>
      </c>
      <c r="I26" s="14" t="n">
        <f aca="false">IFERROR(I22/I10,0)</f>
        <v>0.262963883631102</v>
      </c>
      <c r="J26" s="14" t="n">
        <f aca="false">IFERROR(J22/J10,0)</f>
        <v>0.266394527366159</v>
      </c>
    </row>
    <row r="27" customFormat="false" ht="15" hidden="false" customHeight="true" outlineLevel="0" collapsed="false">
      <c r="B27" s="20" t="s">
        <v>59</v>
      </c>
      <c r="C27" s="21" t="s">
        <v>32</v>
      </c>
      <c r="D27" s="13" t="n">
        <f aca="false">D17+Depreciate!$G$18</f>
        <v>731448.935790865</v>
      </c>
      <c r="E27" s="13" t="n">
        <f aca="false">E17+Depreciate!$H$18</f>
        <v>11251688.101859</v>
      </c>
      <c r="F27" s="13" t="n">
        <f aca="false">F17+Depreciate!$I$18</f>
        <v>16832637.1521353</v>
      </c>
      <c r="G27" s="13" t="n">
        <f aca="false">G17+Depreciate!$J$18</f>
        <v>21369559.4452465</v>
      </c>
      <c r="H27" s="13" t="n">
        <f aca="false">H17+Depreciate!$K$18</f>
        <v>21930327.1923702</v>
      </c>
      <c r="I27" s="13" t="n">
        <f aca="false">I17+Depreciate!$L$18</f>
        <v>22433613.341568</v>
      </c>
      <c r="J27" s="13" t="n">
        <f aca="false">J17+Depreciate!$M$18</f>
        <v>22948165.1352589</v>
      </c>
    </row>
    <row r="28" customFormat="false" ht="15" hidden="false" customHeight="true" outlineLevel="0" collapsed="false">
      <c r="B28" s="20" t="s">
        <v>496</v>
      </c>
      <c r="C28" s="21" t="s">
        <v>247</v>
      </c>
      <c r="D28" s="14" t="n">
        <f aca="false">IFERROR(D27/D10,0)</f>
        <v>0.0807496233413955</v>
      </c>
      <c r="E28" s="14" t="n">
        <f aca="false">IFERROR(E27/E10,0)</f>
        <v>0.305935705112997</v>
      </c>
      <c r="F28" s="14" t="n">
        <f aca="false">IFERROR(F27/F10,0)</f>
        <v>0.344749447098128</v>
      </c>
      <c r="G28" s="14" t="n">
        <f aca="false">IFERROR(G27/G10,0)</f>
        <v>0.362704355826349</v>
      </c>
      <c r="H28" s="14" t="n">
        <f aca="false">IFERROR(H27/H10,0)</f>
        <v>0.361930163186969</v>
      </c>
      <c r="I28" s="14" t="n">
        <f aca="false">IFERROR(I27/I10,0)</f>
        <v>0.362268791595038</v>
      </c>
      <c r="J28" s="14" t="n">
        <f aca="false">IFERROR(J27/J10,0)</f>
        <v>0.362600735892027</v>
      </c>
    </row>
    <row r="29" customFormat="false" ht="15" hidden="false" customHeight="true" outlineLevel="0" collapsed="false">
      <c r="B29" s="20" t="s">
        <v>497</v>
      </c>
      <c r="C29" s="21" t="s">
        <v>66</v>
      </c>
      <c r="D29" s="22" t="str">
        <f aca="false">IF(D19&gt;0,D17/D19,"-")</f>
        <v>-</v>
      </c>
      <c r="E29" s="22" t="n">
        <f aca="false">IF(E19&gt;0,E17/E19,"-")</f>
        <v>7.13011860917119</v>
      </c>
      <c r="F29" s="22" t="n">
        <f aca="false">IF(F19&gt;0,F17/F19,"-")</f>
        <v>14.3843253809179</v>
      </c>
      <c r="G29" s="22" t="n">
        <f aca="false">IF(G19&gt;0,G17/G19,"-")</f>
        <v>24.3341359194246</v>
      </c>
      <c r="H29" s="22" t="n">
        <f aca="false">IF(H19&gt;0,H17/H19,"-")</f>
        <v>34.84383202077</v>
      </c>
      <c r="I29" s="22" t="n">
        <f aca="false">IF(I19&gt;0,I17/I19,"-")</f>
        <v>58.633427048432</v>
      </c>
      <c r="J29" s="22" t="n">
        <f aca="false">IF(J19&gt;0,J17/J19,"-")</f>
        <v>171.853109641877</v>
      </c>
    </row>
    <row r="30" customFormat="false" ht="15" hidden="false" customHeight="true" outlineLevel="0" collapsed="false">
      <c r="B30" s="20" t="s">
        <v>67</v>
      </c>
      <c r="C30" s="21" t="s">
        <v>32</v>
      </c>
      <c r="D30" s="13" t="n">
        <f aca="false">LOANS!$C$108</f>
        <v>18191813.9660399</v>
      </c>
      <c r="E30" s="13" t="n">
        <f aca="false">LOANS!$D$108</f>
        <v>15159844.9717</v>
      </c>
      <c r="F30" s="13" t="n">
        <f aca="false">LOANS!$E$108</f>
        <v>12127875.97736</v>
      </c>
      <c r="G30" s="13" t="n">
        <f aca="false">LOANS!$F$108</f>
        <v>9095906.98301997</v>
      </c>
      <c r="H30" s="13" t="n">
        <f aca="false">LOANS!$G$108</f>
        <v>6063937.98867998</v>
      </c>
      <c r="I30" s="13" t="n">
        <f aca="false">LOANS!$H$108</f>
        <v>3031968.99433999</v>
      </c>
      <c r="J30" s="13" t="n">
        <f aca="false">LOANS!$I$108</f>
        <v>0</v>
      </c>
    </row>
    <row r="31" customFormat="false" ht="15" hidden="false" customHeight="true" outlineLevel="0" collapsed="false">
      <c r="B31" s="20" t="s">
        <v>498</v>
      </c>
      <c r="C31" s="21" t="s">
        <v>66</v>
      </c>
      <c r="D31" s="22" t="n">
        <f aca="false">IFERROR(D30/D27,0)</f>
        <v>24.8709282027602</v>
      </c>
      <c r="E31" s="22" t="n">
        <f aca="false">IFERROR(E30/E27,0)</f>
        <v>1.34733960224113</v>
      </c>
      <c r="F31" s="22" t="n">
        <f aca="false">IFERROR(F30/F27,0)</f>
        <v>0.720497677680975</v>
      </c>
      <c r="G31" s="22" t="n">
        <f aca="false">IFERROR(G30/G27,0)</f>
        <v>0.425647847646353</v>
      </c>
      <c r="H31" s="22" t="n">
        <f aca="false">IFERROR(H30/H27,0)</f>
        <v>0.276509234699868</v>
      </c>
      <c r="I31" s="22" t="n">
        <f aca="false">IFERROR(I30/I27,0)</f>
        <v>0.135152948754891</v>
      </c>
      <c r="J31" s="22" t="n">
        <f aca="false">IFERROR(J30/J27,0)</f>
        <v>0</v>
      </c>
    </row>
    <row r="33" customFormat="false" ht="15" hidden="false" customHeight="true" outlineLevel="0" collapsed="false">
      <c r="B33" s="4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4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500</v>
      </c>
      <c r="K2" s="52" t="s">
        <v>501</v>
      </c>
    </row>
    <row r="4" customFormat="false" ht="15" hidden="false" customHeight="true" outlineLevel="0" collapsed="false">
      <c r="B4" s="5" t="s">
        <v>502</v>
      </c>
      <c r="C4" s="5" t="s">
        <v>503</v>
      </c>
    </row>
    <row r="5" customFormat="false" ht="15" hidden="false" customHeight="true" outlineLevel="0" collapsed="false">
      <c r="B5" s="7" t="s">
        <v>504</v>
      </c>
      <c r="C5" s="58" t="n">
        <v>30</v>
      </c>
    </row>
    <row r="6" customFormat="false" ht="15" hidden="false" customHeight="true" outlineLevel="0" collapsed="false">
      <c r="B6" s="7" t="s">
        <v>505</v>
      </c>
      <c r="C6" s="58" t="n">
        <v>15</v>
      </c>
    </row>
    <row r="7" customFormat="false" ht="15" hidden="false" customHeight="true" outlineLevel="0" collapsed="false">
      <c r="B7" s="7" t="s">
        <v>506</v>
      </c>
      <c r="C7" s="58" t="n">
        <v>10</v>
      </c>
    </row>
    <row r="8" customFormat="false" ht="15" hidden="false" customHeight="true" outlineLevel="0" collapsed="false">
      <c r="B8" s="7" t="s">
        <v>507</v>
      </c>
      <c r="C8" s="58" t="n">
        <v>15</v>
      </c>
    </row>
    <row r="9" customFormat="false" ht="15" hidden="false" customHeight="true" outlineLevel="0" collapsed="false">
      <c r="B9" s="7" t="s">
        <v>508</v>
      </c>
      <c r="C9" s="58" t="n">
        <v>0</v>
      </c>
    </row>
    <row r="10" customFormat="false" ht="15" hidden="false" customHeight="true" outlineLevel="0" collapsed="false">
      <c r="B10" s="7" t="s">
        <v>509</v>
      </c>
      <c r="C10" s="58" t="n">
        <v>30</v>
      </c>
    </row>
    <row r="11" customFormat="false" ht="15" hidden="false" customHeight="true" outlineLevel="0" collapsed="false">
      <c r="B11" s="7" t="s">
        <v>510</v>
      </c>
      <c r="C11" s="58" t="n">
        <v>90</v>
      </c>
    </row>
    <row r="12" customFormat="false" ht="15" hidden="false" customHeight="true" outlineLevel="0" collapsed="false">
      <c r="B12" s="7" t="s">
        <v>511</v>
      </c>
      <c r="C12" s="58" t="n">
        <v>540</v>
      </c>
    </row>
    <row r="14" customFormat="false" ht="15" hidden="false" customHeight="true" outlineLevel="0" collapsed="false">
      <c r="B14" s="5" t="s">
        <v>512</v>
      </c>
      <c r="C14" s="18" t="s">
        <v>513</v>
      </c>
      <c r="D14" s="18" t="s">
        <v>215</v>
      </c>
      <c r="E14" s="18" t="s">
        <v>45</v>
      </c>
      <c r="F14" s="18" t="s">
        <v>46</v>
      </c>
      <c r="G14" s="18" t="s">
        <v>47</v>
      </c>
      <c r="H14" s="18" t="s">
        <v>48</v>
      </c>
      <c r="I14" s="18" t="s">
        <v>49</v>
      </c>
      <c r="J14" s="18" t="s">
        <v>50</v>
      </c>
    </row>
    <row r="15" customFormat="false" ht="15" hidden="false" customHeight="true" outlineLevel="0" collapsed="false">
      <c r="B15" s="6"/>
      <c r="C15" s="18" t="s">
        <v>514</v>
      </c>
      <c r="D15" s="18" t="s">
        <v>51</v>
      </c>
      <c r="E15" s="18" t="s">
        <v>52</v>
      </c>
      <c r="F15" s="18" t="s">
        <v>53</v>
      </c>
      <c r="G15" s="18" t="s">
        <v>54</v>
      </c>
      <c r="H15" s="18" t="s">
        <v>55</v>
      </c>
      <c r="I15" s="18" t="s">
        <v>56</v>
      </c>
      <c r="J15" s="18" t="s">
        <v>57</v>
      </c>
    </row>
    <row r="16" customFormat="false" ht="15" hidden="false" customHeight="true" outlineLevel="0" collapsed="false">
      <c r="B16" s="7" t="s">
        <v>515</v>
      </c>
      <c r="C16" s="13" t="n">
        <v>0</v>
      </c>
      <c r="D16" s="13" t="n">
        <v>3511500.37585394</v>
      </c>
      <c r="E16" s="13" t="n">
        <v>3022845.21515069</v>
      </c>
      <c r="F16" s="13" t="n">
        <v>4013072.20391096</v>
      </c>
      <c r="G16" s="13" t="n">
        <v>4842517.37805308</v>
      </c>
      <c r="H16" s="13" t="n">
        <v>4980222.23424658</v>
      </c>
      <c r="I16" s="13" t="n">
        <v>5089752.89506849</v>
      </c>
      <c r="J16" s="13" t="n">
        <v>5201728.43671233</v>
      </c>
    </row>
    <row r="17" customFormat="false" ht="15" hidden="false" customHeight="true" outlineLevel="0" collapsed="false">
      <c r="B17" s="7" t="s">
        <v>516</v>
      </c>
      <c r="C17" s="13" t="n">
        <v>0</v>
      </c>
      <c r="D17" s="13" t="n">
        <v>1919043.57801892</v>
      </c>
      <c r="E17" s="13" t="n">
        <v>2118484.15668356</v>
      </c>
      <c r="F17" s="13" t="n">
        <v>2786912.36596653</v>
      </c>
      <c r="G17" s="13" t="n">
        <v>3324859.42739754</v>
      </c>
      <c r="H17" s="13" t="n">
        <v>3398006.33480029</v>
      </c>
      <c r="I17" s="13" t="n">
        <v>3472762.47416589</v>
      </c>
      <c r="J17" s="13" t="n">
        <v>3549163.24859754</v>
      </c>
    </row>
    <row r="18" customFormat="false" ht="15" hidden="false" customHeight="true" outlineLevel="0" collapsed="false">
      <c r="B18" s="7" t="s">
        <v>517</v>
      </c>
      <c r="C18" s="13" t="n">
        <v>0</v>
      </c>
      <c r="D18" s="13" t="n">
        <v>7100743.0942289</v>
      </c>
      <c r="E18" s="13" t="n">
        <v>684353.866579156</v>
      </c>
      <c r="F18" s="13" t="n">
        <v>880322.212922906</v>
      </c>
      <c r="G18" s="13" t="n">
        <v>1038353.7410835</v>
      </c>
      <c r="H18" s="13" t="n">
        <v>1060918.74685869</v>
      </c>
      <c r="I18" s="13" t="n">
        <v>1083907.70312732</v>
      </c>
      <c r="J18" s="13" t="n">
        <v>1107402.41643386</v>
      </c>
    </row>
    <row r="19" customFormat="false" ht="15" hidden="false" customHeight="true" outlineLevel="0" collapsed="false">
      <c r="B19" s="11" t="s">
        <v>518</v>
      </c>
      <c r="C19" s="49" t="n">
        <v>0</v>
      </c>
      <c r="D19" s="49" t="n">
        <f aca="false">SUM(D16:D18)</f>
        <v>12531287.0481018</v>
      </c>
      <c r="E19" s="49" t="n">
        <f aca="false">SUM(E16:E18)</f>
        <v>5825683.23841341</v>
      </c>
      <c r="F19" s="49" t="n">
        <f aca="false">SUM(F16:F18)</f>
        <v>7680306.7828004</v>
      </c>
      <c r="G19" s="49" t="n">
        <f aca="false">SUM(G16:G18)</f>
        <v>9205730.54653412</v>
      </c>
      <c r="H19" s="49" t="n">
        <f aca="false">SUM(H16:H18)</f>
        <v>9439147.31590556</v>
      </c>
      <c r="I19" s="49" t="n">
        <f aca="false">SUM(I16:I18)</f>
        <v>9646423.0723617</v>
      </c>
      <c r="J19" s="49" t="n">
        <f aca="false">SUM(J16:J18)</f>
        <v>9858294.10174373</v>
      </c>
    </row>
    <row r="20" customFormat="false" ht="15" hidden="false" customHeight="true" outlineLevel="0" collapsed="false">
      <c r="B20" s="7" t="s">
        <v>519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</row>
    <row r="21" customFormat="false" ht="15" hidden="false" customHeight="true" outlineLevel="0" collapsed="false">
      <c r="B21" s="7" t="s">
        <v>520</v>
      </c>
      <c r="C21" s="13" t="n">
        <v>0</v>
      </c>
      <c r="D21" s="13" t="n">
        <v>146799.768692324</v>
      </c>
      <c r="E21" s="13" t="n">
        <v>154738.800873925</v>
      </c>
      <c r="F21" s="13" t="n">
        <v>158126.329257607</v>
      </c>
      <c r="G21" s="13" t="n">
        <v>161603.630751976</v>
      </c>
      <c r="H21" s="13" t="n">
        <v>165158.91062852</v>
      </c>
      <c r="I21" s="13" t="n">
        <v>168792.406662347</v>
      </c>
      <c r="J21" s="13" t="n">
        <v>172505.839608919</v>
      </c>
    </row>
    <row r="22" customFormat="false" ht="15" hidden="false" customHeight="true" outlineLevel="0" collapsed="false">
      <c r="B22" s="11" t="s">
        <v>521</v>
      </c>
      <c r="C22" s="49" t="n">
        <v>0</v>
      </c>
      <c r="D22" s="49" t="n">
        <f aca="false">D20+D21</f>
        <v>146799.768692324</v>
      </c>
      <c r="E22" s="49" t="n">
        <f aca="false">E20+E21</f>
        <v>154738.800873925</v>
      </c>
      <c r="F22" s="49" t="n">
        <f aca="false">F20+F21</f>
        <v>158126.329257607</v>
      </c>
      <c r="G22" s="49" t="n">
        <f aca="false">G20+G21</f>
        <v>161603.630751976</v>
      </c>
      <c r="H22" s="49" t="n">
        <f aca="false">H20+H21</f>
        <v>165158.91062852</v>
      </c>
      <c r="I22" s="49" t="n">
        <f aca="false">I20+I21</f>
        <v>168792.406662347</v>
      </c>
      <c r="J22" s="49" t="n">
        <f aca="false">J20+J21</f>
        <v>172505.839608919</v>
      </c>
    </row>
    <row r="23" customFormat="false" ht="15" hidden="false" customHeight="true" outlineLevel="0" collapsed="false">
      <c r="B23" s="15" t="s">
        <v>522</v>
      </c>
      <c r="C23" s="16" t="n">
        <v>0</v>
      </c>
      <c r="D23" s="16" t="n">
        <f aca="false">D19-D22</f>
        <v>12384487.2794094</v>
      </c>
      <c r="E23" s="16" t="n">
        <f aca="false">E19-E22</f>
        <v>5670944.43753948</v>
      </c>
      <c r="F23" s="16" t="n">
        <f aca="false">F19-F22</f>
        <v>7522180.45354279</v>
      </c>
      <c r="G23" s="16" t="n">
        <f aca="false">G19-G22</f>
        <v>9044126.91578214</v>
      </c>
      <c r="H23" s="16" t="n">
        <f aca="false">H19-H22</f>
        <v>9273988.40527704</v>
      </c>
      <c r="I23" s="16" t="n">
        <f aca="false">I19-I22</f>
        <v>9477630.66569935</v>
      </c>
      <c r="J23" s="16" t="n">
        <f aca="false">J19-J22</f>
        <v>9685788.26213481</v>
      </c>
    </row>
    <row r="25" customFormat="false" ht="15" hidden="false" customHeight="true" outlineLevel="0" collapsed="false">
      <c r="B25" s="27" t="s">
        <v>523</v>
      </c>
      <c r="C25" s="23"/>
      <c r="D25" s="23" t="n">
        <f aca="false">-(D23-C23)</f>
        <v>-12384487.2794094</v>
      </c>
      <c r="E25" s="23" t="n">
        <f aca="false">-(E23-D23)</f>
        <v>6713542.84186996</v>
      </c>
      <c r="F25" s="23" t="n">
        <f aca="false">-(F23-E23)</f>
        <v>-1851236.01600331</v>
      </c>
      <c r="G25" s="23" t="n">
        <f aca="false">-(G23-F23)</f>
        <v>-1521946.46223935</v>
      </c>
      <c r="H25" s="23" t="n">
        <f aca="false">-(H23-G23)</f>
        <v>-229861.489494896</v>
      </c>
      <c r="I25" s="23" t="n">
        <f aca="false">-(I23-H23)</f>
        <v>-203642.260422314</v>
      </c>
      <c r="J25" s="23" t="n">
        <f aca="false">-(J23-I23)</f>
        <v>-208157.596435457</v>
      </c>
    </row>
    <row r="26" customFormat="false" ht="15" hidden="false" customHeight="true" outlineLevel="0" collapsed="false">
      <c r="B26" s="7" t="s">
        <v>524</v>
      </c>
      <c r="C26" s="13"/>
      <c r="D26" s="13" t="n">
        <v>0</v>
      </c>
      <c r="E26" s="13" t="n">
        <v>0</v>
      </c>
      <c r="F26" s="13" t="n">
        <v>0</v>
      </c>
      <c r="G26" s="13" t="n">
        <v>-8.38190317153931E-009</v>
      </c>
      <c r="H26" s="13" t="n">
        <v>-1.11758708953857E-008</v>
      </c>
      <c r="I26" s="13" t="n">
        <v>-1.86264514923096E-009</v>
      </c>
      <c r="J26" s="13" t="n">
        <v>-5.58793544769287E-009</v>
      </c>
    </row>
    <row r="27" customFormat="false" ht="15" hidden="false" customHeight="true" outlineLevel="0" collapsed="false">
      <c r="B27" s="11" t="s">
        <v>525</v>
      </c>
      <c r="C27" s="49"/>
      <c r="D27" s="49" t="n">
        <f aca="false">D25+D26</f>
        <v>-12384487.2794094</v>
      </c>
      <c r="E27" s="49" t="n">
        <f aca="false">E25+E26</f>
        <v>6713542.84186996</v>
      </c>
      <c r="F27" s="49" t="n">
        <f aca="false">F25+F26</f>
        <v>-1851236.01600331</v>
      </c>
      <c r="G27" s="49" t="n">
        <f aca="false">G25+G26</f>
        <v>-1521946.46223936</v>
      </c>
      <c r="H27" s="49" t="n">
        <f aca="false">H25+H26</f>
        <v>-229861.489494907</v>
      </c>
      <c r="I27" s="49" t="n">
        <f aca="false">I25+I26</f>
        <v>-203642.260422315</v>
      </c>
      <c r="J27" s="49" t="n">
        <f aca="false">J25+J26</f>
        <v>-208157.596435463</v>
      </c>
    </row>
    <row r="29" customFormat="false" ht="15" hidden="false" customHeight="true" outlineLevel="0" collapsed="false">
      <c r="B29" s="4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2"/>
    <col collapsed="false" customWidth="true" hidden="false" outlineLevel="0" max="3" min="3" style="1" width="9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527</v>
      </c>
      <c r="K2" s="52" t="s">
        <v>528</v>
      </c>
    </row>
    <row r="3" customFormat="false" ht="15" hidden="false" customHeight="true" outlineLevel="0" collapsed="false">
      <c r="B3" s="53" t="s">
        <v>529</v>
      </c>
    </row>
    <row r="4" customFormat="false" ht="30" hidden="false" customHeight="true" outlineLevel="0" collapsed="false">
      <c r="B4" s="18" t="s">
        <v>42</v>
      </c>
      <c r="C4" s="19" t="s">
        <v>43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</row>
    <row r="5" customFormat="false" ht="15" hidden="false" customHeight="true" outlineLevel="0" collapsed="false">
      <c r="B5" s="6"/>
      <c r="C5" s="6"/>
      <c r="D5" s="18" t="s">
        <v>51</v>
      </c>
      <c r="E5" s="18" t="s">
        <v>52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</row>
    <row r="6" customFormat="false" ht="15" hidden="false" customHeight="true" outlineLevel="0" collapsed="false">
      <c r="B6" s="20" t="s">
        <v>477</v>
      </c>
      <c r="C6" s="21" t="s">
        <v>32</v>
      </c>
      <c r="D6" s="13" t="n">
        <f aca="false">ProfLoss!D6</f>
        <v>9058233.4074603</v>
      </c>
      <c r="E6" s="13" t="n">
        <f aca="false">ProfLoss!E6</f>
        <v>36777950.1176668</v>
      </c>
      <c r="F6" s="13" t="n">
        <f aca="false">ProfLoss!F6</f>
        <v>48825711.8142501</v>
      </c>
      <c r="G6" s="13" t="n">
        <f aca="false">ProfLoss!G6</f>
        <v>58917294.7663125</v>
      </c>
      <c r="H6" s="13" t="n">
        <f aca="false">ProfLoss!H6</f>
        <v>60592703.85</v>
      </c>
      <c r="I6" s="13" t="n">
        <f aca="false">ProfLoss!I6</f>
        <v>61925326.89</v>
      </c>
      <c r="J6" s="13" t="n">
        <f aca="false">ProfLoss!J6</f>
        <v>63287695.98</v>
      </c>
    </row>
    <row r="7" customFormat="false" ht="15" hidden="false" customHeight="true" outlineLevel="0" collapsed="false">
      <c r="B7" s="20" t="s">
        <v>480</v>
      </c>
      <c r="C7" s="21" t="s">
        <v>32</v>
      </c>
      <c r="D7" s="13" t="n">
        <f aca="false">-ProfLoss!D9</f>
        <v>-0</v>
      </c>
      <c r="E7" s="13" t="n">
        <f aca="false">-ProfLoss!E9</f>
        <v>-0</v>
      </c>
      <c r="F7" s="13" t="n">
        <f aca="false">-ProfLoss!F9</f>
        <v>-0</v>
      </c>
      <c r="G7" s="13" t="n">
        <f aca="false">-ProfLoss!G9</f>
        <v>-0</v>
      </c>
      <c r="H7" s="13" t="n">
        <f aca="false">-ProfLoss!H9</f>
        <v>-0</v>
      </c>
      <c r="I7" s="13" t="n">
        <f aca="false">-ProfLoss!I9</f>
        <v>-0</v>
      </c>
      <c r="J7" s="13" t="n">
        <f aca="false">-ProfLoss!J9</f>
        <v>-0</v>
      </c>
    </row>
    <row r="8" customFormat="false" ht="15" hidden="false" customHeight="true" outlineLevel="0" collapsed="false">
      <c r="B8" s="62" t="s">
        <v>481</v>
      </c>
      <c r="C8" s="21" t="s">
        <v>32</v>
      </c>
      <c r="D8" s="23" t="n">
        <f aca="false">D6+D7</f>
        <v>9058233.4074603</v>
      </c>
      <c r="E8" s="23" t="n">
        <f aca="false">E6+E7</f>
        <v>36777950.1176668</v>
      </c>
      <c r="F8" s="23" t="n">
        <f aca="false">F6+F7</f>
        <v>48825711.8142501</v>
      </c>
      <c r="G8" s="23" t="n">
        <f aca="false">G6+G7</f>
        <v>58917294.7663125</v>
      </c>
      <c r="H8" s="23" t="n">
        <f aca="false">H6+H7</f>
        <v>60592703.85</v>
      </c>
      <c r="I8" s="23" t="n">
        <f aca="false">I6+I7</f>
        <v>61925326.89</v>
      </c>
      <c r="J8" s="23" t="n">
        <f aca="false">J6+J7</f>
        <v>63287695.98</v>
      </c>
    </row>
    <row r="9" customFormat="false" ht="15" hidden="false" customHeight="true" outlineLevel="0" collapsed="false">
      <c r="B9" s="20" t="s">
        <v>530</v>
      </c>
      <c r="C9" s="21" t="s">
        <v>32</v>
      </c>
      <c r="D9" s="13" t="n">
        <f aca="false">WorkCap!D27</f>
        <v>-12384487.2794094</v>
      </c>
      <c r="E9" s="13" t="n">
        <f aca="false">WorkCap!E27</f>
        <v>6713542.84186996</v>
      </c>
      <c r="F9" s="13" t="n">
        <f aca="false">WorkCap!F27</f>
        <v>-1851236.01600331</v>
      </c>
      <c r="G9" s="13" t="n">
        <f aca="false">WorkCap!G27</f>
        <v>-1521946.46223936</v>
      </c>
      <c r="H9" s="13" t="n">
        <f aca="false">WorkCap!H27</f>
        <v>-229861.489494907</v>
      </c>
      <c r="I9" s="13" t="n">
        <f aca="false">WorkCap!I27</f>
        <v>-203642.260422315</v>
      </c>
      <c r="J9" s="13" t="n">
        <f aca="false">WorkCap!J27</f>
        <v>-208157.596435463</v>
      </c>
    </row>
    <row r="10" customFormat="false" ht="15" hidden="false" customHeight="true" outlineLevel="0" collapsed="false">
      <c r="B10" s="70" t="s">
        <v>531</v>
      </c>
      <c r="C10" s="59" t="s">
        <v>32</v>
      </c>
      <c r="D10" s="49" t="n">
        <f aca="false">D8+D9</f>
        <v>-3326253.87194913</v>
      </c>
      <c r="E10" s="49" t="n">
        <f aca="false">E8+E9</f>
        <v>43491492.9595367</v>
      </c>
      <c r="F10" s="49" t="n">
        <f aca="false">F8+F9</f>
        <v>46974475.7982468</v>
      </c>
      <c r="G10" s="49" t="n">
        <f aca="false">G8+G9</f>
        <v>57395348.3040731</v>
      </c>
      <c r="H10" s="49" t="n">
        <f aca="false">H8+H9</f>
        <v>60362842.3605051</v>
      </c>
      <c r="I10" s="49" t="n">
        <f aca="false">I8+I9</f>
        <v>61721684.6295777</v>
      </c>
      <c r="J10" s="49" t="n">
        <f aca="false">J8+J9</f>
        <v>63079538.3835645</v>
      </c>
    </row>
    <row r="11" customFormat="false" ht="15" hidden="false" customHeight="true" outlineLevel="0" collapsed="false">
      <c r="B11" s="20" t="s">
        <v>426</v>
      </c>
      <c r="C11" s="21" t="s">
        <v>32</v>
      </c>
      <c r="D11" s="13" t="n">
        <f aca="false">-ProfLoss!D11</f>
        <v>-3983085.34769568</v>
      </c>
      <c r="E11" s="13" t="n">
        <f aca="false">-ProfLoss!E11</f>
        <v>-22748393.2278882</v>
      </c>
      <c r="F11" s="13" t="n">
        <f aca="false">-ProfLoss!F11</f>
        <v>-28767725.6070918</v>
      </c>
      <c r="G11" s="13" t="n">
        <f aca="false">-ProfLoss!G11</f>
        <v>-33957554.4079507</v>
      </c>
      <c r="H11" s="13" t="n">
        <f aca="false">-ProfLoss!H11</f>
        <v>-35013223.0766929</v>
      </c>
      <c r="I11" s="13" t="n">
        <f aca="false">-ProfLoss!I11</f>
        <v>-35782806.1656104</v>
      </c>
      <c r="J11" s="13" t="n">
        <f aca="false">-ProfLoss!J11</f>
        <v>-36568132.9667505</v>
      </c>
    </row>
    <row r="12" customFormat="false" ht="15" hidden="false" customHeight="true" outlineLevel="0" collapsed="false">
      <c r="B12" s="70" t="s">
        <v>532</v>
      </c>
      <c r="C12" s="59" t="s">
        <v>32</v>
      </c>
      <c r="D12" s="49" t="n">
        <f aca="false">D10+D11</f>
        <v>-7309339.21964481</v>
      </c>
      <c r="E12" s="49" t="n">
        <f aca="false">E10+E11</f>
        <v>20743099.7316485</v>
      </c>
      <c r="F12" s="49" t="n">
        <f aca="false">F10+F11</f>
        <v>18206750.191155</v>
      </c>
      <c r="G12" s="49" t="n">
        <f aca="false">G10+G11</f>
        <v>23437793.8961224</v>
      </c>
      <c r="H12" s="49" t="n">
        <f aca="false">H10+H11</f>
        <v>25349619.2838122</v>
      </c>
      <c r="I12" s="49" t="n">
        <f aca="false">I10+I11</f>
        <v>25938878.4639673</v>
      </c>
      <c r="J12" s="49" t="n">
        <f aca="false">J10+J11</f>
        <v>26511405.416814</v>
      </c>
    </row>
    <row r="13" customFormat="false" ht="15" hidden="false" customHeight="true" outlineLevel="0" collapsed="false">
      <c r="B13" s="20" t="s">
        <v>533</v>
      </c>
      <c r="C13" s="21" t="s">
        <v>32</v>
      </c>
      <c r="D13" s="13" t="n">
        <f aca="false">-ProfLoss!D15</f>
        <v>-3408308.88670231</v>
      </c>
      <c r="E13" s="13" t="n">
        <f aca="false">-ProfLoss!E15</f>
        <v>-4496685.29235882</v>
      </c>
      <c r="F13" s="13" t="n">
        <f aca="false">-ProfLoss!F15</f>
        <v>-4875678.23855023</v>
      </c>
      <c r="G13" s="13" t="n">
        <f aca="false">-ProfLoss!G15</f>
        <v>-5197583.11160321</v>
      </c>
      <c r="H13" s="13" t="n">
        <f aca="false">-ProfLoss!H15</f>
        <v>-5304925.75541789</v>
      </c>
      <c r="I13" s="13" t="n">
        <f aca="false">-ProfLoss!I15</f>
        <v>-5412731.71217887</v>
      </c>
      <c r="J13" s="13" t="n">
        <f aca="false">-ProfLoss!J15</f>
        <v>-5522911.54170418</v>
      </c>
    </row>
    <row r="14" customFormat="false" ht="15" hidden="false" customHeight="true" outlineLevel="0" collapsed="false">
      <c r="B14" s="20" t="s">
        <v>486</v>
      </c>
      <c r="C14" s="21" t="s">
        <v>32</v>
      </c>
      <c r="D14" s="13" t="n">
        <f aca="false">-ProfLoss!D16</f>
        <v>-1602669.364891</v>
      </c>
      <c r="E14" s="13" t="n">
        <f aca="false">-ProfLoss!E16</f>
        <v>-1008756.46261634</v>
      </c>
      <c r="F14" s="13" t="n">
        <f aca="false">-ProfLoss!F16</f>
        <v>-1131203.58959987</v>
      </c>
      <c r="G14" s="13" t="n">
        <f aca="false">-ProfLoss!G16</f>
        <v>-1228090.38071048</v>
      </c>
      <c r="H14" s="13" t="n">
        <f aca="false">-ProfLoss!H16</f>
        <v>-1233680.2107889</v>
      </c>
      <c r="I14" s="13" t="n">
        <f aca="false">-ProfLoss!I16</f>
        <v>-1239587.86198406</v>
      </c>
      <c r="J14" s="13" t="n">
        <f aca="false">-ProfLoss!J16</f>
        <v>-1245858.33369917</v>
      </c>
    </row>
    <row r="15" customFormat="false" ht="15" hidden="false" customHeight="true" outlineLevel="0" collapsed="false">
      <c r="B15" s="20" t="s">
        <v>534</v>
      </c>
      <c r="C15" s="21" t="s">
        <v>32</v>
      </c>
      <c r="D15" s="13" t="n">
        <f aca="false">-ProjCost!$E$17</f>
        <v>-1194254.06524685</v>
      </c>
      <c r="E15" s="13" t="n">
        <f aca="false">0</f>
        <v>0</v>
      </c>
      <c r="F15" s="13" t="n">
        <f aca="false">0</f>
        <v>0</v>
      </c>
      <c r="G15" s="13" t="n">
        <f aca="false">0</f>
        <v>0</v>
      </c>
      <c r="H15" s="13" t="n">
        <f aca="false">0</f>
        <v>0</v>
      </c>
      <c r="I15" s="13" t="n">
        <f aca="false">0</f>
        <v>0</v>
      </c>
      <c r="J15" s="13" t="n">
        <f aca="false">0</f>
        <v>0</v>
      </c>
    </row>
    <row r="16" customFormat="false" ht="15" hidden="false" customHeight="true" outlineLevel="0" collapsed="false">
      <c r="B16" s="20" t="s">
        <v>378</v>
      </c>
      <c r="C16" s="21" t="s">
        <v>32</v>
      </c>
      <c r="D16" s="13" t="n">
        <f aca="false">-ProfLoss!D21</f>
        <v>-9625.47122569673</v>
      </c>
      <c r="E16" s="13" t="n">
        <f aca="false">-ProfLoss!E21</f>
        <v>-1099291.04294347</v>
      </c>
      <c r="F16" s="13" t="n">
        <f aca="false">-ProfLoss!F21</f>
        <v>-1961140.4913647</v>
      </c>
      <c r="G16" s="13" t="n">
        <f aca="false">-ProfLoss!G21</f>
        <v>-2665862.70100625</v>
      </c>
      <c r="H16" s="13" t="n">
        <f aca="false">-ProfLoss!H21</f>
        <v>-2774161.72874966</v>
      </c>
      <c r="I16" s="13" t="n">
        <f aca="false">-ProfLoss!I21</f>
        <v>-2873669.02131528</v>
      </c>
      <c r="J16" s="13" t="n">
        <f aca="false">-ProfLoss!J21</f>
        <v>-2975205.15153269</v>
      </c>
    </row>
    <row r="17" customFormat="false" ht="15" hidden="false" customHeight="true" outlineLevel="0" collapsed="false">
      <c r="B17" s="20" t="s">
        <v>535</v>
      </c>
      <c r="C17" s="21" t="s">
        <v>32</v>
      </c>
      <c r="D17" s="13" t="n">
        <f aca="false">Depreciate!$G$18</f>
        <v>667279.127619552</v>
      </c>
      <c r="E17" s="13" t="n">
        <f aca="false">Depreciate!$H$18</f>
        <v>2727572.96705559</v>
      </c>
      <c r="F17" s="13" t="n">
        <f aca="false">Depreciate!$I$18</f>
        <v>2781532.77312702</v>
      </c>
      <c r="G17" s="13" t="n">
        <f aca="false">Depreciate!$J$18</f>
        <v>2835492.57919845</v>
      </c>
      <c r="H17" s="13" t="n">
        <f aca="false">Depreciate!$K$18</f>
        <v>2889452.38526988</v>
      </c>
      <c r="I17" s="13" t="n">
        <f aca="false">Depreciate!$L$18</f>
        <v>2943412.19134131</v>
      </c>
      <c r="J17" s="13" t="n">
        <f aca="false">Depreciate!$M$18</f>
        <v>2997371.99741274</v>
      </c>
    </row>
    <row r="18" customFormat="false" ht="15" hidden="false" customHeight="true" outlineLevel="0" collapsed="false">
      <c r="B18" s="39" t="s">
        <v>61</v>
      </c>
      <c r="C18" s="63" t="s">
        <v>32</v>
      </c>
      <c r="D18" s="16" t="n">
        <f aca="false">SUM(D12:D17)</f>
        <v>-12856917.8800911</v>
      </c>
      <c r="E18" s="16" t="n">
        <f aca="false">SUM(E12:E17)</f>
        <v>16865939.9007855</v>
      </c>
      <c r="F18" s="16" t="n">
        <f aca="false">SUM(F12:F17)</f>
        <v>13020260.6447673</v>
      </c>
      <c r="G18" s="16" t="n">
        <f aca="false">SUM(G12:G17)</f>
        <v>17181750.2820009</v>
      </c>
      <c r="H18" s="16" t="n">
        <f aca="false">SUM(H12:H17)</f>
        <v>18926303.9741256</v>
      </c>
      <c r="I18" s="16" t="n">
        <f aca="false">SUM(I12:I17)</f>
        <v>19356302.0598304</v>
      </c>
      <c r="J18" s="16" t="n">
        <f aca="false">SUM(J12:J17)</f>
        <v>19764802.3872907</v>
      </c>
    </row>
    <row r="19" customFormat="false" ht="15" hidden="false" customHeight="true" outlineLevel="0" collapsed="false">
      <c r="B19" s="20" t="s">
        <v>536</v>
      </c>
      <c r="C19" s="21" t="s">
        <v>32</v>
      </c>
      <c r="D19" s="13" t="n">
        <f aca="false">FinPlan!$E$10</f>
        <v>50954664.568307</v>
      </c>
      <c r="E19" s="13" t="n">
        <f aca="false">0</f>
        <v>0</v>
      </c>
      <c r="F19" s="13" t="n">
        <f aca="false">0</f>
        <v>0</v>
      </c>
      <c r="G19" s="13" t="n">
        <f aca="false">0</f>
        <v>0</v>
      </c>
      <c r="H19" s="13" t="n">
        <f aca="false">0</f>
        <v>0</v>
      </c>
      <c r="I19" s="13" t="n">
        <f aca="false">0</f>
        <v>0</v>
      </c>
      <c r="J19" s="13" t="n">
        <f aca="false">0</f>
        <v>0</v>
      </c>
    </row>
    <row r="20" customFormat="false" ht="15" hidden="false" customHeight="true" outlineLevel="0" collapsed="false">
      <c r="B20" s="20" t="s">
        <v>537</v>
      </c>
      <c r="C20" s="21" t="s">
        <v>32</v>
      </c>
      <c r="D20" s="13" t="n">
        <f aca="false">LOANS!$C$104</f>
        <v>18191813.9660399</v>
      </c>
      <c r="E20" s="13" t="n">
        <f aca="false">LOANS!$D$104</f>
        <v>0</v>
      </c>
      <c r="F20" s="13" t="n">
        <f aca="false">LOANS!$E$104</f>
        <v>0</v>
      </c>
      <c r="G20" s="13" t="n">
        <f aca="false">LOANS!$F$104</f>
        <v>0</v>
      </c>
      <c r="H20" s="13" t="n">
        <f aca="false">LOANS!$G$104</f>
        <v>0</v>
      </c>
      <c r="I20" s="13" t="n">
        <f aca="false">LOANS!$H$104</f>
        <v>0</v>
      </c>
      <c r="J20" s="13" t="n">
        <f aca="false">LOANS!$I$104</f>
        <v>0</v>
      </c>
    </row>
    <row r="21" customFormat="false" ht="15" hidden="false" customHeight="true" outlineLevel="0" collapsed="false">
      <c r="B21" s="20" t="s">
        <v>538</v>
      </c>
      <c r="C21" s="21" t="s">
        <v>32</v>
      </c>
      <c r="D21" s="13" t="n">
        <v>-54094705.5866071</v>
      </c>
      <c r="E21" s="13" t="n">
        <v>-539598.060714286</v>
      </c>
      <c r="F21" s="13" t="n">
        <v>-539598.060714286</v>
      </c>
      <c r="G21" s="13" t="n">
        <v>-539598.060714286</v>
      </c>
      <c r="H21" s="13" t="n">
        <v>-539598.060714286</v>
      </c>
      <c r="I21" s="13" t="n">
        <v>-539598.060714286</v>
      </c>
      <c r="J21" s="13" t="n">
        <v>-539598.060714286</v>
      </c>
    </row>
    <row r="22" customFormat="false" ht="15" hidden="false" customHeight="true" outlineLevel="0" collapsed="false">
      <c r="B22" s="20" t="s">
        <v>539</v>
      </c>
      <c r="C22" s="21" t="s">
        <v>32</v>
      </c>
      <c r="D22" s="13" t="n">
        <f aca="false">-ProfLoss!D19</f>
        <v>-0</v>
      </c>
      <c r="E22" s="13" t="n">
        <f aca="false">-ProfLoss!E19</f>
        <v>-1195508.18184696</v>
      </c>
      <c r="F22" s="13" t="n">
        <f aca="false">-ProfLoss!F19</f>
        <v>-976834.436576932</v>
      </c>
      <c r="G22" s="13" t="n">
        <f aca="false">-ProfLoss!G19</f>
        <v>-761648.859339746</v>
      </c>
      <c r="H22" s="13" t="n">
        <f aca="false">-ProfLoss!H19</f>
        <v>-546463.282102561</v>
      </c>
      <c r="I22" s="13" t="n">
        <f aca="false">-ProfLoss!I19</f>
        <v>-332407.674791507</v>
      </c>
      <c r="J22" s="13" t="n">
        <f aca="false">-ProfLoss!J19</f>
        <v>-116092.12762819</v>
      </c>
    </row>
    <row r="23" customFormat="false" ht="23.25" hidden="false" customHeight="true" outlineLevel="0" collapsed="false">
      <c r="B23" s="20" t="s">
        <v>540</v>
      </c>
      <c r="C23" s="21" t="s">
        <v>32</v>
      </c>
      <c r="D23" s="13" t="n">
        <f aca="false">-LOANS!$C$106</f>
        <v>-1291113.46342311</v>
      </c>
      <c r="E23" s="13" t="n">
        <f aca="false">0</f>
        <v>0</v>
      </c>
      <c r="F23" s="13" t="n">
        <f aca="false">0</f>
        <v>0</v>
      </c>
      <c r="G23" s="13" t="n">
        <f aca="false">0</f>
        <v>0</v>
      </c>
      <c r="H23" s="13" t="n">
        <f aca="false">0</f>
        <v>0</v>
      </c>
      <c r="I23" s="13" t="n">
        <f aca="false">0</f>
        <v>0</v>
      </c>
      <c r="J23" s="13" t="n">
        <f aca="false">0</f>
        <v>0</v>
      </c>
    </row>
    <row r="24" customFormat="false" ht="15" hidden="false" customHeight="true" outlineLevel="0" collapsed="false">
      <c r="B24" s="70" t="s">
        <v>541</v>
      </c>
      <c r="C24" s="59" t="s">
        <v>32</v>
      </c>
      <c r="D24" s="49" t="n">
        <f aca="false">D18+D19+D20+D21+D22+D23</f>
        <v>903741.604225626</v>
      </c>
      <c r="E24" s="49" t="n">
        <f aca="false">E18+E19+E20+E21+E22+E23</f>
        <v>15130833.6582242</v>
      </c>
      <c r="F24" s="49" t="n">
        <f aca="false">F18+F19+F20+F21+F22+F23</f>
        <v>11503828.147476</v>
      </c>
      <c r="G24" s="49" t="n">
        <f aca="false">G18+G19+G20+G21+G22+G23</f>
        <v>15880503.3619469</v>
      </c>
      <c r="H24" s="49" t="n">
        <f aca="false">H18+H19+H20+H21+H22+H23</f>
        <v>17840242.6313088</v>
      </c>
      <c r="I24" s="49" t="n">
        <f aca="false">I18+I19+I20+I21+I22+I23</f>
        <v>18484296.3243246</v>
      </c>
      <c r="J24" s="49" t="n">
        <f aca="false">J18+J19+J20+J21+J22+J23</f>
        <v>19109112.1989483</v>
      </c>
    </row>
    <row r="25" customFormat="false" ht="15" hidden="false" customHeight="true" outlineLevel="0" collapsed="false">
      <c r="B25" s="20" t="s">
        <v>542</v>
      </c>
      <c r="C25" s="21" t="s">
        <v>32</v>
      </c>
      <c r="D25" s="13" t="n">
        <f aca="false">-LOANS!$C$105</f>
        <v>-0</v>
      </c>
      <c r="E25" s="13" t="n">
        <f aca="false">-LOANS!$D$105</f>
        <v>-3031968.99433999</v>
      </c>
      <c r="F25" s="13" t="n">
        <f aca="false">-LOANS!$E$105</f>
        <v>-3031968.99433999</v>
      </c>
      <c r="G25" s="13" t="n">
        <f aca="false">-LOANS!$F$105</f>
        <v>-3031968.99433999</v>
      </c>
      <c r="H25" s="13" t="n">
        <f aca="false">-LOANS!$G$105</f>
        <v>-3031968.99433999</v>
      </c>
      <c r="I25" s="13" t="n">
        <f aca="false">-LOANS!$H$105</f>
        <v>-3031968.99433999</v>
      </c>
      <c r="J25" s="13" t="n">
        <f aca="false">-LOANS!$I$105</f>
        <v>-3031968.99433999</v>
      </c>
    </row>
    <row r="26" customFormat="false" ht="15" hidden="false" customHeight="true" outlineLevel="0" collapsed="false">
      <c r="B26" s="39" t="s">
        <v>63</v>
      </c>
      <c r="C26" s="63" t="s">
        <v>32</v>
      </c>
      <c r="D26" s="16" t="n">
        <f aca="false">D24+D25</f>
        <v>903741.604225626</v>
      </c>
      <c r="E26" s="16" t="n">
        <f aca="false">E24+E25</f>
        <v>12098864.6638843</v>
      </c>
      <c r="F26" s="16" t="n">
        <f aca="false">F24+F25</f>
        <v>8471859.15313605</v>
      </c>
      <c r="G26" s="16" t="n">
        <f aca="false">G24+G25</f>
        <v>12848534.3676069</v>
      </c>
      <c r="H26" s="16" t="n">
        <f aca="false">H24+H25</f>
        <v>14808273.6369688</v>
      </c>
      <c r="I26" s="16" t="n">
        <f aca="false">I24+I25</f>
        <v>15452327.3299846</v>
      </c>
      <c r="J26" s="16" t="n">
        <f aca="false">J24+J25</f>
        <v>16077143.2046083</v>
      </c>
    </row>
    <row r="27" customFormat="false" ht="15" hidden="false" customHeight="true" outlineLevel="0" collapsed="false">
      <c r="B27" s="62" t="s">
        <v>64</v>
      </c>
      <c r="C27" s="21" t="s">
        <v>32</v>
      </c>
      <c r="D27" s="23" t="n">
        <f aca="false">D26</f>
        <v>903741.604225626</v>
      </c>
      <c r="E27" s="23" t="n">
        <f aca="false">D27+E26</f>
        <v>13002606.2681099</v>
      </c>
      <c r="F27" s="23" t="n">
        <f aca="false">E27+F26</f>
        <v>21474465.4212459</v>
      </c>
      <c r="G27" s="23" t="n">
        <f aca="false">F27+G26</f>
        <v>34322999.7888528</v>
      </c>
      <c r="H27" s="23" t="n">
        <f aca="false">G27+H26</f>
        <v>49131273.4258216</v>
      </c>
      <c r="I27" s="23" t="n">
        <f aca="false">H27+I26</f>
        <v>64583600.7558062</v>
      </c>
      <c r="J27" s="23" t="n">
        <f aca="false">I27+J26</f>
        <v>80660743.9604145</v>
      </c>
    </row>
    <row r="29" customFormat="false" ht="15" hidden="false" customHeight="true" outlineLevel="0" collapsed="false">
      <c r="B29" s="20" t="s">
        <v>543</v>
      </c>
      <c r="C29" s="21" t="s">
        <v>66</v>
      </c>
      <c r="D29" s="22" t="str">
        <f aca="false">"-"</f>
        <v>-</v>
      </c>
      <c r="E29" s="22" t="n">
        <f aca="false">IFERROR(E18/-(E22+E25),0)</f>
        <v>3.9895992805804</v>
      </c>
      <c r="F29" s="22" t="n">
        <f aca="false">IFERROR(F18/-(F22+F25),0)</f>
        <v>3.24791695805079</v>
      </c>
      <c r="G29" s="22" t="n">
        <f aca="false">IFERROR(G18/-(G22+G25),0)</f>
        <v>4.52911994425979</v>
      </c>
      <c r="H29" s="22" t="n">
        <f aca="false">IFERROR(H18/-(H22+H25),0)</f>
        <v>5.28899319926237</v>
      </c>
      <c r="I29" s="22" t="n">
        <f aca="false">IFERROR(I18/-(I22+I25),0)</f>
        <v>5.75331003731731</v>
      </c>
      <c r="J29" s="22" t="n">
        <f aca="false">IFERROR(J18/-(J22+J25),0)</f>
        <v>6.27840490432844</v>
      </c>
    </row>
    <row r="30" customFormat="false" ht="15" hidden="false" customHeight="true" outlineLevel="0" collapsed="false">
      <c r="B30" s="20" t="s">
        <v>544</v>
      </c>
      <c r="C30" s="21" t="s">
        <v>66</v>
      </c>
      <c r="D30" s="22" t="str">
        <f aca="false">"-"</f>
        <v>-</v>
      </c>
      <c r="E30" s="22" t="n">
        <f aca="false">IFERROR((E18+E21)/-(E22+E25),0)</f>
        <v>3.86195860075513</v>
      </c>
      <c r="F30" s="22" t="n">
        <f aca="false">IFERROR((F18+F21)/-(F22+F25),0)</f>
        <v>3.11331368552493</v>
      </c>
      <c r="G30" s="22" t="n">
        <f aca="false">IFERROR((G18+G21)/-(G22+G25),0)</f>
        <v>4.38688156350383</v>
      </c>
      <c r="H30" s="22" t="n">
        <f aca="false">IFERROR((H18+H21)/-(H22+H25),0)</f>
        <v>5.13820145052185</v>
      </c>
      <c r="I30" s="22" t="n">
        <f aca="false">IFERROR((I18+I21)/-(I22+I25),0)</f>
        <v>5.59292429167083</v>
      </c>
      <c r="J30" s="22" t="n">
        <f aca="false">IFERROR((J18+J21)/-(J22+J25),0)</f>
        <v>6.1069984291019</v>
      </c>
    </row>
    <row r="31" customFormat="false" ht="15" hidden="false" customHeight="true" outlineLevel="0" collapsed="false">
      <c r="B31" s="27" t="s">
        <v>545</v>
      </c>
      <c r="D31" s="75" t="n">
        <f aca="false">MIN(E30:J30)</f>
        <v>3.11331368552493</v>
      </c>
    </row>
    <row r="32" customFormat="false" ht="15" hidden="false" customHeight="true" outlineLevel="0" collapsed="false">
      <c r="B32" s="27" t="s">
        <v>546</v>
      </c>
      <c r="D32" s="75" t="n">
        <f aca="false">AVERAGE(E30:J30)</f>
        <v>4.70004633684641</v>
      </c>
    </row>
    <row r="34" customFormat="false" ht="15" hidden="false" customHeight="true" outlineLevel="0" collapsed="false">
      <c r="B34" s="4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8"/>
    <col collapsed="false" customWidth="true" hidden="false" outlineLevel="0" max="4" min="4" style="1" width="40"/>
  </cols>
  <sheetData>
    <row r="2" customFormat="false" ht="15" hidden="false" customHeight="true" outlineLevel="0" collapsed="false">
      <c r="B2" s="3" t="s">
        <v>548</v>
      </c>
      <c r="D2" s="52" t="s">
        <v>549</v>
      </c>
    </row>
    <row r="4" customFormat="false" ht="15" hidden="false" customHeight="true" outlineLevel="0" collapsed="false">
      <c r="B4" s="27" t="s">
        <v>550</v>
      </c>
      <c r="C4" s="23" t="n">
        <f aca="false">CostTotal!C26</f>
        <v>58917294.7663125</v>
      </c>
    </row>
    <row r="5" customFormat="false" ht="15" hidden="false" customHeight="true" outlineLevel="0" collapsed="false">
      <c r="B5" s="7" t="s">
        <v>198</v>
      </c>
      <c r="C5" s="13" t="n">
        <f aca="false">SalePlan!G16</f>
        <v>0</v>
      </c>
    </row>
    <row r="6" customFormat="false" ht="15" hidden="false" customHeight="true" outlineLevel="0" collapsed="false">
      <c r="B6" s="7" t="s">
        <v>199</v>
      </c>
      <c r="C6" s="13" t="n">
        <f aca="false">SalePlan!G10</f>
        <v>58917294.7663125</v>
      </c>
    </row>
    <row r="7" customFormat="false" ht="15" hidden="false" customHeight="true" outlineLevel="0" collapsed="false">
      <c r="B7" s="7" t="s">
        <v>386</v>
      </c>
      <c r="C7" s="13" t="n">
        <f aca="false">CostTotal!F22</f>
        <v>9798442.05271821</v>
      </c>
    </row>
    <row r="8" customFormat="false" ht="15" hidden="false" customHeight="true" outlineLevel="0" collapsed="false">
      <c r="B8" s="7" t="s">
        <v>387</v>
      </c>
      <c r="C8" s="13" t="n">
        <f aca="false">CostTotal!G22</f>
        <v>30933665.5110182</v>
      </c>
    </row>
    <row r="9" customFormat="false" ht="15" hidden="false" customHeight="true" outlineLevel="0" collapsed="false">
      <c r="B9" s="7" t="s">
        <v>551</v>
      </c>
      <c r="C9" s="13" t="n">
        <f aca="false">C4-C8</f>
        <v>27983629.2552943</v>
      </c>
    </row>
    <row r="10" customFormat="false" ht="15" hidden="false" customHeight="true" outlineLevel="0" collapsed="false">
      <c r="B10" s="27" t="s">
        <v>552</v>
      </c>
      <c r="C10" s="24" t="n">
        <f aca="false">IFERROR(C7/C9,0)</f>
        <v>0.350149080497285</v>
      </c>
    </row>
    <row r="11" customFormat="false" ht="15" hidden="false" customHeight="true" outlineLevel="0" collapsed="false">
      <c r="B11" s="7" t="s">
        <v>553</v>
      </c>
      <c r="C11" s="13" t="n">
        <f aca="false">C10*C4</f>
        <v>20629836.5878118</v>
      </c>
    </row>
    <row r="12" customFormat="false" ht="15" hidden="false" customHeight="true" outlineLevel="0" collapsed="false">
      <c r="B12" s="7" t="s">
        <v>554</v>
      </c>
      <c r="C12" s="61" t="n">
        <f aca="false">C10*ProdPlan!G17</f>
        <v>694.37013706175</v>
      </c>
      <c r="D12" s="71" t="s">
        <v>241</v>
      </c>
    </row>
    <row r="13" customFormat="false" ht="15" hidden="false" customHeight="true" outlineLevel="0" collapsed="false">
      <c r="B13" s="7" t="s">
        <v>555</v>
      </c>
      <c r="C13" s="14" t="n">
        <f aca="false">1-C10</f>
        <v>0.649850919502715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0"/>
    <col collapsed="false" customWidth="true" hidden="false" outlineLevel="0" max="11" min="4" style="1" width="16"/>
  </cols>
  <sheetData>
    <row r="2" customFormat="false" ht="15" hidden="false" customHeight="true" outlineLevel="0" collapsed="false">
      <c r="B2" s="3" t="s">
        <v>556</v>
      </c>
    </row>
    <row r="3" customFormat="false" ht="15" hidden="false" customHeight="true" outlineLevel="0" collapsed="false">
      <c r="B3" s="53" t="s">
        <v>557</v>
      </c>
    </row>
    <row r="4" customFormat="false" ht="30" hidden="false" customHeight="true" outlineLevel="0" collapsed="false">
      <c r="B4" s="18" t="s">
        <v>42</v>
      </c>
      <c r="C4" s="19" t="s">
        <v>43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</row>
    <row r="5" customFormat="false" ht="15" hidden="false" customHeight="true" outlineLevel="0" collapsed="false">
      <c r="B5" s="6"/>
      <c r="C5" s="6"/>
      <c r="D5" s="18" t="s">
        <v>51</v>
      </c>
      <c r="E5" s="18" t="s">
        <v>52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</row>
    <row r="6" customFormat="false" ht="15" hidden="false" customHeight="true" outlineLevel="0" collapsed="false">
      <c r="B6" s="20" t="s">
        <v>558</v>
      </c>
      <c r="C6" s="21"/>
      <c r="D6" s="58" t="n">
        <v>1</v>
      </c>
      <c r="E6" s="58" t="n">
        <v>2</v>
      </c>
      <c r="F6" s="58" t="n">
        <v>3</v>
      </c>
      <c r="G6" s="58" t="n">
        <v>4</v>
      </c>
      <c r="H6" s="58" t="n">
        <v>5</v>
      </c>
      <c r="I6" s="58" t="n">
        <v>6</v>
      </c>
      <c r="J6" s="58" t="n">
        <v>7</v>
      </c>
    </row>
    <row r="7" customFormat="false" ht="15" hidden="false" customHeight="true" outlineLevel="0" collapsed="false">
      <c r="B7" s="20" t="s">
        <v>61</v>
      </c>
      <c r="C7" s="21" t="s">
        <v>32</v>
      </c>
      <c r="D7" s="13" t="n">
        <f aca="false">CashFlow!D18</f>
        <v>-12856917.8800911</v>
      </c>
      <c r="E7" s="13" t="n">
        <f aca="false">CashFlow!E18</f>
        <v>16865939.9007855</v>
      </c>
      <c r="F7" s="13" t="n">
        <f aca="false">CashFlow!F18</f>
        <v>13020260.6447673</v>
      </c>
      <c r="G7" s="13" t="n">
        <f aca="false">CashFlow!G18</f>
        <v>17181750.2820009</v>
      </c>
      <c r="H7" s="13" t="n">
        <f aca="false">CashFlow!H18</f>
        <v>18926303.9741256</v>
      </c>
      <c r="I7" s="13" t="n">
        <f aca="false">CashFlow!I18</f>
        <v>19356302.0598304</v>
      </c>
      <c r="J7" s="13" t="n">
        <f aca="false">CashFlow!J18</f>
        <v>19764802.3872907</v>
      </c>
    </row>
    <row r="8" customFormat="false" ht="15" hidden="false" customHeight="true" outlineLevel="0" collapsed="false">
      <c r="B8" s="20" t="s">
        <v>559</v>
      </c>
      <c r="C8" s="21" t="s">
        <v>32</v>
      </c>
      <c r="D8" s="13" t="n">
        <f aca="false">CashFlow!D21</f>
        <v>-54094705.5866071</v>
      </c>
      <c r="E8" s="13" t="n">
        <f aca="false">CashFlow!E21</f>
        <v>-539598.060714286</v>
      </c>
      <c r="F8" s="13" t="n">
        <f aca="false">CashFlow!F21</f>
        <v>-539598.060714286</v>
      </c>
      <c r="G8" s="13" t="n">
        <f aca="false">CashFlow!G21</f>
        <v>-539598.060714286</v>
      </c>
      <c r="H8" s="13" t="n">
        <f aca="false">CashFlow!H21</f>
        <v>-539598.060714286</v>
      </c>
      <c r="I8" s="13" t="n">
        <f aca="false">CashFlow!I21</f>
        <v>-539598.060714286</v>
      </c>
      <c r="J8" s="13" t="n">
        <f aca="false">CashFlow!J21</f>
        <v>-539598.060714286</v>
      </c>
    </row>
    <row r="9" customFormat="false" ht="15" hidden="false" customHeight="true" outlineLevel="0" collapsed="false">
      <c r="B9" s="70" t="s">
        <v>560</v>
      </c>
      <c r="C9" s="59" t="s">
        <v>32</v>
      </c>
      <c r="D9" s="49" t="n">
        <f aca="false">D7+D8</f>
        <v>-66951623.4666982</v>
      </c>
      <c r="E9" s="49" t="n">
        <f aca="false">E7+E8</f>
        <v>16326341.8400712</v>
      </c>
      <c r="F9" s="49" t="n">
        <f aca="false">F7+F8</f>
        <v>12480662.584053</v>
      </c>
      <c r="G9" s="49" t="n">
        <f aca="false">G7+G8</f>
        <v>16642152.2212866</v>
      </c>
      <c r="H9" s="49" t="n">
        <f aca="false">H7+H8</f>
        <v>18386705.9134113</v>
      </c>
      <c r="I9" s="49" t="n">
        <f aca="false">I7+I8</f>
        <v>18816703.9991161</v>
      </c>
      <c r="J9" s="49" t="n">
        <f aca="false">J7+J8</f>
        <v>19225204.3265764</v>
      </c>
    </row>
    <row r="10" customFormat="false" ht="15" hidden="false" customHeight="true" outlineLevel="0" collapsed="false">
      <c r="B10" s="20" t="s">
        <v>561</v>
      </c>
      <c r="C10" s="21" t="s">
        <v>247</v>
      </c>
      <c r="D10" s="14" t="n">
        <v>0.111708147552152</v>
      </c>
      <c r="E10" s="14" t="n">
        <v>0.111708147552152</v>
      </c>
      <c r="F10" s="14" t="n">
        <v>0.111708147552152</v>
      </c>
      <c r="G10" s="14" t="n">
        <v>0.111708147552152</v>
      </c>
      <c r="H10" s="14" t="n">
        <v>0.111708147552152</v>
      </c>
      <c r="I10" s="14" t="n">
        <v>0.111708147552152</v>
      </c>
      <c r="J10" s="14" t="n">
        <v>0.111708147552152</v>
      </c>
    </row>
    <row r="11" customFormat="false" ht="15" hidden="false" customHeight="true" outlineLevel="0" collapsed="false">
      <c r="B11" s="20" t="s">
        <v>562</v>
      </c>
      <c r="C11" s="21"/>
      <c r="D11" s="76" t="n">
        <f aca="false">1/(1+D10)^D6</f>
        <v>0.899516660197085</v>
      </c>
      <c r="E11" s="76" t="n">
        <f aca="false">1/(1+E10)^E6</f>
        <v>0.809130221972118</v>
      </c>
      <c r="F11" s="76" t="n">
        <f aca="false">1/(1+F10)^F6</f>
        <v>0.727826114932886</v>
      </c>
      <c r="G11" s="76" t="n">
        <f aca="false">1/(1+G10)^G6</f>
        <v>0.654691716108649</v>
      </c>
      <c r="H11" s="76" t="n">
        <f aca="false">1/(1+H10)^H6</f>
        <v>0.58890610593275</v>
      </c>
      <c r="I11" s="76" t="n">
        <f aca="false">1/(1+I10)^I6</f>
        <v>0.529730853578298</v>
      </c>
      <c r="J11" s="76" t="n">
        <f aca="false">1/(1+J10)^J6</f>
        <v>0.476501728214102</v>
      </c>
    </row>
    <row r="12" customFormat="false" ht="15" hidden="false" customHeight="true" outlineLevel="0" collapsed="false">
      <c r="B12" s="20" t="s">
        <v>563</v>
      </c>
      <c r="C12" s="21" t="s">
        <v>32</v>
      </c>
      <c r="D12" s="13" t="n">
        <f aca="false">D9*D11</f>
        <v>-60224100.7355372</v>
      </c>
      <c r="E12" s="13" t="n">
        <f aca="false">E9*E11</f>
        <v>13210136.5970495</v>
      </c>
      <c r="F12" s="13" t="n">
        <f aca="false">F9*F11</f>
        <v>9083752.1603395</v>
      </c>
      <c r="G12" s="13" t="n">
        <f aca="false">G9*G11</f>
        <v>10895479.1974955</v>
      </c>
      <c r="H12" s="13" t="n">
        <f aca="false">H9*H11</f>
        <v>10828043.3803977</v>
      </c>
      <c r="I12" s="13" t="n">
        <f aca="false">I9*I11</f>
        <v>9967788.67098198</v>
      </c>
      <c r="J12" s="13" t="n">
        <f aca="false">J9*J11</f>
        <v>9160843.08688291</v>
      </c>
    </row>
    <row r="13" customFormat="false" ht="15" hidden="false" customHeight="true" outlineLevel="0" collapsed="false">
      <c r="B13" s="20" t="s">
        <v>564</v>
      </c>
      <c r="C13" s="21" t="s">
        <v>32</v>
      </c>
      <c r="D13" s="13" t="n">
        <f aca="false">D9</f>
        <v>-66951623.4666982</v>
      </c>
      <c r="E13" s="13" t="n">
        <f aca="false">D13+E9</f>
        <v>-50625281.626627</v>
      </c>
      <c r="F13" s="13" t="n">
        <f aca="false">E13+F9</f>
        <v>-38144619.0425741</v>
      </c>
      <c r="G13" s="13" t="n">
        <f aca="false">F13+G9</f>
        <v>-21502466.8212874</v>
      </c>
      <c r="H13" s="13" t="n">
        <f aca="false">G13+H9</f>
        <v>-3115760.90787609</v>
      </c>
      <c r="I13" s="13" t="n">
        <f aca="false">H13+I9</f>
        <v>15700943.0912401</v>
      </c>
      <c r="J13" s="13" t="n">
        <f aca="false">I13+J9</f>
        <v>34926147.4178165</v>
      </c>
    </row>
    <row r="14" customFormat="false" ht="23.25" hidden="false" customHeight="true" outlineLevel="0" collapsed="false">
      <c r="B14" s="20" t="s">
        <v>565</v>
      </c>
      <c r="C14" s="21" t="s">
        <v>32</v>
      </c>
      <c r="D14" s="13" t="n">
        <f aca="false">D12</f>
        <v>-60224100.7355372</v>
      </c>
      <c r="E14" s="13" t="n">
        <f aca="false">D14+E12</f>
        <v>-47013964.1384877</v>
      </c>
      <c r="F14" s="13" t="n">
        <f aca="false">E14+F12</f>
        <v>-37930211.9781482</v>
      </c>
      <c r="G14" s="13" t="n">
        <f aca="false">F14+G12</f>
        <v>-27034732.7806527</v>
      </c>
      <c r="H14" s="13" t="n">
        <f aca="false">G14+H12</f>
        <v>-16206689.4002549</v>
      </c>
      <c r="I14" s="13" t="n">
        <f aca="false">H14+I12</f>
        <v>-6238900.72927294</v>
      </c>
      <c r="J14" s="13" t="n">
        <f aca="false">I14+J12</f>
        <v>2921942.35760997</v>
      </c>
    </row>
    <row r="15" customFormat="false" ht="15" hidden="false" customHeight="true" outlineLevel="0" collapsed="false">
      <c r="B15" s="20" t="s">
        <v>566</v>
      </c>
      <c r="C15" s="21"/>
      <c r="D15" s="77" t="str">
        <f aca="false">""</f>
        <v/>
      </c>
      <c r="E15" s="77" t="str">
        <f aca="false">IF(AND(D13&lt;0,E13&gt;=0),D6-D13/E9,"")</f>
        <v/>
      </c>
      <c r="F15" s="77" t="str">
        <f aca="false">IF(AND(E13&lt;0,F13&gt;=0),E6-E13/F9,"")</f>
        <v/>
      </c>
      <c r="G15" s="77" t="str">
        <f aca="false">IF(AND(F13&lt;0,G13&gt;=0),F6-F13/G9,"")</f>
        <v/>
      </c>
      <c r="H15" s="77" t="str">
        <f aca="false">IF(AND(G13&lt;0,H13&gt;=0),G6-G13/H9,"")</f>
        <v/>
      </c>
      <c r="I15" s="77" t="n">
        <f aca="false">IF(AND(H13&lt;0,I13&gt;=0),H6-H13/I9,"")</f>
        <v>5.16558483930142</v>
      </c>
      <c r="J15" s="77" t="str">
        <f aca="false">IF(AND(I13&lt;0,J13&gt;=0),I6-I13/J9,"")</f>
        <v/>
      </c>
    </row>
    <row r="16" customFormat="false" ht="15" hidden="false" customHeight="true" outlineLevel="0" collapsed="false">
      <c r="B16" s="20" t="s">
        <v>567</v>
      </c>
      <c r="C16" s="21"/>
      <c r="D16" s="77" t="str">
        <f aca="false">""</f>
        <v/>
      </c>
      <c r="E16" s="77" t="str">
        <f aca="false">IF(AND(D14&lt;0,E14&gt;=0),D6-D14/E12,"")</f>
        <v/>
      </c>
      <c r="F16" s="77" t="str">
        <f aca="false">IF(AND(E14&lt;0,F14&gt;=0),E6-E14/F12,"")</f>
        <v/>
      </c>
      <c r="G16" s="77" t="str">
        <f aca="false">IF(AND(F14&lt;0,G14&gt;=0),F6-F14/G12,"")</f>
        <v/>
      </c>
      <c r="H16" s="77" t="str">
        <f aca="false">IF(AND(G14&lt;0,H14&gt;=0),G6-G14/H12,"")</f>
        <v/>
      </c>
      <c r="I16" s="77" t="str">
        <f aca="false">IF(AND(H14&lt;0,I14&gt;=0),H6-H14/I12,"")</f>
        <v/>
      </c>
      <c r="J16" s="77" t="n">
        <f aca="false">IF(AND(I14&lt;0,J14&gt;=0),I6-I14/J12,"")</f>
        <v>6.68104001674324</v>
      </c>
    </row>
    <row r="18" customFormat="false" ht="15" hidden="false" customHeight="true" outlineLevel="0" collapsed="false">
      <c r="B18" s="15" t="s">
        <v>568</v>
      </c>
      <c r="D18" s="16" t="n">
        <f aca="false">SUM(D12:J12)</f>
        <v>2921942.35760997</v>
      </c>
    </row>
    <row r="19" customFormat="false" ht="15" hidden="false" customHeight="true" outlineLevel="0" collapsed="false">
      <c r="B19" s="15" t="s">
        <v>569</v>
      </c>
      <c r="D19" s="17" t="n">
        <f aca="false">IFERROR(IRR(D9:J9),"-")</f>
        <v>0.127593983562719</v>
      </c>
    </row>
    <row r="20" customFormat="false" ht="15" hidden="false" customHeight="true" outlineLevel="0" collapsed="false">
      <c r="B20" s="15" t="s">
        <v>71</v>
      </c>
      <c r="D20" s="78" t="n">
        <f aca="false">IFERROR(SUM(E12:J12)/-D12,0)</f>
        <v>1.04851782462375</v>
      </c>
    </row>
    <row r="21" customFormat="false" ht="15" hidden="false" customHeight="true" outlineLevel="0" collapsed="false">
      <c r="B21" s="15" t="s">
        <v>570</v>
      </c>
      <c r="D21" s="79" t="n">
        <f aca="false">IF(COUNT(E15:J15)&gt;0,SUM(E15:J15),"&gt; 7")</f>
        <v>5.16558483930142</v>
      </c>
    </row>
    <row r="22" customFormat="false" ht="15" hidden="false" customHeight="true" outlineLevel="0" collapsed="false">
      <c r="B22" s="15" t="s">
        <v>73</v>
      </c>
      <c r="D22" s="79" t="n">
        <f aca="false">IF(COUNT(E16:J16)&gt;0,SUM(E16:J16),"&gt; 7")</f>
        <v>6.68104001674324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2026-10-27T03:26:51Z</dcterms:created>
  <dc:creator>openpyxl</dc:creator>
  <dc:description/>
  <dc:language>en-US</dc:language>
  <cp:lastModifiedBy/>
  <dcterms:modified xsi:type="dcterms:W3CDTF">2026-10-27T03:26:55Z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