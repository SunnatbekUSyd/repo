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1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зюме" sheetId="1" state="visible" r:id="rId3"/>
    <sheet name="ИНФОРМАЦИЯ" sheetId="2" state="visible" r:id="rId4"/>
    <sheet name="ProjCost" sheetId="3" state="visible" r:id="rId5"/>
    <sheet name="FinPlan" sheetId="4" state="visible" r:id="rId6"/>
    <sheet name="Share of costs" sheetId="5" state="visible" r:id="rId7"/>
    <sheet name="Depreciate" sheetId="6" state="visible" r:id="rId8"/>
    <sheet name="ProdPlan" sheetId="7" state="visible" r:id="rId9"/>
    <sheet name="SalePlan" sheetId="8" state="visible" r:id="rId10"/>
    <sheet name="RawMat" sheetId="9" state="visible" r:id="rId11"/>
    <sheet name="Labour" sheetId="10" state="visible" r:id="rId12"/>
    <sheet name="Taxes" sheetId="11" state="visible" r:id="rId13"/>
    <sheet name="CostTotal" sheetId="12" state="visible" r:id="rId14"/>
    <sheet name="CostSold" sheetId="13" state="visible" r:id="rId15"/>
    <sheet name="LOANS" sheetId="14" state="visible" r:id="rId16"/>
    <sheet name="ProfLoss" sheetId="15" state="visible" r:id="rId17"/>
    <sheet name="WorkCap" sheetId="16" state="visible" r:id="rId18"/>
    <sheet name="CashFlow" sheetId="17" state="visible" r:id="rId19"/>
    <sheet name="BreakPoint" sheetId="18" state="visible" r:id="rId20"/>
    <sheet name="NPV_IRR" sheetId="19" state="visible" r:id="rId21"/>
    <sheet name="Проверки" sheetId="20" state="visible" r:id="rId22"/>
    <sheet name="Исх_данные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2" authorId="0">
      <text>
        <r>
          <rPr>
            <sz val="10"/>
            <rFont val="Arial"/>
            <family val="2"/>
          </rPr>
          <t xml:space="preserve">Для экспортных проектов (ставка 0%) входящий НДС подлежит возмещению; движение НДС учтено в оборотном капитале (Приложение 14).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1" authorId="0">
      <text>
        <r>
          <rPr>
            <sz val="10"/>
            <rFont val="Arial"/>
            <family val="2"/>
          </rPr>
          <t xml:space="preserve">Разница между себестоимостью продаж и производственной себестоимостью по ТЭО (запасы готовой продукции).</t>
        </r>
      </text>
    </comment>
    <comment ref="B23" authorId="0">
      <text>
        <r>
          <rPr>
            <sz val="10"/>
            <rFont val="Arial"/>
            <family val="2"/>
          </rPr>
          <t xml:space="preserve">Доля затрат, номинированных в USD, в денежной производственной себестоимости (ТЭО, P&amp;L FX.5).</t>
        </r>
      </text>
    </comment>
  </commentList>
</comments>
</file>

<file path=xl/sharedStrings.xml><?xml version="1.0" encoding="utf-8"?>
<sst xmlns="http://schemas.openxmlformats.org/spreadsheetml/2006/main" count="1965" uniqueCount="1239">
  <si>
    <t xml:space="preserve">БИЗНЕС-ПЛАН ИНВЕСТИЦИОННОГО ПРОЕКТА</t>
  </si>
  <si>
    <t xml:space="preserve">Строительство нового гидрометаллургического завода по переработке промышленного продукта — молибденового огарка</t>
  </si>
  <si>
    <t xml:space="preserve">(Цех по производству триоксида молибдена)</t>
  </si>
  <si>
    <t xml:space="preserve">1. ОБЩИЕ СВЕДЕНИЯ</t>
  </si>
  <si>
    <t xml:space="preserve">Суть проекта</t>
  </si>
  <si>
    <t xml:space="preserve">Строительство нового гидрометаллургического завода по переработке промышленного продукта — молибденового огарка. Переработка 5 000 т молибденового огарка (концентрата) в год; выпуск основной продукции — Триоксид молибдена MoO3  1 983.1 t/год при проектной мощности; реализация — экспорт.</t>
  </si>
  <si>
    <t xml:space="preserve">Заемщик</t>
  </si>
  <si>
    <t xml:space="preserve">АО «Узбекский комбинат технологических металлов» (АО «Ўзбекистон ТМК», UzTMK)</t>
  </si>
  <si>
    <t xml:space="preserve">Местоположение</t>
  </si>
  <si>
    <t xml:space="preserve">Ташкентская область, Ахангаранский район — новая площадка, 10,4 га</t>
  </si>
  <si>
    <t xml:space="preserve">Продукция</t>
  </si>
  <si>
    <t xml:space="preserve">Триоксид молибдена MoO3, Медный шлак (25% Cu) (попутная), Кальциевая селитра (попутная)</t>
  </si>
  <si>
    <t xml:space="preserve">Производственная мощность</t>
  </si>
  <si>
    <t xml:space="preserve">Переработка 5 000 т молибденового огарка (концентрата) в год; выпуск основной продукции — 1 983 t/год</t>
  </si>
  <si>
    <t xml:space="preserve">Рынок сбыта</t>
  </si>
  <si>
    <t xml:space="preserve">экспорт (100% выручки в USD)</t>
  </si>
  <si>
    <t xml:space="preserve">Сроки</t>
  </si>
  <si>
    <t xml:space="preserve">начало строительства — 01.10.2026; начало производства — 01.10.2027; выход на проектную мощность — 2030 г.</t>
  </si>
  <si>
    <t xml:space="preserve">Стадия проработки</t>
  </si>
  <si>
    <t xml:space="preserve">ТЭО</t>
  </si>
  <si>
    <t xml:space="preserve">2. ПАРАМЕТРЫ КРЕДИТА</t>
  </si>
  <si>
    <t xml:space="preserve">Сумма кредита, USD</t>
  </si>
  <si>
    <t xml:space="preserve">Процентная ставка</t>
  </si>
  <si>
    <t xml:space="preserve">Срок кредита</t>
  </si>
  <si>
    <t xml:space="preserve">84 месяца (7 лет): льготный (инвестиционный) период — 12 месяцев (2027 г.), погашение — 72 месяца (2028–2033 гг.)</t>
  </si>
  <si>
    <t xml:space="preserve">Порядок погашения</t>
  </si>
  <si>
    <t xml:space="preserve">основной долг — ежемесячно равными долями; проценты — ежемесячно на остаток задолженности</t>
  </si>
  <si>
    <t xml:space="preserve">Проценты льготного периода</t>
  </si>
  <si>
    <t xml:space="preserve">Целевое назначение</t>
  </si>
  <si>
    <t xml:space="preserve">30% авансовый платёж по EPC-контракту (E — проектирование, P — поставка оборудования, C — строительство)</t>
  </si>
  <si>
    <t xml:space="preserve">3. СТОИМОСТЬ ПРОЕКТА И ИСТОЧНИКИ ФИНАНСИРОВАНИЯ</t>
  </si>
  <si>
    <t xml:space="preserve">Статья</t>
  </si>
  <si>
    <t xml:space="preserve">USD</t>
  </si>
  <si>
    <t xml:space="preserve">Доля</t>
  </si>
  <si>
    <t xml:space="preserve">Фиксированные активы</t>
  </si>
  <si>
    <t xml:space="preserve">Рабочий капитал</t>
  </si>
  <si>
    <t xml:space="preserve">Проценты льготного периода и расходы подготовительного периода</t>
  </si>
  <si>
    <t xml:space="preserve">Резерв</t>
  </si>
  <si>
    <t xml:space="preserve">ВСЕГО СТОИМОСТЬ ПРОЕКТА</t>
  </si>
  <si>
    <t xml:space="preserve">Собственные средства заемщика</t>
  </si>
  <si>
    <t xml:space="preserve">Кредит банка</t>
  </si>
  <si>
    <t xml:space="preserve">4. ОСНОВНЫЕ ФИНАНСОВЫЕ ПОКАЗАТЕЛИ ПО ГОДАМ</t>
  </si>
  <si>
    <t xml:space="preserve">ПОКАЗАТЕЛИ</t>
  </si>
  <si>
    <t xml:space="preserve">Ед. изм.</t>
  </si>
  <si>
    <t xml:space="preserve">1 год (льготный / инвест.)</t>
  </si>
  <si>
    <t xml:space="preserve">2 год</t>
  </si>
  <si>
    <t xml:space="preserve">3 год</t>
  </si>
  <si>
    <t xml:space="preserve">4 год</t>
  </si>
  <si>
    <t xml:space="preserve">5 год</t>
  </si>
  <si>
    <t xml:space="preserve">6 год</t>
  </si>
  <si>
    <t xml:space="preserve">7 год</t>
  </si>
  <si>
    <t xml:space="preserve">Итого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</si>
  <si>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</si>
  <si>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</si>
  <si>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</si>
  <si>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</si>
  <si>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</si>
  <si>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</si>
  <si>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</si>
  <si>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1–7 годы</t>
  </si>
  <si>
    <t xml:space="preserve">Выручка (без НДС)</t>
  </si>
  <si>
    <t xml:space="preserve">EBITDA</t>
  </si>
  <si>
    <t xml:space="preserve">Чистая прибыль</t>
  </si>
  <si>
    <t xml:space="preserve">Операционный поток наличности (A)</t>
  </si>
  <si>
    <t xml:space="preserve">Обслуживание долга (проценты + основной долг)</t>
  </si>
  <si>
    <t xml:space="preserve">Чистый поток наличности</t>
  </si>
  <si>
    <t xml:space="preserve">Кумулятивный поток наличности</t>
  </si>
  <si>
    <t xml:space="preserve">DSCR (с учётом поддерживающих капвложений)</t>
  </si>
  <si>
    <t xml:space="preserve">x</t>
  </si>
  <si>
    <t xml:space="preserve">Задолженность по кредиту на конец года</t>
  </si>
  <si>
    <t xml:space="preserve">5. ПОКАЗАТЕЛИ ЭФФЕКТИВНОСТИ И УСТОЙЧИВОСТИ</t>
  </si>
  <si>
    <t xml:space="preserve">NPV проекта за 7 лет (WACC по ТЭО), USD</t>
  </si>
  <si>
    <t xml:space="preserve">IRR проекта за 7 лет</t>
  </si>
  <si>
    <t xml:space="preserve">Индекс доходности (PI)</t>
  </si>
  <si>
    <t xml:space="preserve">Простой срок окупаемости, лет</t>
  </si>
  <si>
    <t xml:space="preserve">Дисконтированный срок окупаемости, лет</t>
  </si>
  <si>
    <t xml:space="preserve">Минимальный / средний DSCR (2–7 годы)</t>
  </si>
  <si>
    <t xml:space="preserve">Точка безубыточности (2030 г.), % от выручки</t>
  </si>
  <si>
    <t xml:space="preserve">Справочно: NPV / IRR по ТЭО-модели (12 лет)</t>
  </si>
  <si>
    <t xml:space="preserve">6. ВЫПОЛНЕНИЕ УСЛОВИЙ ФИНАНСИРОВАНИЯ</t>
  </si>
  <si>
    <t xml:space="preserve">Положительный чистый поток наличности в каждом из 1–7 годов</t>
  </si>
  <si>
    <t xml:space="preserve">Прибыльность в каждом из 1–7 годов</t>
  </si>
  <si>
    <t xml:space="preserve">Погашение кредита в течение 6 лет после льготного периода</t>
  </si>
  <si>
    <t xml:space="preserve">Проценты льготного периода покрыты собственными средствами (в стоимости проекта)</t>
  </si>
  <si>
    <t xml:space="preserve">Минимальный DSCR ≥ 1,20</t>
  </si>
  <si>
    <t xml:space="preserve">Итог контрольных проверок модели</t>
  </si>
  <si>
    <t xml:space="preserve">7. ИСТОЧНИКИ ДАННЫХ И ОСНОВНЫЕ ДОПУЩЕНИЯ</t>
  </si>
  <si>
    <t xml:space="preserve">• Все производственные, ценовые, затратные, налоговые и инвестиционные показатели — из финансовой модели ТЭО «UzTMK_BP_Model_v1_10_Molybdenum_FS.xlsx» (лист «Исх_данные» содержит ссылку на строку модели для каждого числа).</t>
  </si>
  <si>
    <t xml:space="preserve">• Сумма кредита — из файла заемщика о 30% авансе по EPC-контрактам (распределение 78 млн USD между тремя проектами — лист «ИНФОРМАЦИЯ»).</t>
  </si>
  <si>
    <t xml:space="preserve">• Ставка 7% годовых, срок 84 мес., льготный период 12 мес., ежемесячное погашение равными долями — условия, заданные заемщиком; база начисления — 360 дней (как в форме банка).</t>
  </si>
  <si>
    <t xml:space="preserve">• Структура финансирования ТЭО-модели (кредит ТЭО) заменена: все затраты сверх кредита финансируются собственными средствами заемщика; влияние на налог на прибыль пересчитано (Приложение 9).</t>
  </si>
  <si>
    <t xml:space="preserve">• Кредит выдаётся единовременно 01.01.2027; проценты 2027 г. капитализируются в стоимость основных средств и амортизируются в срок, принятый в ТЭО.</t>
  </si>
  <si>
    <t xml:space="preserve">• Резерв на непредвиденные расходы — 1% суммы кредита, по форме банка; остаётся на счёте заемщика.</t>
  </si>
  <si>
    <t xml:space="preserve">8. ОСНОВНЫЕ РИСКИ И МЕРЫ ПО ИХ СНИЖЕНИЮ</t>
  </si>
  <si>
    <t xml:space="preserve">Ценовой риск</t>
  </si>
  <si>
    <t xml:space="preserve">Валютный риск</t>
  </si>
  <si>
    <t xml:space="preserve">Риск освоения мощностей</t>
  </si>
  <si>
    <t xml:space="preserve">Строительный риск</t>
  </si>
  <si>
    <t xml:space="preserve">Сырьевой риск</t>
  </si>
  <si>
    <t xml:space="preserve">ДАННЫЕ ПО ПРОЕКТУ</t>
  </si>
  <si>
    <t xml:space="preserve">ЗАЕМЩИК</t>
  </si>
  <si>
    <t xml:space="preserve">ИНН</t>
  </si>
  <si>
    <t xml:space="preserve">— (заполняется заемщиком)</t>
  </si>
  <si>
    <t xml:space="preserve">ДЕЯТЕЛЬНОСТЬ</t>
  </si>
  <si>
    <t xml:space="preserve">Добыча и переработка редких и тугоплавких металлов (вольфрам, молибден)</t>
  </si>
  <si>
    <t xml:space="preserve">НАИМЕНОВАНИЕ ПРОЕКТА</t>
  </si>
  <si>
    <t xml:space="preserve">Строительство нового гидрометаллургического завода по переработке промышленного продукта — молибденового огарка
(Цех по производству триоксида молибдена)</t>
  </si>
  <si>
    <t xml:space="preserve">МЕСТО РЕАЛИЗАЦИИ</t>
  </si>
  <si>
    <t xml:space="preserve">ПРОИЗВОДСТВЕННАЯ МОЩНОСТЬ</t>
  </si>
  <si>
    <t xml:space="preserve">Переработка 5 000 т молибденового огарка (концентрата) в год</t>
  </si>
  <si>
    <t xml:space="preserve">ОСНОВНАЯ ПРОДУКЦИЯ</t>
  </si>
  <si>
    <t xml:space="preserve">Триоксид молибдена MoO3, Медный шлак (25% Cu), Кальциевая селитра</t>
  </si>
  <si>
    <t xml:space="preserve">СТАДИЯ ПРОРАБОТКИ</t>
  </si>
  <si>
    <t xml:space="preserve">ТЭО (технико-экономическое обоснование)</t>
  </si>
  <si>
    <t xml:space="preserve">НАЧАЛО СТРОИТЕЛЬСТВА</t>
  </si>
  <si>
    <t xml:space="preserve">01.10.2026</t>
  </si>
  <si>
    <t xml:space="preserve">НАЧАЛО ПРОИЗВОДСТВА</t>
  </si>
  <si>
    <t xml:space="preserve">01.10.2027</t>
  </si>
  <si>
    <t xml:space="preserve">СРОК РЕАЛИЗАЦИИ (по данным заемщика)</t>
  </si>
  <si>
    <t xml:space="preserve">декабрь 2027 г.</t>
  </si>
  <si>
    <t xml:space="preserve">УЧАСТНИКИ ПРОЕКТА</t>
  </si>
  <si>
    <t xml:space="preserve">Заемщик (инициатор проекта)</t>
  </si>
  <si>
    <t xml:space="preserve">Доля заемщика в проекте</t>
  </si>
  <si>
    <t xml:space="preserve">100% (ТЭО, форма F1 §4.01); акционеры заемщика — заполняется заемщиком</t>
  </si>
  <si>
    <t xml:space="preserve">Кредитор №1</t>
  </si>
  <si>
    <t xml:space="preserve">Банк-кредитор (наименование уточняется)</t>
  </si>
  <si>
    <t xml:space="preserve">Генеральный подрядчик</t>
  </si>
  <si>
    <t xml:space="preserve">EPC-подрядчик (по EPC-контракту)</t>
  </si>
  <si>
    <t xml:space="preserve">ВАЛЮТА ПРОЕКТА</t>
  </si>
  <si>
    <t xml:space="preserve">Доллар США (экв.)</t>
  </si>
  <si>
    <t xml:space="preserve">1 USD = (сум, средний курс 1-го года, ТЭО)</t>
  </si>
  <si>
    <t xml:space="preserve">УСЛОВИЯ КРЕДИТА</t>
  </si>
  <si>
    <t xml:space="preserve">Процентная ставка, % годовых</t>
  </si>
  <si>
    <t xml:space="preserve">Срок кредита, месяцев</t>
  </si>
  <si>
    <t xml:space="preserve">Льготный период по основному долгу, месяцев</t>
  </si>
  <si>
    <t xml:space="preserve">Инвестиционный период, месяцев</t>
  </si>
  <si>
    <t xml:space="preserve">Дата выдачи кредита</t>
  </si>
  <si>
    <t xml:space="preserve">База начисления процентов, дней в году (по форме банка)</t>
  </si>
  <si>
    <t xml:space="preserve">Погашение основного долга</t>
  </si>
  <si>
    <t xml:space="preserve">ежемесячно равными долями (72 платежа), с 31.01.2028 по 31.12.2033</t>
  </si>
  <si>
    <t xml:space="preserve">Уплата процентов</t>
  </si>
  <si>
    <t xml:space="preserve">ежемесячно; в льготный период (2027 г.) — за счёт собственных средств заемщика (включены в стоимость проекта)</t>
  </si>
  <si>
    <t xml:space="preserve">30% авансовый платёж по EPC-контракту (данные заемщика)</t>
  </si>
  <si>
    <t xml:space="preserve">Резерв (непредвиденные расходы) — % от суммы кредита (по форме банка)</t>
  </si>
  <si>
    <t xml:space="preserve">РАСПРЕДЕЛЕНИЕ КРЕДИТА 78 МЛН USD МЕЖДУ ПРОЕКТАМИ (по 30% авансу EPC-контрактов, файл заемщика от 14.10.2026)</t>
  </si>
  <si>
    <t xml:space="preserve">Проект</t>
  </si>
  <si>
    <t xml:space="preserve">Мощность</t>
  </si>
  <si>
    <t xml:space="preserve">Стоимость проекта, млн USD</t>
  </si>
  <si>
    <t xml:space="preserve">EPC: E (Engineering), млрд сум</t>
  </si>
  <si>
    <t xml:space="preserve">EPC: P (Procurement), млрд сум</t>
  </si>
  <si>
    <t xml:space="preserve">EPC: C (Construction), млрд сум</t>
  </si>
  <si>
    <t xml:space="preserve">EPC итого, млрд сум</t>
  </si>
  <si>
    <t xml:space="preserve">Курс EPC (тыс. сум/USD)</t>
  </si>
  <si>
    <t xml:space="preserve">EPC итого, экв. млн USD</t>
  </si>
  <si>
    <t xml:space="preserve">30% аванс, млрд сум</t>
  </si>
  <si>
    <t xml:space="preserve">Курс аванса (тыс. сум/USD)</t>
  </si>
  <si>
    <t xml:space="preserve">30% аванс, млн USD</t>
  </si>
  <si>
    <t xml:space="preserve">Доля в кредите</t>
  </si>
  <si>
    <t xml:space="preserve">Кредит, USD</t>
  </si>
  <si>
    <t xml:space="preserve">Освоение центральной части вольфрамового месторождения Сарикуль (1-я очередь)</t>
  </si>
  <si>
    <t xml:space="preserve">Переработка 600 тыс. т руды в год</t>
  </si>
  <si>
    <t xml:space="preserve">Строительство нового гидрометаллургического завода по переработке вольфрамового концентрата (1-я очередь)</t>
  </si>
  <si>
    <t xml:space="preserve">Переработка 5 000 т вольфрамового концентрата в год</t>
  </si>
  <si>
    <t xml:space="preserve">ЖАМИ / ИТОГО</t>
  </si>
  <si>
    <t xml:space="preserve">Лимит кредита, USD</t>
  </si>
  <si>
    <t xml:space="preserve">Примечание: распределение — пропорционально 30% авансу по EPC-контрактам (файл заемщика), с приведением суммы к лимиту 78,0 млн USD. Курсы пересчёта — как в файле заемщика (12,2 / 12,0 тыс. сум для EPC; 11,838 тыс. сум для аванса).</t>
  </si>
  <si>
    <t xml:space="preserve">ПЕРВОНАЧАЛЬНАЯ СТОИМОСТЬ ПРОЕКТА (в экв. долл. США)</t>
  </si>
  <si>
    <t xml:space="preserve">Приложение 1</t>
  </si>
  <si>
    <t xml:space="preserve">Инвестиционный период: с начала строительства по 31.12.2027 (1-й год кредита, льготный период).</t>
  </si>
  <si>
    <t xml:space="preserve">Наименование затрат</t>
  </si>
  <si>
    <t xml:space="preserve">МЕСТНАЯ ВАЛЮТА</t>
  </si>
  <si>
    <t xml:space="preserve">ТВЕРДАЯ ВАЛЮТА</t>
  </si>
  <si>
    <t xml:space="preserve">ВСЕГО</t>
  </si>
  <si>
    <t xml:space="preserve">СТРУКТУРА (%)</t>
  </si>
  <si>
    <t xml:space="preserve">Основание (источник данных)</t>
  </si>
  <si>
    <t xml:space="preserve">ВСЕГО ФИКСИРОВАННЫЕ АКТИВЫ</t>
  </si>
  <si>
    <t xml:space="preserve">Здания, сооружения и передаточные устройства</t>
  </si>
  <si>
    <t xml:space="preserve">ТЭО F8: T1, T2, T3, T4, T5, T6, T9 (освоение 2026–2027 гг.)</t>
  </si>
  <si>
    <t xml:space="preserve">Машины и оборудование</t>
  </si>
  <si>
    <t xml:space="preserve">ТЭО F8: T7, T25 (освоение 2026–2027 гг.)</t>
  </si>
  <si>
    <t xml:space="preserve">Мебель, оргтехника и офисное оборудование</t>
  </si>
  <si>
    <t xml:space="preserve">ТЭО F8: T8 (освоение 2026–2027 гг.)</t>
  </si>
  <si>
    <t xml:space="preserve">РАБОЧИЙ КАПИТАЛ (на 31.12.2027), ВКЛЮЧАЯ:</t>
  </si>
  <si>
    <t xml:space="preserve">   Запасы сырья, материалов и готовой продукции</t>
  </si>
  <si>
    <t xml:space="preserve">ТЭО, баланс на 31.12.2027</t>
  </si>
  <si>
    <t xml:space="preserve">   Дебиторская задолженность покупателей</t>
  </si>
  <si>
    <t xml:space="preserve">   НДС к возмещению (в т.ч. по капитальным вложениям)</t>
  </si>
  <si>
    <t xml:space="preserve">   Кредиторская задолженность поставщикам (уменьшает потребность)</t>
  </si>
  <si>
    <t xml:space="preserve">   Задолженность по оплате труда и налогам с ФОТ (уменьшает потребность)</t>
  </si>
  <si>
    <t xml:space="preserve">ПРОЧИЕ ФИНАНСОВЫЕ ИЗДЕРЖКИ, ВКЛЮЧАЯ:</t>
  </si>
  <si>
    <t xml:space="preserve">   Проценты по кредиту за льготный период (2027 г.) — за счёт собственных средств</t>
  </si>
  <si>
    <t xml:space="preserve">Приложение 12 (LOANS), 7% годовых</t>
  </si>
  <si>
    <t xml:space="preserve">   Расходы подготовительного периода 2026 г. (административные и пусковые расходы)</t>
  </si>
  <si>
    <t xml:space="preserve">ТЭО, EBITDA 2026 г. (со знаком «−»)</t>
  </si>
  <si>
    <t xml:space="preserve">НЕПРЕДВИДЕННЫЕ РАСХОДЫ/РЕЗЕРВ (1% от суммы кредита)</t>
  </si>
  <si>
    <t xml:space="preserve">Форма банка («Share of costs», резерв = 1% кредита)</t>
  </si>
  <si>
    <t xml:space="preserve">ВСЕГО ПЕРВОНАЧАЛЬНАЯ СТОИМОСТЬ ПРОЕКТА</t>
  </si>
  <si>
    <t xml:space="preserve">Справочно: стоимость проекта по ТЭО-модели (капвложения с капитализированными процентами по кредиту ТЭО), USD</t>
  </si>
  <si>
    <t xml:space="preserve">Dashboard!стр.5</t>
  </si>
  <si>
    <t xml:space="preserve">Справочно: общая стоимость проекта по данным заемщика (файл аванса), млн USD</t>
  </si>
  <si>
    <t xml:space="preserve">ФИНАНСОВЫЙ ПЛАН (в экв. долл. США)</t>
  </si>
  <si>
    <t xml:space="preserve">Приложение 2</t>
  </si>
  <si>
    <t xml:space="preserve">ТВЁРДАЯ ВАЛЮТА</t>
  </si>
  <si>
    <t xml:space="preserve">ДОЛЯ В ФИНАНСИРОВАНИИ</t>
  </si>
  <si>
    <t xml:space="preserve">СОБСТВЕННЫЙ КАПИТАЛ</t>
  </si>
  <si>
    <t xml:space="preserve">Денежные средства (финансовые издержки льготного периода, расходы подготовительного периода, резерв)</t>
  </si>
  <si>
    <t xml:space="preserve">КРЕДИТЫ</t>
  </si>
  <si>
    <t xml:space="preserve">Банк (кредит 7% годовых, 84 мес., льготный период 12 мес.)</t>
  </si>
  <si>
    <t xml:space="preserve">   Фиксированные активы (30% аванс по EPC-контракту)</t>
  </si>
  <si>
    <t xml:space="preserve">ВСЕГО ФИНАНСИРОВАНИЯ</t>
  </si>
  <si>
    <t xml:space="preserve">ПЕРВОНАЧАЛЬНАЯ СТОИМОСТЬ ПРОЕКТА ПО ИСТОЧНИКАМ ФИНАНСИРОВАНИЯ (в экв. долл. США)</t>
  </si>
  <si>
    <t xml:space="preserve">Приложение 3</t>
  </si>
  <si>
    <t xml:space="preserve">Всего</t>
  </si>
  <si>
    <t xml:space="preserve">в местной валюте</t>
  </si>
  <si>
    <t xml:space="preserve">в твердой валюте</t>
  </si>
  <si>
    <t xml:space="preserve">РАБОЧИЙ КАПИТАЛ</t>
  </si>
  <si>
    <t xml:space="preserve">ПРОЧИЕ ФИНАНСОВЫЕ ИЗДЕРЖКИ</t>
  </si>
  <si>
    <t xml:space="preserve">   в т.ч. проценты по кредиту за льготный период</t>
  </si>
  <si>
    <t xml:space="preserve">   в т.ч. расходы подготовительного периода 2026 г.</t>
  </si>
  <si>
    <t xml:space="preserve">НЕПРЕДВИДЕННЫЕ РАСХОДЫ/РЕЗЕРВ</t>
  </si>
  <si>
    <t xml:space="preserve">Итого по источнику</t>
  </si>
  <si>
    <t xml:space="preserve">Кредит банка направляется на 30% авансовый платёж по EPC-контракту; распределение по группам активов — пропорционально составу EPC-контракта: P (поставка оборудования) — машины и оборудование, E+C (проектирование и строительство) — здания, сооружения и прочие объекты.</t>
  </si>
  <si>
    <t xml:space="preserve">АМОРТИЗАЦИЯ (в долл. США)</t>
  </si>
  <si>
    <t xml:space="preserve">Приложение 4</t>
  </si>
  <si>
    <t xml:space="preserve">Линейный метод; сроки полезного использования и график амортизации — по ТЭО (форма F8). Проценты льготного периода капитализированы (МСФО IAS 23) и амортизируются в срок, принятый в ТЭО.</t>
  </si>
  <si>
    <t xml:space="preserve">ОБЪЕКТЫ АМОРТИЗАЦИИ</t>
  </si>
  <si>
    <t xml:space="preserve">Группа основных средств</t>
  </si>
  <si>
    <t xml:space="preserve">Первоначальная стоимость</t>
  </si>
  <si>
    <t xml:space="preserve">Срок, лет</t>
  </si>
  <si>
    <t xml:space="preserve">Норма, %</t>
  </si>
  <si>
    <t xml:space="preserve">1 год</t>
  </si>
  <si>
    <t xml:space="preserve">T1. Проектирование: ТЭО/ЗВОС и PFS</t>
  </si>
  <si>
    <t xml:space="preserve">T2. Строительство — цеха</t>
  </si>
  <si>
    <t xml:space="preserve">T3. Строительство — АБК и соцобъекты</t>
  </si>
  <si>
    <t xml:space="preserve">T4. Прочие затраты на строительство</t>
  </si>
  <si>
    <t xml:space="preserve">T5. Инфраструктура (вода, газ, эл.)</t>
  </si>
  <si>
    <t xml:space="preserve">T6. Строительство ж.д.</t>
  </si>
  <si>
    <t xml:space="preserve">T7. Технол. оборудование с монтажом</t>
  </si>
  <si>
    <t xml:space="preserve">T8. Оборудование АБК и соцобъектов</t>
  </si>
  <si>
    <t xml:space="preserve">T9. Непредвиденные расходы</t>
  </si>
  <si>
    <t xml:space="preserve">T25. Поддерживающие капвложения (% от первоначальной стоимости ОС)</t>
  </si>
  <si>
    <t xml:space="preserve">Капитализированные проценты по кредиту за льготный период (2027 г.)</t>
  </si>
  <si>
    <t xml:space="preserve">Затраты по займам (МСФО IAS 23)</t>
  </si>
  <si>
    <t xml:space="preserve">Х</t>
  </si>
  <si>
    <t xml:space="preserve">в т.ч. в себестоимости продукции</t>
  </si>
  <si>
    <t xml:space="preserve">в т.ч. в административных расходах (ТЭО, F5)</t>
  </si>
  <si>
    <t xml:space="preserve">Накопленная амортизация</t>
  </si>
  <si>
    <t xml:space="preserve">Остаточная стоимость основных средств (на конец года)</t>
  </si>
  <si>
    <t xml:space="preserve">ПРОИЗВОДСТВЕННЫЙ ПЛАН</t>
  </si>
  <si>
    <t xml:space="preserve">Приложение 5</t>
  </si>
  <si>
    <t xml:space="preserve">Н А И М Е Н О В А Н И Е</t>
  </si>
  <si>
    <t xml:space="preserve">Мощность в год</t>
  </si>
  <si>
    <t xml:space="preserve">Цена за единицу, USD (2030 г.)</t>
  </si>
  <si>
    <t xml:space="preserve">Выручка при полной мощности: экспорт</t>
  </si>
  <si>
    <t xml:space="preserve">Выручка при полной мощности: внутр. рынок</t>
  </si>
  <si>
    <t xml:space="preserve">Триоксид молибдена MoO3</t>
  </si>
  <si>
    <t xml:space="preserve">t</t>
  </si>
  <si>
    <t xml:space="preserve">экспорт</t>
  </si>
  <si>
    <t xml:space="preserve">Медный шлак (25% Cu)</t>
  </si>
  <si>
    <t xml:space="preserve">внутренний рынок</t>
  </si>
  <si>
    <t xml:space="preserve">Кальциевая селитра</t>
  </si>
  <si>
    <t xml:space="preserve">ОСВОЕНИЕ МОЩНОСТЕЙ</t>
  </si>
  <si>
    <t xml:space="preserve">%</t>
  </si>
  <si>
    <t xml:space="preserve">КОЛИЧЕСТВО ПРОИЗВОДСТВА</t>
  </si>
  <si>
    <t xml:space="preserve">КОЛИЧЕСТВО ДЛЯ РЕАЛИЗАЦИИ</t>
  </si>
  <si>
    <t xml:space="preserve">Триоксид молибдена MoO3 — экспорт</t>
  </si>
  <si>
    <t xml:space="preserve">Триоксид молибдена MoO3 — внутренний рынок</t>
  </si>
  <si>
    <t xml:space="preserve">Медный шлак (25% Cu) — экспорт</t>
  </si>
  <si>
    <t xml:space="preserve">Медный шлак (25% Cu) — внутренний рынок</t>
  </si>
  <si>
    <t xml:space="preserve">Кальциевая селитра — экспорт</t>
  </si>
  <si>
    <t xml:space="preserve">Кальциевая селитра — внутренний рынок</t>
  </si>
  <si>
    <t xml:space="preserve">КОЛИЧЕСТВО ЗАПАСА ГОТОВОЙ ПРОДУКЦИИ НА КОНЕЦ ГОДА</t>
  </si>
  <si>
    <t xml:space="preserve">ЦЕНА РЕАЛИЗАЦИИ</t>
  </si>
  <si>
    <t xml:space="preserve">USD/t</t>
  </si>
  <si>
    <t xml:space="preserve">Попутная продукция (медный шлак, кальциевая селитра) в базовом сценарии ТЭО выручки не формирует — отражена в натуральном выражении (консервативный подход).</t>
  </si>
  <si>
    <t xml:space="preserve">ПЛАН ПРОДАЖ (в экв. долл. США, без НДС)</t>
  </si>
  <si>
    <t xml:space="preserve">Приложение 6</t>
  </si>
  <si>
    <t xml:space="preserve">ЭКСПОРТ</t>
  </si>
  <si>
    <t xml:space="preserve">   Триоксид молибдена MoO3</t>
  </si>
  <si>
    <t xml:space="preserve">   Медный шлак (25% Cu)</t>
  </si>
  <si>
    <t xml:space="preserve">   Кальциевая селитра</t>
  </si>
  <si>
    <t xml:space="preserve">ВНУТРЕННИЕ ПРОДАЖИ</t>
  </si>
  <si>
    <t xml:space="preserve">ВСЕГО ПРОДАЖ</t>
  </si>
  <si>
    <t xml:space="preserve">Справочно: доля экспорта в выручке</t>
  </si>
  <si>
    <t xml:space="preserve">СТОИМОСТЬ СЫРЬЯ И МАТЕРИАЛОВ ПРИ ПРОЕКТНОЙ МОЩНОСТИ (в экв. долл. США, 2030 г.)</t>
  </si>
  <si>
    <t xml:space="preserve">Приложение 7</t>
  </si>
  <si>
    <t xml:space="preserve">Базовый год — 2030 г. (освоение мощности 100%); цены — в номинальном выражении ТЭО; без НДС.</t>
  </si>
  <si>
    <t xml:space="preserve">НАИМЕНОВАНИЕ</t>
  </si>
  <si>
    <t xml:space="preserve">Цена за единицу, USD</t>
  </si>
  <si>
    <t xml:space="preserve">Годовая потребность</t>
  </si>
  <si>
    <t xml:space="preserve">Годовая стоимость, USD</t>
  </si>
  <si>
    <t xml:space="preserve">ДОЛЯ (%)</t>
  </si>
  <si>
    <t xml:space="preserve">Примечание</t>
  </si>
  <si>
    <t xml:space="preserve">СЫРЬЁ, МАТЕРИАЛЫ И ПЕРЕМЕННЫЕ ЗАТРАТЫ С ЦЕНОЙ В ТВЁРДОЙ ВАЛЮТЕ (USD)</t>
  </si>
  <si>
    <t xml:space="preserve">Ингибитор</t>
  </si>
  <si>
    <t xml:space="preserve">Вспомогательные материалы</t>
  </si>
  <si>
    <t xml:space="preserve">Фильтроткань</t>
  </si>
  <si>
    <t xml:space="preserve">m2</t>
  </si>
  <si>
    <t xml:space="preserve">ВСЕГО В ТВЁРДОЙ ВАЛЮТЕ</t>
  </si>
  <si>
    <t xml:space="preserve">СЫРЬЁ, МАТЕРИАЛЫ И ПЕРЕМЕННЫЕ ЗАТРАТЫ С ЦЕНОЙ В НАЦИОНАЛЬНОЙ ВАЛЮТЕ (UZS)</t>
  </si>
  <si>
    <t xml:space="preserve">Молибденовый огарок</t>
  </si>
  <si>
    <t xml:space="preserve">Сырьё</t>
  </si>
  <si>
    <t xml:space="preserve">Аммиачная вода</t>
  </si>
  <si>
    <t xml:space="preserve">Азотная кислота</t>
  </si>
  <si>
    <t xml:space="preserve">Гидроксид натрия</t>
  </si>
  <si>
    <t xml:space="preserve">Оксид кальция</t>
  </si>
  <si>
    <t xml:space="preserve">Сульфид аммония</t>
  </si>
  <si>
    <t xml:space="preserve">ВСЕГО В НАЦИОНАЛЬНОЙ ВАЛЮТЕ</t>
  </si>
  <si>
    <t xml:space="preserve">ИТОГО СЫРЬЁ, МАТЕРИАЛЫ И ПРОЧИЕ ПЕРЕМЕННЫЕ ЗАТРАТЫ</t>
  </si>
  <si>
    <t xml:space="preserve">ПРОЧИЕ ПРОИЗВОДСТВЕННЫЕ РАСХОДЫ (постоянные, по ТЭО)</t>
  </si>
  <si>
    <t xml:space="preserve">Статьи затрат</t>
  </si>
  <si>
    <t xml:space="preserve">Состав (строки ТЭО F4 §3)</t>
  </si>
  <si>
    <t xml:space="preserve">Ремонт и техническое обслуживание</t>
  </si>
  <si>
    <t xml:space="preserve">Ремонт и содержание зданий; Ремонт и обслуживание оборудования</t>
  </si>
  <si>
    <t xml:space="preserve">Прочие производственные расходы (охрана труда, накладные и др.)</t>
  </si>
  <si>
    <t xml:space="preserve">Охрана труда; Стоки (канализация); Кек возвратный, вода из скважин, прочее</t>
  </si>
  <si>
    <t xml:space="preserve">Налог за пользование недрами (НДПИ)</t>
  </si>
  <si>
    <t xml:space="preserve">Итого:</t>
  </si>
  <si>
    <t xml:space="preserve">ЭНЕРГОРЕСУРСЫ И ОПЛАТА ТРУДА ПРИ ПРОЕКТНОЙ МОЩНОСТИ (в экв. долл. США, 2030 г.)</t>
  </si>
  <si>
    <t xml:space="preserve">Приложение 8</t>
  </si>
  <si>
    <t xml:space="preserve">СТАТЬИ ЗАТРАТ</t>
  </si>
  <si>
    <t xml:space="preserve">Электроэнергия — переменная часть</t>
  </si>
  <si>
    <t xml:space="preserve">kWh</t>
  </si>
  <si>
    <t xml:space="preserve">Природный газ — переменная часть</t>
  </si>
  <si>
    <t xml:space="preserve">m3</t>
  </si>
  <si>
    <t xml:space="preserve">Электроэнергия — постоянная часть (по ТЭО)</t>
  </si>
  <si>
    <t xml:space="preserve">Природный газ / топливо — постоянная часть (по ТЭО)</t>
  </si>
  <si>
    <t xml:space="preserve">Вода — постоянная часть (по ТЭО)</t>
  </si>
  <si>
    <t xml:space="preserve">ВСЕГО ЭНЕРГОРЕСУРСЫ</t>
  </si>
  <si>
    <t xml:space="preserve">РАСЧЕТ ЗАРАБОТНОЙ ПЛАТЫ</t>
  </si>
  <si>
    <t xml:space="preserve">Количество, чел.</t>
  </si>
  <si>
    <t xml:space="preserve">Среднемесячная з/плата на 1 чел., сум (ТЭО, цены 2026 г.)</t>
  </si>
  <si>
    <t xml:space="preserve">Среднемесячная з/плата на 1 чел., USD</t>
  </si>
  <si>
    <t xml:space="preserve">Годовой фонд з/платы, USD</t>
  </si>
  <si>
    <t xml:space="preserve">Отчисления (соц. налог), USD</t>
  </si>
  <si>
    <t xml:space="preserve">ПРОИЗВОДСТВЕННЫЙ ПЕРСОНАЛ</t>
  </si>
  <si>
    <t xml:space="preserve">Начальник цеха</t>
  </si>
  <si>
    <t xml:space="preserve">Операторы промывки и выщелачивания</t>
  </si>
  <si>
    <t xml:space="preserve">Операторы очистки и осаждения</t>
  </si>
  <si>
    <t xml:space="preserve">Операторы фильтр-прессов и прокалки</t>
  </si>
  <si>
    <t xml:space="preserve">Бригадир очистки сточных вод</t>
  </si>
  <si>
    <t xml:space="preserve">Рабочие очистки сточных вод</t>
  </si>
  <si>
    <t xml:space="preserve">Операторы котельной</t>
  </si>
  <si>
    <t xml:space="preserve">Персонал РУ и обслуживания систем</t>
  </si>
  <si>
    <t xml:space="preserve">Водители</t>
  </si>
  <si>
    <t xml:space="preserve">Автовесовая и охрана КПП</t>
  </si>
  <si>
    <t xml:space="preserve">ИТОГО (фонд оплаты труда + социальный налог)</t>
  </si>
  <si>
    <t xml:space="preserve">АДМИНИСТРАЦИЯ</t>
  </si>
  <si>
    <t xml:space="preserve">Генеральный директор</t>
  </si>
  <si>
    <t xml:space="preserve">Заместитель ген. директора</t>
  </si>
  <si>
    <t xml:space="preserve">Офисные служащие</t>
  </si>
  <si>
    <t xml:space="preserve">Руководитель фин.-эконом. отдела</t>
  </si>
  <si>
    <t xml:space="preserve">Бухгалтер</t>
  </si>
  <si>
    <t xml:space="preserve">Кассир</t>
  </si>
  <si>
    <t xml:space="preserve">Руководитель отдела снабжения и сбыта</t>
  </si>
  <si>
    <t xml:space="preserve">Специалист по закупкам</t>
  </si>
  <si>
    <t xml:space="preserve">Менеджер по продажам</t>
  </si>
  <si>
    <t xml:space="preserve">Руководитель отдела кадров</t>
  </si>
  <si>
    <t xml:space="preserve">Специалист по кадрам</t>
  </si>
  <si>
    <t xml:space="preserve">Специалист по обучению</t>
  </si>
  <si>
    <t xml:space="preserve">Главный инженер</t>
  </si>
  <si>
    <t xml:space="preserve">Инженер-металлург</t>
  </si>
  <si>
    <t xml:space="preserve">Инженер-электрик</t>
  </si>
  <si>
    <t xml:space="preserve">Прочие технические специалисты</t>
  </si>
  <si>
    <t xml:space="preserve">Отдел ОТ и ООС</t>
  </si>
  <si>
    <t xml:space="preserve">Прочий обслуживающий персонал</t>
  </si>
  <si>
    <t xml:space="preserve">ОБЩАЯ СУММА</t>
  </si>
  <si>
    <t xml:space="preserve">Зарплата установлена в ТЭО в сумах (реальные цены 2026 г.) и пересчитана в USD по курсу и индексации ТЭО.</t>
  </si>
  <si>
    <t xml:space="preserve">НАЛОГИ И СБОРЫ (в экв. долл. США)</t>
  </si>
  <si>
    <t xml:space="preserve">Приложение 9</t>
  </si>
  <si>
    <t xml:space="preserve">Ставка</t>
  </si>
  <si>
    <t xml:space="preserve">Налоги и сборы, включаемые в расходы</t>
  </si>
  <si>
    <t xml:space="preserve">   Налог на имущество</t>
  </si>
  <si>
    <t xml:space="preserve">1.50%</t>
  </si>
  <si>
    <t xml:space="preserve">   Земельный налог</t>
  </si>
  <si>
    <t xml:space="preserve">   Специальный рентный налог</t>
  </si>
  <si>
    <t xml:space="preserve">   Налог за пользование недрами (НДПИ) — в себестоимости</t>
  </si>
  <si>
    <t xml:space="preserve">   Социальный налог (производственный и административный персонал)</t>
  </si>
  <si>
    <t xml:space="preserve">12%</t>
  </si>
  <si>
    <t xml:space="preserve">Прочие налоги</t>
  </si>
  <si>
    <t xml:space="preserve">   Налог на прибыль (Приложение 13)</t>
  </si>
  <si>
    <t xml:space="preserve">по ТЭО</t>
  </si>
  <si>
    <t xml:space="preserve">   НДС к уплате в бюджет (по ТЭО; при превышении входящего НДС — к возмещению, см. ниже)</t>
  </si>
  <si>
    <t xml:space="preserve">ВСЕГО НАЛОГОВ И ОТЧИСЛЕНИЙ</t>
  </si>
  <si>
    <t xml:space="preserve">Расчет НДС</t>
  </si>
  <si>
    <t xml:space="preserve">НДС исходящий (реализация на внутреннем рынке; экспорт — 0%)</t>
  </si>
  <si>
    <t xml:space="preserve">НДС входящий — по операционным затратам</t>
  </si>
  <si>
    <t xml:space="preserve">НДС входящий — по капитальным вложениям (1-й год вкл. 2026 г.)</t>
  </si>
  <si>
    <t xml:space="preserve">НДС к уплате (+) / к возмещению из бюджета (−)</t>
  </si>
  <si>
    <t xml:space="preserve">Расчет налога на прибыль</t>
  </si>
  <si>
    <t xml:space="preserve">Прибыль до налогообложения по ТЭО-модели (при кредите ТЭО)</t>
  </si>
  <si>
    <t xml:space="preserve">Налог на прибыль по ТЭО-модели (с налоговыми корректировками, переносом убытков и отложенным налогом)</t>
  </si>
  <si>
    <t xml:space="preserve">Прибыль до налогообложения по бизнес-плану (Приложение 13)</t>
  </si>
  <si>
    <t xml:space="preserve">Ставка налога на прибыль (ТЭО)</t>
  </si>
  <si>
    <t xml:space="preserve">Налог на прибыль по бизнес-плану = налог ТЭО + ставка × (ПДН бизнес-плана − ПДН ТЭО)</t>
  </si>
  <si>
    <t xml:space="preserve">Структура финансирования влияет на налог только через проценты и амортизацию капитализированных процентов; все прочие налоговые особенности проекта (льготы, вменённый доход, рентный налог, перенос убытков) — по ТЭО.</t>
  </si>
  <si>
    <t xml:space="preserve">СТОИМОСТЬ ПРОДУКЦИИ ПРИ ПРОЕКТНОЙ МОЩНОСТИ (в экв. долл. США, 2030 г.)</t>
  </si>
  <si>
    <t xml:space="preserve">Приложение 10</t>
  </si>
  <si>
    <t xml:space="preserve">Разделение на постоянные и переменные затраты — по классификации ТЭО (формы F4, F5, F6, F10).</t>
  </si>
  <si>
    <t xml:space="preserve">Статьи издержек</t>
  </si>
  <si>
    <t xml:space="preserve">Всего стоимость</t>
  </si>
  <si>
    <t xml:space="preserve">Доля постоянных затрат (%)</t>
  </si>
  <si>
    <t xml:space="preserve">Доля переменных затрат (%)</t>
  </si>
  <si>
    <t xml:space="preserve">Фиксированная стоимость</t>
  </si>
  <si>
    <t xml:space="preserve">Переменная стоимость</t>
  </si>
  <si>
    <t xml:space="preserve">Сырьё, материалы и прочие переменные затраты по статьям ТЭО</t>
  </si>
  <si>
    <t xml:space="preserve">   с ценой в твёрдой валюте (USD)</t>
  </si>
  <si>
    <t xml:space="preserve">0</t>
  </si>
  <si>
    <t xml:space="preserve">   с ценой в национальной валюте</t>
  </si>
  <si>
    <t xml:space="preserve">Энергоресурсы (электроэнергия, газ, вода)</t>
  </si>
  <si>
    <t xml:space="preserve">Зарплата производственного персонала (с соц. налогом)</t>
  </si>
  <si>
    <t xml:space="preserve">Зарплата административного персонала (с соц. налогом)</t>
  </si>
  <si>
    <t xml:space="preserve">Ремонт и техническое обслуживание (постоянная часть)</t>
  </si>
  <si>
    <t xml:space="preserve">Прочие производственные расходы (постоянная часть)</t>
  </si>
  <si>
    <t xml:space="preserve">Административные расходы (без персонала и амортизации)</t>
  </si>
  <si>
    <t xml:space="preserve">Коммерческие расходы</t>
  </si>
  <si>
    <t xml:space="preserve">Налог на имущество и земельный налог</t>
  </si>
  <si>
    <t xml:space="preserve">Специальный рентный налог</t>
  </si>
  <si>
    <t xml:space="preserve">Резерв на непредвиденные операционные расходы (ТЭО)</t>
  </si>
  <si>
    <t xml:space="preserve">Прочие операционные расходы / (доходы)</t>
  </si>
  <si>
    <t xml:space="preserve">Амортизация (Приложение 4)</t>
  </si>
  <si>
    <t xml:space="preserve">ИТОГО</t>
  </si>
  <si>
    <t xml:space="preserve">в т.ч. в местной валюте</t>
  </si>
  <si>
    <t xml:space="preserve">в т.ч. в твёрдой валюте (производственные затраты в USD, ТЭО)</t>
  </si>
  <si>
    <t xml:space="preserve">Выручка (2030 г.)</t>
  </si>
  <si>
    <t xml:space="preserve">Затраты на 1 USD выручки</t>
  </si>
  <si>
    <t xml:space="preserve">Полная себестоимость единицы основной продукции, USD/t</t>
  </si>
  <si>
    <t xml:space="preserve">ГОДОВАЯ СТОИМОСТЬ ПРОДАННОЙ ПРОДУКЦИИ (в экв. долл. США)</t>
  </si>
  <si>
    <t xml:space="preserve">Приложение 11</t>
  </si>
  <si>
    <t xml:space="preserve">Освоение мощностей (основная продукция)</t>
  </si>
  <si>
    <t xml:space="preserve">ПРОИЗВОДСТВЕННАЯ СЕБЕСТОИМОСТЬ ПО ЭЛЕМЕНТАМ</t>
  </si>
  <si>
    <t xml:space="preserve">   Сырьё</t>
  </si>
  <si>
    <t xml:space="preserve">   Вспомогательные материалы</t>
  </si>
  <si>
    <t xml:space="preserve">   Электроэнергия</t>
  </si>
  <si>
    <t xml:space="preserve">   Природный газ / топливо</t>
  </si>
  <si>
    <t xml:space="preserve">   Вода</t>
  </si>
  <si>
    <t xml:space="preserve">   Заработная плата</t>
  </si>
  <si>
    <t xml:space="preserve">   Социальный налог</t>
  </si>
  <si>
    <t xml:space="preserve">   Амортизация (Приложение 4)</t>
  </si>
  <si>
    <t xml:space="preserve">   Ремонт и техобслуживание</t>
  </si>
  <si>
    <t xml:space="preserve">   Прочие производственные расходы (без НДПИ)</t>
  </si>
  <si>
    <t xml:space="preserve">   Налог за пользование недрами (НДПИ)</t>
  </si>
  <si>
    <t xml:space="preserve">Себестоимость произведенной продукции</t>
  </si>
  <si>
    <t xml:space="preserve">   Изменение остатков готовой продукции (− прирост запаса)</t>
  </si>
  <si>
    <t xml:space="preserve">Себестоимость реализованной продукции</t>
  </si>
  <si>
    <t xml:space="preserve">   в т.ч. затраты в твёрдой валюте (USD)</t>
  </si>
  <si>
    <t xml:space="preserve">   в т.ч. затраты в национальной валюте</t>
  </si>
  <si>
    <t xml:space="preserve">РАСХОДЫ ПЕРИОДА</t>
  </si>
  <si>
    <t xml:space="preserve">   Зарплата административного персонала (с соц. налогом)</t>
  </si>
  <si>
    <t xml:space="preserve">   Амортизация административных активов</t>
  </si>
  <si>
    <t xml:space="preserve">   Прочие административные расходы (аренда, налог за воду, прочие)</t>
  </si>
  <si>
    <t xml:space="preserve">   Коммерческие расходы (расходы по реализации)</t>
  </si>
  <si>
    <t xml:space="preserve">Итого расходы периода</t>
  </si>
  <si>
    <t xml:space="preserve">НАЛОГИ И ПРОЧИЕ ОПЕРАЦИОННЫЕ РАСХОДЫ</t>
  </si>
  <si>
    <t xml:space="preserve">   Резерв на непредвиденные операционные расходы (ТЭО, F6)</t>
  </si>
  <si>
    <t xml:space="preserve">   Прочие операционные расходы / (доходы)</t>
  </si>
  <si>
    <t xml:space="preserve">Итого налоги и прочие операционные расходы</t>
  </si>
  <si>
    <t xml:space="preserve">ФИНАНСОВЫЕ ИЗДЕРЖКИ</t>
  </si>
  <si>
    <t xml:space="preserve">   Проценты за кредит (1-й год — капитализированы, оплачены за счёт собственных средств)</t>
  </si>
  <si>
    <t xml:space="preserve">ПОЛНАЯ СТОИМОСТЬ ПРОДАННОЙ ПРОДУКЦИИ</t>
  </si>
  <si>
    <t xml:space="preserve">Полная себестоимость единицы основной продукции</t>
  </si>
  <si>
    <t xml:space="preserve">СХЕМА ВЫПЛАТЫ КРЕДИТА (в долл. США)</t>
  </si>
  <si>
    <t xml:space="preserve">Приложение 12</t>
  </si>
  <si>
    <t xml:space="preserve">месяцев</t>
  </si>
  <si>
    <t xml:space="preserve">Льготный период</t>
  </si>
  <si>
    <t xml:space="preserve">Инвестиционный период</t>
  </si>
  <si>
    <t xml:space="preserve">годовых</t>
  </si>
  <si>
    <t xml:space="preserve">Сумма кредита</t>
  </si>
  <si>
    <t xml:space="preserve">Дата выдачи</t>
  </si>
  <si>
    <t xml:space="preserve">База начисления процентов</t>
  </si>
  <si>
    <t xml:space="preserve">дней</t>
  </si>
  <si>
    <t xml:space="preserve">Количество платежей по основному долгу</t>
  </si>
  <si>
    <t xml:space="preserve">платежей</t>
  </si>
  <si>
    <t xml:space="preserve">Ежемесячный платёж по основному долгу</t>
  </si>
  <si>
    <t xml:space="preserve">№</t>
  </si>
  <si>
    <t xml:space="preserve">Дата платежа</t>
  </si>
  <si>
    <t xml:space="preserve">Остаток на начало</t>
  </si>
  <si>
    <t xml:space="preserve">Проценты</t>
  </si>
  <si>
    <t xml:space="preserve">Всего выплат</t>
  </si>
  <si>
    <t xml:space="preserve">Остаток на конец</t>
  </si>
  <si>
    <t xml:space="preserve">Год</t>
  </si>
  <si>
    <t xml:space="preserve">№ года</t>
  </si>
  <si>
    <t xml:space="preserve">ГОДОВАЯ СВОДКА ПО КРЕДИТУ</t>
  </si>
  <si>
    <t xml:space="preserve">1 год (2027)</t>
  </si>
  <si>
    <t xml:space="preserve">2 год (2028)</t>
  </si>
  <si>
    <t xml:space="preserve">3 год (2029)</t>
  </si>
  <si>
    <t xml:space="preserve">4 год (2030)</t>
  </si>
  <si>
    <t xml:space="preserve">5 год (2031)</t>
  </si>
  <si>
    <t xml:space="preserve">6 год (2032)</t>
  </si>
  <si>
    <t xml:space="preserve">7 год (2033)</t>
  </si>
  <si>
    <t xml:space="preserve">Выдача кредита</t>
  </si>
  <si>
    <t xml:space="preserve">Всего обслуживание долга</t>
  </si>
  <si>
    <t xml:space="preserve">Остаток задолженности на конец года</t>
  </si>
  <si>
    <t xml:space="preserve">ПРЕДПОЛАГАЕМЫЕ СЧЕТА ПРИБЫЛЕЙ И УБЫТКОВ (в экв. долл. США)</t>
  </si>
  <si>
    <t xml:space="preserve">Приложение 13</t>
  </si>
  <si>
    <t xml:space="preserve">Выручка от реализации продукции (с НДС)</t>
  </si>
  <si>
    <t xml:space="preserve">   экспорт (в твёрдой валюте)</t>
  </si>
  <si>
    <t xml:space="preserve">   внутренний рынок (с НДС)</t>
  </si>
  <si>
    <t xml:space="preserve">НДС, начисленный с реализации</t>
  </si>
  <si>
    <t xml:space="preserve">Чистая выручка от реализации продукции</t>
  </si>
  <si>
    <t xml:space="preserve">   в твёрдой валюте</t>
  </si>
  <si>
    <t xml:space="preserve">   в местной валюте</t>
  </si>
  <si>
    <t xml:space="preserve">Валовая прибыль (убыток)</t>
  </si>
  <si>
    <t xml:space="preserve">Расходы периода (административные и коммерческие)</t>
  </si>
  <si>
    <t xml:space="preserve">Налоги и прочие операционные расходы</t>
  </si>
  <si>
    <t xml:space="preserve">Прибыль (убыток) от основной деятельности (EBIT)</t>
  </si>
  <si>
    <t xml:space="preserve">Финансовые расходы</t>
  </si>
  <si>
    <t xml:space="preserve">   Проценты за кредит</t>
  </si>
  <si>
    <t xml:space="preserve">Прибыль (убыток) до налогообложения</t>
  </si>
  <si>
    <t xml:space="preserve">Налог на прибыль (Приложение 9)</t>
  </si>
  <si>
    <t xml:space="preserve">Чистая прибыль (убыток)</t>
  </si>
  <si>
    <t xml:space="preserve">Коэффициенты рентабельности и покрытия</t>
  </si>
  <si>
    <t xml:space="preserve">Валовая рентабельность</t>
  </si>
  <si>
    <t xml:space="preserve">Чистая рентабельность</t>
  </si>
  <si>
    <t xml:space="preserve">Маржа EBITDA</t>
  </si>
  <si>
    <t xml:space="preserve">EBIT / Проценты за кредит</t>
  </si>
  <si>
    <t xml:space="preserve">Долг / EBITDA</t>
  </si>
  <si>
    <t xml:space="preserve">1-й год: проценты за кредит льготного периода оплачиваются за счёт собственных средств и капитализируются в стоимость основных средств (МСФО IAS 23, Приложения 1 и 4); в отчёт о прибылях и убытках не включаются.</t>
  </si>
  <si>
    <t xml:space="preserve">ПРЕДПОЛОЖЕНИЯ ПО РАБОЧЕМУ КАПИТАЛУ (в экв. долл. США)</t>
  </si>
  <si>
    <t xml:space="preserve">Приложение 14</t>
  </si>
  <si>
    <t xml:space="preserve">Показатели</t>
  </si>
  <si>
    <t xml:space="preserve">Дни покрытия</t>
  </si>
  <si>
    <t xml:space="preserve">Период поступления от продаж (дебиторская задолженность)</t>
  </si>
  <si>
    <t xml:space="preserve">Запасы сырья и материалов на складе</t>
  </si>
  <si>
    <t xml:space="preserve">Незавершенная продукция</t>
  </si>
  <si>
    <t xml:space="preserve">Запасы готовой продукции (минимальный запас)</t>
  </si>
  <si>
    <t xml:space="preserve">Период оплаты поставщикам (кредиторская задолженность)</t>
  </si>
  <si>
    <t xml:space="preserve">Задолженность по заработной плате</t>
  </si>
  <si>
    <t xml:space="preserve">Возмещение НДС (операционный)</t>
  </si>
  <si>
    <t xml:space="preserve">Возмещение НДС по капитальным вложениям</t>
  </si>
  <si>
    <t xml:space="preserve">ПОКАЗАТЕЛИ (на конец года)</t>
  </si>
  <si>
    <t xml:space="preserve">Начало</t>
  </si>
  <si>
    <t xml:space="preserve">01.01.2026</t>
  </si>
  <si>
    <t xml:space="preserve">Дебиторская задолженность</t>
  </si>
  <si>
    <t xml:space="preserve">Запасы (сырьё, материалы, НЗП, готовая продукция)</t>
  </si>
  <si>
    <t xml:space="preserve">НДС к возмещению</t>
  </si>
  <si>
    <t xml:space="preserve">Итого текущих активов</t>
  </si>
  <si>
    <t xml:space="preserve">Кредиторская задолженность</t>
  </si>
  <si>
    <t xml:space="preserve">Задолженность по оплате труда и налогам с ФОТ</t>
  </si>
  <si>
    <t xml:space="preserve">Итого текущих обязательств</t>
  </si>
  <si>
    <t xml:space="preserve">Чистый рабочий капитал</t>
  </si>
  <si>
    <t xml:space="preserve">Изменения в рабочем капитале (− рост / + снижение)</t>
  </si>
  <si>
    <t xml:space="preserve">Прочие изменения операционных статей (налоги к уплате и пр., по ТЭО)</t>
  </si>
  <si>
    <t xml:space="preserve">Изменение рабочего капитала для потока наличности (Приложение 15)</t>
  </si>
  <si>
    <t xml:space="preserve">1-й год: изменение рассчитано от начала строительства (01.01.2026), т.е. включает 2026 г. Остатки — по балансу ТЭО-модели.</t>
  </si>
  <si>
    <t xml:space="preserve">ПОТОКИ НАЛИЧНОСТИ (в экв. долл. США)</t>
  </si>
  <si>
    <t xml:space="preserve">Приложение 15</t>
  </si>
  <si>
    <t xml:space="preserve">1-й год (2027) — инвестиционный и льготный период; включает также освоение капвложений и расходы подготовительного периода 2026 г.</t>
  </si>
  <si>
    <t xml:space="preserve">Изменения в рабочем капитале (Приложение 14)</t>
  </si>
  <si>
    <t xml:space="preserve">Наличность от продаж</t>
  </si>
  <si>
    <t xml:space="preserve">Валовые поступления наличности</t>
  </si>
  <si>
    <t xml:space="preserve">Расходы периода</t>
  </si>
  <si>
    <t xml:space="preserve">Расходы подготовительного периода 2026 г.</t>
  </si>
  <si>
    <t xml:space="preserve">Налог на прибыль</t>
  </si>
  <si>
    <t xml:space="preserve">Амортизация (неденежная статья, прибавляется)</t>
  </si>
  <si>
    <t xml:space="preserve">Собственный капитал (взнос заемщика)</t>
  </si>
  <si>
    <t xml:space="preserve">Привлеченный кредит банка</t>
  </si>
  <si>
    <t xml:space="preserve">Инвестиции (капитальные вложения; 1-й год вкл. 2026 г.)</t>
  </si>
  <si>
    <t xml:space="preserve">Проценты за кредит (B)</t>
  </si>
  <si>
    <t xml:space="preserve">Прочие финансовые издержки в инвестиционный период (проценты льготного периода)</t>
  </si>
  <si>
    <t xml:space="preserve">Чистые поступления наличности</t>
  </si>
  <si>
    <t xml:space="preserve">Выплата основного долга (C)</t>
  </si>
  <si>
    <t xml:space="preserve">Коэффициент обслуживания долга, DSCR [(A)/(B+C)]</t>
  </si>
  <si>
    <t xml:space="preserve">DSCR с учётом поддерживающих капвложений [(A − инвестиции)/(B+C)]</t>
  </si>
  <si>
    <t xml:space="preserve">Минимальный DSCR (2–7 годы)</t>
  </si>
  <si>
    <t xml:space="preserve">Средний DSCR (2–7 годы)</t>
  </si>
  <si>
    <t xml:space="preserve">Проценты льготного периода (1-й год) уплачиваются за счёт собственных средств заемщика (включены в стоимость проекта, Приложение 1). Налог на прибыль — в размере начисленного (без учёта отсрочки уплаты).</t>
  </si>
  <si>
    <t xml:space="preserve">ТОЧКА БЕЗУБЫТОЧНОСТИ (в экв. долл. США, 2030 г.)</t>
  </si>
  <si>
    <t xml:space="preserve">Приложение 16</t>
  </si>
  <si>
    <t xml:space="preserve">Общие продажи при проектной мощности</t>
  </si>
  <si>
    <t xml:space="preserve">Маржинальный доход</t>
  </si>
  <si>
    <t xml:space="preserve">Точка безубыточности (доля от выручки при проектной мощности)</t>
  </si>
  <si>
    <t xml:space="preserve">Точка безубыточности, USD выручки</t>
  </si>
  <si>
    <t xml:space="preserve">Точка безубыточности в натуральном выражении (основная продукция)</t>
  </si>
  <si>
    <t xml:space="preserve">Запас финансовой прочности</t>
  </si>
  <si>
    <t xml:space="preserve">Справочно: снижение цены всех продуктов до безубыточности по ТЭО-модели (12 лет)</t>
  </si>
  <si>
    <t xml:space="preserve">РАСЧЁТ NPV, IRR И СРОКА ОКУПАЕМОСТИ ПРОЕКТА (в экв. долл. США)</t>
  </si>
  <si>
    <t xml:space="preserve">Денежный поток проекта (до финансирования) = операционный поток (A) − инвестиции; горизонт — срок кредита (7 лет), без остаточной стоимости.</t>
  </si>
  <si>
    <t xml:space="preserve">Период (лет)</t>
  </si>
  <si>
    <t xml:space="preserve">Инвестиции</t>
  </si>
  <si>
    <t xml:space="preserve">Поток наличности проекта (FCFF)</t>
  </si>
  <si>
    <t xml:space="preserve">Ставка дисконта (WACC по ТЭО)</t>
  </si>
  <si>
    <t xml:space="preserve">Коэффициент дисконтирования</t>
  </si>
  <si>
    <t xml:space="preserve">Дисконтированный поток</t>
  </si>
  <si>
    <t xml:space="preserve">Накопленный поток</t>
  </si>
  <si>
    <t xml:space="preserve">Накопленный дисконтированный поток (NPV нарастающим итогом)</t>
  </si>
  <si>
    <t xml:space="preserve">вспом.: окупаемость</t>
  </si>
  <si>
    <t xml:space="preserve">вспом.: дисконтированная окупаемость</t>
  </si>
  <si>
    <t xml:space="preserve">NPV (чистая приведённая стоимость), USD</t>
  </si>
  <si>
    <t xml:space="preserve">IRR (внутренняя норма доходности)</t>
  </si>
  <si>
    <t xml:space="preserve">Простой срок окупаемости, лет (от начала 1-го года)</t>
  </si>
  <si>
    <t xml:space="preserve">Справочно: показатели ТЭО-модели (горизонт 12 лет, исходная структура финансирования ТЭО)</t>
  </si>
  <si>
    <t xml:space="preserve">NPV проекта (FCFF по WACC), USD</t>
  </si>
  <si>
    <t xml:space="preserve">IRR проекта</t>
  </si>
  <si>
    <t xml:space="preserve">Срок окупаемости, лет от начала модели (01.01.2026)</t>
  </si>
  <si>
    <t xml:space="preserve">Индекс доходности</t>
  </si>
  <si>
    <t xml:space="preserve">КОНТРОЛЬНЫЕ ПРОВЕРКИ МОДЕЛИ</t>
  </si>
  <si>
    <t xml:space="preserve">Проверка</t>
  </si>
  <si>
    <t xml:space="preserve">Значение</t>
  </si>
  <si>
    <t xml:space="preserve">Допуск</t>
  </si>
  <si>
    <t xml:space="preserve">Результат</t>
  </si>
  <si>
    <t xml:space="preserve">Выручка = ТЭО (сумма отклонений за 1–7 годы, USD)</t>
  </si>
  <si>
    <t xml:space="preserve">EBITDA = ТЭО (сумма отклонений, USD)</t>
  </si>
  <si>
    <t xml:space="preserve">Производственная себестоимость по элементам = ТЭО (без амортизации капитализированных процентов)</t>
  </si>
  <si>
    <t xml:space="preserve">Производство = мощность × освоение = ТЭО</t>
  </si>
  <si>
    <t xml:space="preserve">Запас готовой продукции на конец 7-го года = ТЭО</t>
  </si>
  <si>
    <t xml:space="preserve">Стоимость проекта = источники финансирования (USD)</t>
  </si>
  <si>
    <t xml:space="preserve">Кредит в финансовом плане = сумма кредита (USD)</t>
  </si>
  <si>
    <t xml:space="preserve">Кредит полностью погашен к концу 7-го года (остаток, USD)</t>
  </si>
  <si>
    <t xml:space="preserve">Сумма кредитов по трём проектам = 78 000 000 USD</t>
  </si>
  <si>
    <t xml:space="preserve">Минимальный чистый поток наличности за 1–7 годы (должен быть &gt; 0)</t>
  </si>
  <si>
    <t xml:space="preserve">Минимальный кумулятивный поток наличности (должен быть &gt; 0)</t>
  </si>
  <si>
    <t xml:space="preserve">Минимальная чистая прибыль за 1–7 годы (должна быть &gt; 0)</t>
  </si>
  <si>
    <t xml:space="preserve">Минимальный DSCR за 2–7 годы (≥ 1,20)</t>
  </si>
  <si>
    <t xml:space="preserve">Амортизация по объектам = ТЭО (без капитализированных процентов)</t>
  </si>
  <si>
    <t xml:space="preserve">Затраты при проектной мощности (Прил. 10) = себестоимость + расходы периода + прочие (2030 г., Прил. 11)</t>
  </si>
  <si>
    <t xml:space="preserve">Сырьё, материалы, энергоресурсы, ФОТ и прочие (Прил. 7, 8) = производственная себестоимость без амортизации (2030 г.)</t>
  </si>
  <si>
    <t xml:space="preserve">Фонд оплаты труда административного персонала с соц. налогом (Прил. 8) = ТЭО (2030 г.)</t>
  </si>
  <si>
    <t xml:space="preserve">Поток 1-го года: собственные средства покрывают все затраты сверх кредита (остаток на конец 1-го года ≥ резерва)</t>
  </si>
  <si>
    <t xml:space="preserve">ИТОГ ПРОВЕРОК</t>
  </si>
  <si>
    <t xml:space="preserve">ИСХОДНЫЕ ДАННЫЕ ИЗ ТЭО-МОДЕЛИ (в долл. США, если не указано иное)</t>
  </si>
  <si>
    <t xml:space="preserve">Источник: финансовая модель ТЭО «UzTMK_BP_Model_v1_10_Molybdenum_FS.xlsx». Значения перенесены без изменений (синий шрифт); столбец «Источник» — лист и строка модели.</t>
  </si>
  <si>
    <t xml:space="preserve">Код</t>
  </si>
  <si>
    <t xml:space="preserve">Показатель</t>
  </si>
  <si>
    <t xml:space="preserve">Источник (лист!строка ТЭО-модели)</t>
  </si>
  <si>
    <t xml:space="preserve">2026</t>
  </si>
  <si>
    <t xml:space="preserve">1. ПАРАМЕТРЫ ТЭО-МОДЕЛИ</t>
  </si>
  <si>
    <t xml:space="preserve">wacc</t>
  </si>
  <si>
    <t xml:space="preserve">Ставка дисконтирования проекта (WACC), номинальная в USD</t>
  </si>
  <si>
    <t xml:space="preserve">F12 Financing!стр.154</t>
  </si>
  <si>
    <t xml:space="preserve">capbc_life</t>
  </si>
  <si>
    <t xml:space="preserve">Срок амортизации капитализированных процентов (IAS 23), лет</t>
  </si>
  <si>
    <t xml:space="preserve">лет</t>
  </si>
  <si>
    <t xml:space="preserve">F12 Financing!стр.127</t>
  </si>
  <si>
    <t xml:space="preserve">months_y1</t>
  </si>
  <si>
    <t xml:space="preserve">Месяцев эксплуатации в 2027 г. (начало производства 01.10.2027)</t>
  </si>
  <si>
    <t xml:space="preserve">мес.</t>
  </si>
  <si>
    <t xml:space="preserve">F1 General §5.04</t>
  </si>
  <si>
    <t xml:space="preserve">dso</t>
  </si>
  <si>
    <t xml:space="preserve">Оборотный капитал / ФОТ: Дебиторская задолженность</t>
  </si>
  <si>
    <t xml:space="preserve">Assumptions!стр.118</t>
  </si>
  <si>
    <t xml:space="preserve">rm_days</t>
  </si>
  <si>
    <t xml:space="preserve">Оборотный капитал / ФОТ: Запасы сырья и материалов</t>
  </si>
  <si>
    <t xml:space="preserve">F11 Working capital!стр.18</t>
  </si>
  <si>
    <t xml:space="preserve">wip_days</t>
  </si>
  <si>
    <t xml:space="preserve">Оборотный капитал / ФОТ: Незавершённое производство</t>
  </si>
  <si>
    <t xml:space="preserve">Assumptions!стр.116</t>
  </si>
  <si>
    <t xml:space="preserve">fg_days</t>
  </si>
  <si>
    <t xml:space="preserve">Оборотный капитал / ФОТ: Готовая продукция (мин. запас)</t>
  </si>
  <si>
    <t xml:space="preserve">Assumptions!стр.117</t>
  </si>
  <si>
    <t xml:space="preserve">dpo</t>
  </si>
  <si>
    <t xml:space="preserve">Оборотный капитал / ФОТ: Кредиторская задолженность</t>
  </si>
  <si>
    <t xml:space="preserve">Assumptions!стр.119</t>
  </si>
  <si>
    <t xml:space="preserve">wage_lag</t>
  </si>
  <si>
    <t xml:space="preserve">Оборотный капитал / ФОТ: Задолженность по зарплате</t>
  </si>
  <si>
    <t xml:space="preserve">Assumptions!стр.104</t>
  </si>
  <si>
    <t xml:space="preserve">vat_refund_lag</t>
  </si>
  <si>
    <t xml:space="preserve">Оборотный капитал / ФОТ: Срок возмещения НДС (операционный)</t>
  </si>
  <si>
    <t xml:space="preserve">Assumptions!стр.109</t>
  </si>
  <si>
    <t xml:space="preserve">capex_vat_lag</t>
  </si>
  <si>
    <t xml:space="preserve">Оборотный капитал / ФОТ: Срок возмещения НДС по капвложениям</t>
  </si>
  <si>
    <t xml:space="preserve">Assumptions!стр.112</t>
  </si>
  <si>
    <t xml:space="preserve">soc_rate</t>
  </si>
  <si>
    <t xml:space="preserve">Ставка социального налога</t>
  </si>
  <si>
    <t xml:space="preserve">Assumptions!стр.67</t>
  </si>
  <si>
    <t xml:space="preserve">npv_model</t>
  </si>
  <si>
    <t xml:space="preserve">NPV проекта по ТЭО-модели (12 лет, исходная структура финансирования)</t>
  </si>
  <si>
    <t xml:space="preserve">irr_model</t>
  </si>
  <si>
    <t xml:space="preserve">IRR проекта по ТЭО-модели</t>
  </si>
  <si>
    <t xml:space="preserve">Dashboard!стр.6</t>
  </si>
  <si>
    <t xml:space="preserve">payback_model</t>
  </si>
  <si>
    <t xml:space="preserve">Срок окупаемости по ТЭО-модели, лет от начала модели</t>
  </si>
  <si>
    <t xml:space="preserve">Dashboard!стр.9</t>
  </si>
  <si>
    <t xml:space="preserve">dpayback_model</t>
  </si>
  <si>
    <t xml:space="preserve">Дисконтированный срок окупаемости по ТЭО-модели, лет</t>
  </si>
  <si>
    <t xml:space="preserve">Dashboard!стр.10</t>
  </si>
  <si>
    <t xml:space="preserve">pi_model</t>
  </si>
  <si>
    <t xml:space="preserve">Индекс доходности по ТЭО-модели</t>
  </si>
  <si>
    <t xml:space="preserve">Dashboard!стр.11</t>
  </si>
  <si>
    <t xml:space="preserve">2. КУРС, НАЛОГОВЫЕ СТАВКИ</t>
  </si>
  <si>
    <t xml:space="preserve">fx</t>
  </si>
  <si>
    <t xml:space="preserve">Средний курс UZS за 1 USD</t>
  </si>
  <si>
    <t xml:space="preserve">сум</t>
  </si>
  <si>
    <t xml:space="preserve">F12 Financing!стр.15</t>
  </si>
  <si>
    <t xml:space="preserve">cit_rate</t>
  </si>
  <si>
    <t xml:space="preserve">Ставка налога на прибыль</t>
  </si>
  <si>
    <t xml:space="preserve">F10 Taxes!стр.13</t>
  </si>
  <si>
    <t xml:space="preserve">vat_rate</t>
  </si>
  <si>
    <t xml:space="preserve">Ставка НДС</t>
  </si>
  <si>
    <t xml:space="preserve">F10 Taxes!стр.40</t>
  </si>
  <si>
    <t xml:space="preserve">3. ПРОИЗВОДСТВО И РЕАЛИЗАЦИЯ</t>
  </si>
  <si>
    <t xml:space="preserve">cap0</t>
  </si>
  <si>
    <t xml:space="preserve">Триоксид молибдена MoO3: проектная мощность в год</t>
  </si>
  <si>
    <t xml:space="preserve">F2 Production!стр.20</t>
  </si>
  <si>
    <t xml:space="preserve">util0</t>
  </si>
  <si>
    <t xml:space="preserve">Триоксид молибдена MoO3: освоение мощности</t>
  </si>
  <si>
    <t xml:space="preserve">prod0</t>
  </si>
  <si>
    <t xml:space="preserve">Триоксид молибдена MoO3: производство</t>
  </si>
  <si>
    <t xml:space="preserve">F2 Production!стр.14</t>
  </si>
  <si>
    <t xml:space="preserve">sexp0</t>
  </si>
  <si>
    <t xml:space="preserve">Триоксид молибдена MoO3: продажи — экспорт</t>
  </si>
  <si>
    <t xml:space="preserve">F3 Prices &amp; Revenue!стр.36</t>
  </si>
  <si>
    <t xml:space="preserve">sdom0</t>
  </si>
  <si>
    <t xml:space="preserve">Триоксид молибдена MoO3: продажи — внутренний рынок</t>
  </si>
  <si>
    <t xml:space="preserve">F3 Prices &amp; Revenue!стр.35</t>
  </si>
  <si>
    <t xml:space="preserve">close0</t>
  </si>
  <si>
    <t xml:space="preserve">Триоксид молибдена MoO3: запас на конец года</t>
  </si>
  <si>
    <t xml:space="preserve">F3 Prices &amp; Revenue!стр.39</t>
  </si>
  <si>
    <t xml:space="preserve">price0</t>
  </si>
  <si>
    <t xml:space="preserve">Триоксид молибдена MoO3: цена реализации</t>
  </si>
  <si>
    <t xml:space="preserve">F3 Prices &amp; Revenue!стр.58</t>
  </si>
  <si>
    <t xml:space="preserve">rev0</t>
  </si>
  <si>
    <t xml:space="preserve">Триоксид молибдена MoO3: выручка (контроль)</t>
  </si>
  <si>
    <t xml:space="preserve">F3 Prices &amp; Revenue!стр.60</t>
  </si>
  <si>
    <t xml:space="preserve">cap1</t>
  </si>
  <si>
    <t xml:space="preserve">Медный шлак (25% Cu): проектная мощность в год</t>
  </si>
  <si>
    <t xml:space="preserve">F2 Production!стр.21</t>
  </si>
  <si>
    <t xml:space="preserve">util1</t>
  </si>
  <si>
    <t xml:space="preserve">Медный шлак (25% Cu): освоение мощности</t>
  </si>
  <si>
    <t xml:space="preserve">prod1</t>
  </si>
  <si>
    <t xml:space="preserve">Медный шлак (25% Cu): производство</t>
  </si>
  <si>
    <t xml:space="preserve">F2 Production!стр.15</t>
  </si>
  <si>
    <t xml:space="preserve">sexp1</t>
  </si>
  <si>
    <t xml:space="preserve">Медный шлак (25% Cu): продажи — экспорт</t>
  </si>
  <si>
    <t xml:space="preserve">F3 Prices &amp; Revenue!стр.42</t>
  </si>
  <si>
    <t xml:space="preserve">sdom1</t>
  </si>
  <si>
    <t xml:space="preserve">Медный шлак (25% Cu): продажи — внутренний рынок</t>
  </si>
  <si>
    <t xml:space="preserve">F3 Prices &amp; Revenue!стр.41</t>
  </si>
  <si>
    <t xml:space="preserve">close1</t>
  </si>
  <si>
    <t xml:space="preserve">Медный шлак (25% Cu): запас на конец года</t>
  </si>
  <si>
    <t xml:space="preserve">F3 Prices &amp; Revenue!стр.45</t>
  </si>
  <si>
    <t xml:space="preserve">price1</t>
  </si>
  <si>
    <t xml:space="preserve">Медный шлак (25% Cu): цена реализации</t>
  </si>
  <si>
    <t xml:space="preserve">F3 Prices &amp; Revenue!стр.62</t>
  </si>
  <si>
    <t xml:space="preserve">rev1</t>
  </si>
  <si>
    <t xml:space="preserve">Медный шлак (25% Cu): выручка (контроль)</t>
  </si>
  <si>
    <t xml:space="preserve">F3 Prices &amp; Revenue!стр.64</t>
  </si>
  <si>
    <t xml:space="preserve">cap2</t>
  </si>
  <si>
    <t xml:space="preserve">Кальциевая селитра: проектная мощность в год</t>
  </si>
  <si>
    <t xml:space="preserve">F2 Production!стр.22</t>
  </si>
  <si>
    <t xml:space="preserve">util2</t>
  </si>
  <si>
    <t xml:space="preserve">Кальциевая селитра: освоение мощности</t>
  </si>
  <si>
    <t xml:space="preserve">prod2</t>
  </si>
  <si>
    <t xml:space="preserve">Кальциевая селитра: производство</t>
  </si>
  <si>
    <t xml:space="preserve">F2 Production!стр.16</t>
  </si>
  <si>
    <t xml:space="preserve">sexp2</t>
  </si>
  <si>
    <t xml:space="preserve">Кальциевая селитра: продажи — экспорт</t>
  </si>
  <si>
    <t xml:space="preserve">F3 Prices &amp; Revenue!стр.48</t>
  </si>
  <si>
    <t xml:space="preserve">sdom2</t>
  </si>
  <si>
    <t xml:space="preserve">Кальциевая селитра: продажи — внутренний рынок</t>
  </si>
  <si>
    <t xml:space="preserve">F3 Prices &amp; Revenue!стр.47</t>
  </si>
  <si>
    <t xml:space="preserve">close2</t>
  </si>
  <si>
    <t xml:space="preserve">Кальциевая селитра: запас на конец года</t>
  </si>
  <si>
    <t xml:space="preserve">F3 Prices &amp; Revenue!стр.51</t>
  </si>
  <si>
    <t xml:space="preserve">price2</t>
  </si>
  <si>
    <t xml:space="preserve">Кальциевая селитра: цена реализации</t>
  </si>
  <si>
    <t xml:space="preserve">F3 Prices &amp; Revenue!стр.66</t>
  </si>
  <si>
    <t xml:space="preserve">rev2</t>
  </si>
  <si>
    <t xml:space="preserve">Кальциевая селитра: выручка (контроль)</t>
  </si>
  <si>
    <t xml:space="preserve">F3 Prices &amp; Revenue!стр.68</t>
  </si>
  <si>
    <t xml:space="preserve">4. ОТЧЁТ О ПРИБЫЛЯХ И УБЫТКАХ ТЭО-МОДЕЛИ (затраты со знаком «+»)</t>
  </si>
  <si>
    <t xml:space="preserve">rev</t>
  </si>
  <si>
    <t xml:space="preserve">Выручка</t>
  </si>
  <si>
    <t xml:space="preserve">P&amp;L!стр.10</t>
  </si>
  <si>
    <t xml:space="preserve">cos</t>
  </si>
  <si>
    <t xml:space="preserve">Себестоимость продаж</t>
  </si>
  <si>
    <t xml:space="preserve">P&amp;L!стр.13</t>
  </si>
  <si>
    <t xml:space="preserve">cos_da</t>
  </si>
  <si>
    <t xml:space="preserve">в т.ч. амортизация в себестоимости</t>
  </si>
  <si>
    <t xml:space="preserve">P&amp;L!стр.12</t>
  </si>
  <si>
    <t xml:space="preserve">sell</t>
  </si>
  <si>
    <t xml:space="preserve">P&amp;L!стр.15</t>
  </si>
  <si>
    <t xml:space="preserve">ga</t>
  </si>
  <si>
    <t xml:space="preserve">Общие и административные расходы</t>
  </si>
  <si>
    <t xml:space="preserve">P&amp;L!стр.16</t>
  </si>
  <si>
    <t xml:space="preserve">ooi</t>
  </si>
  <si>
    <t xml:space="preserve">Прочие операционные доходы</t>
  </si>
  <si>
    <t xml:space="preserve">P&amp;L!стр.17</t>
  </si>
  <si>
    <t xml:space="preserve">ooe</t>
  </si>
  <si>
    <t xml:space="preserve">Прочие операционные расходы (вкл. налог на имущество, земельный, рентный, резерв)</t>
  </si>
  <si>
    <t xml:space="preserve">P&amp;L!стр.18</t>
  </si>
  <si>
    <t xml:space="preserve">ebit</t>
  </si>
  <si>
    <t xml:space="preserve">Операционная прибыль (EBIT)</t>
  </si>
  <si>
    <t xml:space="preserve">P&amp;L!стр.19</t>
  </si>
  <si>
    <t xml:space="preserve">fin</t>
  </si>
  <si>
    <t xml:space="preserve">Финансовые расходы (кредит ТЭО-модели — в бизнес-плане заменён)</t>
  </si>
  <si>
    <t xml:space="preserve">P&amp;L!стр.21</t>
  </si>
  <si>
    <t xml:space="preserve">pbt</t>
  </si>
  <si>
    <t xml:space="preserve">Прибыль до налогообложения</t>
  </si>
  <si>
    <t xml:space="preserve">P&amp;L!стр.23</t>
  </si>
  <si>
    <t xml:space="preserve">tax</t>
  </si>
  <si>
    <t xml:space="preserve">Расход по налогу на прибыль</t>
  </si>
  <si>
    <t xml:space="preserve">P&amp;L!стр.24</t>
  </si>
  <si>
    <t xml:space="preserve">np</t>
  </si>
  <si>
    <t xml:space="preserve">P&amp;L!стр.25</t>
  </si>
  <si>
    <t xml:space="preserve">da</t>
  </si>
  <si>
    <t xml:space="preserve">Амортизация (итого)</t>
  </si>
  <si>
    <t xml:space="preserve">P&amp;L!стр.27</t>
  </si>
  <si>
    <t xml:space="preserve">ebitda</t>
  </si>
  <si>
    <t xml:space="preserve">P&amp;L!стр.28</t>
  </si>
  <si>
    <t xml:space="preserve">capbc_dep</t>
  </si>
  <si>
    <t xml:space="preserve">Амортизация капитализированных процентов кредита ТЭО-модели</t>
  </si>
  <si>
    <t xml:space="preserve">F12 Financing!стр.137</t>
  </si>
  <si>
    <t xml:space="preserve">usd_prod</t>
  </si>
  <si>
    <t xml:space="preserve">Справочно: производственные затраты, номинированные в USD</t>
  </si>
  <si>
    <t xml:space="preserve">P&amp;L!стр.43</t>
  </si>
  <si>
    <t xml:space="preserve">rev_usd</t>
  </si>
  <si>
    <t xml:space="preserve">Справочно: выручка от продукции с ценой в USD</t>
  </si>
  <si>
    <t xml:space="preserve">P&amp;L!стр.40</t>
  </si>
  <si>
    <t xml:space="preserve">5. СЕБЕСТОИМОСТЬ ПО ЭЛЕМЕНТАМ ЗАТРАТ (ТЭО, форма F4, до изменения остатков)</t>
  </si>
  <si>
    <t xml:space="preserve">el_raw</t>
  </si>
  <si>
    <t xml:space="preserve">F4 COGS!стр.233</t>
  </si>
  <si>
    <t xml:space="preserve">el_auxiliary</t>
  </si>
  <si>
    <t xml:space="preserve">F4 COGS!стр.234</t>
  </si>
  <si>
    <t xml:space="preserve">el_electricity</t>
  </si>
  <si>
    <t xml:space="preserve">Электроэнергия</t>
  </si>
  <si>
    <t xml:space="preserve">F4 COGS!стр.235</t>
  </si>
  <si>
    <t xml:space="preserve">el_gas</t>
  </si>
  <si>
    <t xml:space="preserve">Природный газ / топливо</t>
  </si>
  <si>
    <t xml:space="preserve">F4 COGS!стр.236</t>
  </si>
  <si>
    <t xml:space="preserve">el_water</t>
  </si>
  <si>
    <t xml:space="preserve">Вода</t>
  </si>
  <si>
    <t xml:space="preserve">F4 COGS!стр.237</t>
  </si>
  <si>
    <t xml:space="preserve">el_payroll</t>
  </si>
  <si>
    <t xml:space="preserve">Заработная плата</t>
  </si>
  <si>
    <t xml:space="preserve">F4 COGS!стр.238</t>
  </si>
  <si>
    <t xml:space="preserve">el_social</t>
  </si>
  <si>
    <t xml:space="preserve">Социальный налог</t>
  </si>
  <si>
    <t xml:space="preserve">F4 COGS!стр.239</t>
  </si>
  <si>
    <t xml:space="preserve">el_depreciation</t>
  </si>
  <si>
    <t xml:space="preserve">Амортизация</t>
  </si>
  <si>
    <t xml:space="preserve">F4 COGS!стр.240</t>
  </si>
  <si>
    <t xml:space="preserve">el_repairs</t>
  </si>
  <si>
    <t xml:space="preserve">Ремонт и техобслуживание</t>
  </si>
  <si>
    <t xml:space="preserve">F4 COGS!стр.241</t>
  </si>
  <si>
    <t xml:space="preserve">el_other</t>
  </si>
  <si>
    <t xml:space="preserve">Прочие производственные расходы</t>
  </si>
  <si>
    <t xml:space="preserve">F4 COGS!стр.242</t>
  </si>
  <si>
    <t xml:space="preserve">el_total</t>
  </si>
  <si>
    <t xml:space="preserve">Итого производственная себестоимость (с амортизацией)</t>
  </si>
  <si>
    <t xml:space="preserve">F4 COGS!стр.243</t>
  </si>
  <si>
    <t xml:space="preserve">met</t>
  </si>
  <si>
    <t xml:space="preserve">в т.ч. налог за пользование недрами (НДПИ), в составе прочих</t>
  </si>
  <si>
    <t xml:space="preserve">F4 COGS!стр.210</t>
  </si>
  <si>
    <t xml:space="preserve">var_cogs</t>
  </si>
  <si>
    <t xml:space="preserve">Переменная себестоимость (ТЭО)</t>
  </si>
  <si>
    <t xml:space="preserve">F4 COGS!стр.215</t>
  </si>
  <si>
    <t xml:space="preserve">6. ОПЕРАЦИОННЫЕ (ПЕРИОДНЫЕ) РАСХОДЫ И ПРОЧИЕ СТАТЬИ (ТЭО, формы F5, F6, F10)</t>
  </si>
  <si>
    <t xml:space="preserve">pers_ga</t>
  </si>
  <si>
    <t xml:space="preserve">Административный персонал (с соц. налогом)</t>
  </si>
  <si>
    <t xml:space="preserve">F5 Opex!стр.124</t>
  </si>
  <si>
    <t xml:space="preserve">opex_fixed</t>
  </si>
  <si>
    <t xml:space="preserve">Постоянные операционные расходы проекта</t>
  </si>
  <si>
    <t xml:space="preserve">F5 Opex!стр.101</t>
  </si>
  <si>
    <t xml:space="preserve">opex_var</t>
  </si>
  <si>
    <t xml:space="preserve">Переменные операционные расходы (вкл. коммерческие)</t>
  </si>
  <si>
    <t xml:space="preserve">F5 Opex!стр.102</t>
  </si>
  <si>
    <t xml:space="preserve">opex_ga_da</t>
  </si>
  <si>
    <t xml:space="preserve">Амортизация административных активов</t>
  </si>
  <si>
    <t xml:space="preserve">F5 Opex!стр.109</t>
  </si>
  <si>
    <t xml:space="preserve">contingency</t>
  </si>
  <si>
    <t xml:space="preserve">Резерв на непредвиденные операционные расходы</t>
  </si>
  <si>
    <t xml:space="preserve">F6 Other items!стр.41</t>
  </si>
  <si>
    <t xml:space="preserve">prop_tax</t>
  </si>
  <si>
    <t xml:space="preserve">Налог на имущество</t>
  </si>
  <si>
    <t xml:space="preserve">F10 Taxes!стр.22</t>
  </si>
  <si>
    <t xml:space="preserve">land_tax</t>
  </si>
  <si>
    <t xml:space="preserve">Земельный налог</t>
  </si>
  <si>
    <t xml:space="preserve">F10 Taxes!стр.25</t>
  </si>
  <si>
    <t xml:space="preserve">rent_tax</t>
  </si>
  <si>
    <t xml:space="preserve">F10 Taxes: нет строки</t>
  </si>
  <si>
    <t xml:space="preserve">vat_out</t>
  </si>
  <si>
    <t xml:space="preserve">НДС исходящий (с реализации на внутреннем рынке)</t>
  </si>
  <si>
    <t xml:space="preserve">F10 Taxes!стр.47</t>
  </si>
  <si>
    <t xml:space="preserve">vat_in_op</t>
  </si>
  <si>
    <t xml:space="preserve">НДС входящий — операционный</t>
  </si>
  <si>
    <t xml:space="preserve">F10 Taxes!стр.48</t>
  </si>
  <si>
    <t xml:space="preserve">vat_in_capex</t>
  </si>
  <si>
    <t xml:space="preserve">НДС входящий — по капитальным вложениям</t>
  </si>
  <si>
    <t xml:space="preserve">F10 Taxes!стр.49</t>
  </si>
  <si>
    <t xml:space="preserve">vat_net</t>
  </si>
  <si>
    <t xml:space="preserve">Чистый НДС (+ к уплате / − к возмещению)</t>
  </si>
  <si>
    <t xml:space="preserve">F10 Taxes!стр.51</t>
  </si>
  <si>
    <t xml:space="preserve">7. ДЕНЕЖНЫЕ ПОТОКИ И ОБОРОТНЫЙ КАПИТАЛ (ТЭО, отчёт о движении денежных средств и баланс)</t>
  </si>
  <si>
    <t xml:space="preserve">cgo</t>
  </si>
  <si>
    <t xml:space="preserve">Денежные средства от операционной деятельности до налога на прибыль и процентов</t>
  </si>
  <si>
    <t xml:space="preserve">CF!стр.23</t>
  </si>
  <si>
    <t xml:space="preserve">d_inv</t>
  </si>
  <si>
    <t xml:space="preserve">Изменение запасов</t>
  </si>
  <si>
    <t xml:space="preserve">CF!стр.15</t>
  </si>
  <si>
    <t xml:space="preserve">d_rec</t>
  </si>
  <si>
    <t xml:space="preserve">Изменение дебиторской задолженности</t>
  </si>
  <si>
    <t xml:space="preserve">CF!стр.16</t>
  </si>
  <si>
    <t xml:space="preserve">d_vat</t>
  </si>
  <si>
    <t xml:space="preserve">Изменение НДС к возмещению</t>
  </si>
  <si>
    <t xml:space="preserve">CF!стр.18</t>
  </si>
  <si>
    <t xml:space="preserve">d_pay</t>
  </si>
  <si>
    <t xml:space="preserve">Изменение кредиторской задолженности</t>
  </si>
  <si>
    <t xml:space="preserve">CF!стр.19</t>
  </si>
  <si>
    <t xml:space="preserve">d_wag</t>
  </si>
  <si>
    <t xml:space="preserve">Изменение задолженности по зарплате и налогам с ФОТ</t>
  </si>
  <si>
    <t xml:space="preserve">CF!стр.21</t>
  </si>
  <si>
    <t xml:space="preserve">bs_inv</t>
  </si>
  <si>
    <t xml:space="preserve">Запасы (на конец года)</t>
  </si>
  <si>
    <t xml:space="preserve">BS!стр.22</t>
  </si>
  <si>
    <t xml:space="preserve">bs_rec</t>
  </si>
  <si>
    <t xml:space="preserve">Торговая дебиторская задолженность (на конец года)</t>
  </si>
  <si>
    <t xml:space="preserve">BS!стр.23</t>
  </si>
  <si>
    <t xml:space="preserve">bs_vat</t>
  </si>
  <si>
    <t xml:space="preserve">НДС к возмещению (на конец года)</t>
  </si>
  <si>
    <t xml:space="preserve">BS!стр.25</t>
  </si>
  <si>
    <t xml:space="preserve">bs_pay</t>
  </si>
  <si>
    <t xml:space="preserve">Торговая кредиторская задолженность (на конец года)</t>
  </si>
  <si>
    <t xml:space="preserve">BS!стр.42</t>
  </si>
  <si>
    <t xml:space="preserve">bs_wag</t>
  </si>
  <si>
    <t xml:space="preserve">Задолженность по зарплате и налогам с ФОТ (на конец года)</t>
  </si>
  <si>
    <t xml:space="preserve">BS!стр.45</t>
  </si>
  <si>
    <t xml:space="preserve">capex</t>
  </si>
  <si>
    <t xml:space="preserve">Капитальные вложения (с резервом)</t>
  </si>
  <si>
    <t xml:space="preserve">F12 Financing!стр.24</t>
  </si>
  <si>
    <t xml:space="preserve">8. КАПИТАЛЬНЫЕ ВЛОЖЕНИЯ ПО ОБЪЕКТАМ (ТЭО, форма F8): освоение и амортизация</t>
  </si>
  <si>
    <t xml:space="preserve">cx0</t>
  </si>
  <si>
    <t xml:space="preserve">T1 Проектирование: ТЭО/ЗВОС и PFS — освоение (Здания, сооружения и передаточные устройства; срок 50 лет)</t>
  </si>
  <si>
    <t xml:space="preserve">F8 Capex!стр.23,54,131</t>
  </si>
  <si>
    <t xml:space="preserve">cxd0</t>
  </si>
  <si>
    <t xml:space="preserve">T1 Проектирование: ТЭО/ЗВОС и PFS — амортизация</t>
  </si>
  <si>
    <t xml:space="preserve">cx1</t>
  </si>
  <si>
    <t xml:space="preserve">T2 Строительство — цеха — освоение (Здания, сооружения и передаточные устройства; срок 50 лет)</t>
  </si>
  <si>
    <t xml:space="preserve">F8 Capex!стр.24,55,132</t>
  </si>
  <si>
    <t xml:space="preserve">cxd1</t>
  </si>
  <si>
    <t xml:space="preserve">T2 Строительство — цеха — амортизация</t>
  </si>
  <si>
    <t xml:space="preserve">cx2</t>
  </si>
  <si>
    <t xml:space="preserve">T3 Строительство — АБК и соцобъекты — освоение (Здания, сооружения и передаточные устройства; срок 50 лет)</t>
  </si>
  <si>
    <t xml:space="preserve">F8 Capex!стр.25,56,133</t>
  </si>
  <si>
    <t xml:space="preserve">cxd2</t>
  </si>
  <si>
    <t xml:space="preserve">T3 Строительство — АБК и соцобъекты — амортизация</t>
  </si>
  <si>
    <t xml:space="preserve">cx3</t>
  </si>
  <si>
    <t xml:space="preserve">T4 Прочие затраты на строительство — освоение (Здания, сооружения и передаточные устройства; срок 50 лет)</t>
  </si>
  <si>
    <t xml:space="preserve">F8 Capex!стр.26,57,134</t>
  </si>
  <si>
    <t xml:space="preserve">cxd3</t>
  </si>
  <si>
    <t xml:space="preserve">T4 Прочие затраты на строительство — амортизация</t>
  </si>
  <si>
    <t xml:space="preserve">cx4</t>
  </si>
  <si>
    <t xml:space="preserve">T5 Инфраструктура (вода, газ, эл.) — освоение (Здания, сооружения и передаточные устройства; срок 50 лет)</t>
  </si>
  <si>
    <t xml:space="preserve">F8 Capex!стр.27,58,135</t>
  </si>
  <si>
    <t xml:space="preserve">cxd4</t>
  </si>
  <si>
    <t xml:space="preserve">T5 Инфраструктура (вода, газ, эл.) — амортизация</t>
  </si>
  <si>
    <t xml:space="preserve">cx5</t>
  </si>
  <si>
    <t xml:space="preserve">T6 Строительство ж.д. — освоение (Здания, сооружения и передаточные устройства; срок 50 лет)</t>
  </si>
  <si>
    <t xml:space="preserve">F8 Capex!стр.28,59,136</t>
  </si>
  <si>
    <t xml:space="preserve">cxd5</t>
  </si>
  <si>
    <t xml:space="preserve">T6 Строительство ж.д. — амортизация</t>
  </si>
  <si>
    <t xml:space="preserve">cx6</t>
  </si>
  <si>
    <t xml:space="preserve">T7 Технол. оборудование с монтажом — освоение (Машины и оборудование; срок 10 лет)</t>
  </si>
  <si>
    <t xml:space="preserve">F8 Capex!стр.29,60,137</t>
  </si>
  <si>
    <t xml:space="preserve">cxd6</t>
  </si>
  <si>
    <t xml:space="preserve">T7 Технол. оборудование с монтажом — амортизация</t>
  </si>
  <si>
    <t xml:space="preserve">cx7</t>
  </si>
  <si>
    <t xml:space="preserve">T8 Оборудование АБК и соцобъектов — освоение (Мебель, оргтехника и офисное оборудование; срок 10 лет)</t>
  </si>
  <si>
    <t xml:space="preserve">F8 Capex!стр.30,61,138</t>
  </si>
  <si>
    <t xml:space="preserve">cxd7</t>
  </si>
  <si>
    <t xml:space="preserve">T8 Оборудование АБК и соцобъектов — амортизация</t>
  </si>
  <si>
    <t xml:space="preserve">cx8</t>
  </si>
  <si>
    <t xml:space="preserve">T9 Непредвиденные расходы — освоение (Здания, сооружения и передаточные устройства; срок 50 лет)</t>
  </si>
  <si>
    <t xml:space="preserve">F8 Capex!стр.31,62,139</t>
  </si>
  <si>
    <t xml:space="preserve">cxd8</t>
  </si>
  <si>
    <t xml:space="preserve">T9 Непредвиденные расходы — амортизация</t>
  </si>
  <si>
    <t xml:space="preserve">cx9</t>
  </si>
  <si>
    <t xml:space="preserve">T25 Поддерживающие капвложения (% от первоначальной стоимости ОС) — освоение (Машины и оборудование; срок 10 лет)</t>
  </si>
  <si>
    <t xml:space="preserve">F8 Capex!стр.47,78,155</t>
  </si>
  <si>
    <t xml:space="preserve">cxd9</t>
  </si>
  <si>
    <t xml:space="preserve">T25 Поддерживающие капвложения (% от первоначальной стоимости ОС) — амортизация</t>
  </si>
  <si>
    <t xml:space="preserve">9. ПЕРЕМЕННЫЕ ЗАТРАТЫ ПО СТАТЬЯМ (ТЭО, форма F4): потребность и стоимость (стоимость = затраты на ед. × выпуск)</t>
  </si>
  <si>
    <t xml:space="preserve">vq0</t>
  </si>
  <si>
    <t xml:space="preserve">Молибденовый огарок — годовая потребность</t>
  </si>
  <si>
    <t xml:space="preserve">F4 COGS!стр.111</t>
  </si>
  <si>
    <t xml:space="preserve">vc0</t>
  </si>
  <si>
    <t xml:space="preserve">Молибденовый огарок — стоимость (UZS; Сырьё)</t>
  </si>
  <si>
    <t xml:space="preserve">F4 COGS!стр.13-15</t>
  </si>
  <si>
    <t xml:space="preserve">vq1</t>
  </si>
  <si>
    <t xml:space="preserve">Аммиачная вода — годовая потребность</t>
  </si>
  <si>
    <t xml:space="preserve">F4 COGS!стр.112</t>
  </si>
  <si>
    <t xml:space="preserve">vc1</t>
  </si>
  <si>
    <t xml:space="preserve">Аммиачная вода — стоимость (UZS; Вспомогательные материалы)</t>
  </si>
  <si>
    <t xml:space="preserve">F4 COGS!стр.16-18</t>
  </si>
  <si>
    <t xml:space="preserve">vq2</t>
  </si>
  <si>
    <t xml:space="preserve">Азотная кислота — годовая потребность</t>
  </si>
  <si>
    <t xml:space="preserve">F4 COGS!стр.113</t>
  </si>
  <si>
    <t xml:space="preserve">vc2</t>
  </si>
  <si>
    <t xml:space="preserve">Азотная кислота — стоимость (UZS; Вспомогательные материалы)</t>
  </si>
  <si>
    <t xml:space="preserve">F4 COGS!стр.19-21</t>
  </si>
  <si>
    <t xml:space="preserve">vq3</t>
  </si>
  <si>
    <t xml:space="preserve">Гидроксид натрия — годовая потребность</t>
  </si>
  <si>
    <t xml:space="preserve">F4 COGS!стр.114</t>
  </si>
  <si>
    <t xml:space="preserve">vc3</t>
  </si>
  <si>
    <t xml:space="preserve">Гидроксид натрия — стоимость (UZS; Вспомогательные материалы)</t>
  </si>
  <si>
    <t xml:space="preserve">F4 COGS!стр.22-24</t>
  </si>
  <si>
    <t xml:space="preserve">vq4</t>
  </si>
  <si>
    <t xml:space="preserve">Ингибитор — годовая потребность</t>
  </si>
  <si>
    <t xml:space="preserve">F4 COGS!стр.115</t>
  </si>
  <si>
    <t xml:space="preserve">vc4</t>
  </si>
  <si>
    <t xml:space="preserve">Ингибитор — стоимость (USD; Вспомогательные материалы)</t>
  </si>
  <si>
    <t xml:space="preserve">F4 COGS!стр.25-27</t>
  </si>
  <si>
    <t xml:space="preserve">vq5</t>
  </si>
  <si>
    <t xml:space="preserve">Оксид кальция — годовая потребность</t>
  </si>
  <si>
    <t xml:space="preserve">F4 COGS!стр.116</t>
  </si>
  <si>
    <t xml:space="preserve">vc5</t>
  </si>
  <si>
    <t xml:space="preserve">Оксид кальция — стоимость (UZS; Вспомогательные материалы)</t>
  </si>
  <si>
    <t xml:space="preserve">F4 COGS!стр.28-30</t>
  </si>
  <si>
    <t xml:space="preserve">vq6</t>
  </si>
  <si>
    <t xml:space="preserve">Сульфид аммония — годовая потребность</t>
  </si>
  <si>
    <t xml:space="preserve">F4 COGS!стр.117</t>
  </si>
  <si>
    <t xml:space="preserve">vc6</t>
  </si>
  <si>
    <t xml:space="preserve">Сульфид аммония — стоимость (UZS; Вспомогательные материалы)</t>
  </si>
  <si>
    <t xml:space="preserve">F4 COGS!стр.31-33</t>
  </si>
  <si>
    <t xml:space="preserve">vq7</t>
  </si>
  <si>
    <t xml:space="preserve">Фильтроткань — годовая потребность</t>
  </si>
  <si>
    <t xml:space="preserve">F4 COGS!стр.118</t>
  </si>
  <si>
    <t xml:space="preserve">vc7</t>
  </si>
  <si>
    <t xml:space="preserve">Фильтроткань — стоимость (USD; Вспомогательные материалы)</t>
  </si>
  <si>
    <t xml:space="preserve">F4 COGS!стр.34-36</t>
  </si>
  <si>
    <t xml:space="preserve">vq8</t>
  </si>
  <si>
    <t xml:space="preserve">Электроэнергия — переменная часть — годовая потребность</t>
  </si>
  <si>
    <t xml:space="preserve">F4 COGS!стр.119</t>
  </si>
  <si>
    <t xml:space="preserve">vc8</t>
  </si>
  <si>
    <t xml:space="preserve">Электроэнергия — переменная часть — стоимость (UZS; Электроэнергия)</t>
  </si>
  <si>
    <t xml:space="preserve">F4 COGS!стр.37-39</t>
  </si>
  <si>
    <t xml:space="preserve">vq9</t>
  </si>
  <si>
    <t xml:space="preserve">Природный газ — переменная часть — годовая потребность</t>
  </si>
  <si>
    <t xml:space="preserve">F4 COGS!стр.120</t>
  </si>
  <si>
    <t xml:space="preserve">vc9</t>
  </si>
  <si>
    <t xml:space="preserve">Природный газ — переменная часть — стоимость (UZS; Природный газ / топливо)</t>
  </si>
  <si>
    <t xml:space="preserve">F4 COGS!стр.40-42</t>
  </si>
  <si>
    <t xml:space="preserve">10. ПЕРСОНАЛ (ТЭО, форма F9): численность и фонд оплаты труда (брутто)</t>
  </si>
  <si>
    <t xml:space="preserve">hc0</t>
  </si>
  <si>
    <t xml:space="preserve">Генеральный директор — численность</t>
  </si>
  <si>
    <t xml:space="preserve">чел.</t>
  </si>
  <si>
    <t xml:space="preserve">F9 Personnel!стр.21-23</t>
  </si>
  <si>
    <t xml:space="preserve">mc0</t>
  </si>
  <si>
    <t xml:space="preserve">Генеральный директор — месячная зарплата на 1 чел. (UZS)</t>
  </si>
  <si>
    <t xml:space="preserve">UZS</t>
  </si>
  <si>
    <t xml:space="preserve">pc0</t>
  </si>
  <si>
    <t xml:space="preserve">Генеральный директор — годовой фонд оплаты труда</t>
  </si>
  <si>
    <t xml:space="preserve">hc1</t>
  </si>
  <si>
    <t xml:space="preserve">Заместитель ген. директора — численность</t>
  </si>
  <si>
    <t xml:space="preserve">F9 Personnel!стр.24-26</t>
  </si>
  <si>
    <t xml:space="preserve">mc1</t>
  </si>
  <si>
    <t xml:space="preserve">Заместитель ген. директора — месячная зарплата на 1 чел. (UZS)</t>
  </si>
  <si>
    <t xml:space="preserve">pc1</t>
  </si>
  <si>
    <t xml:space="preserve">Заместитель ген. директора — годовой фонд оплаты труда</t>
  </si>
  <si>
    <t xml:space="preserve">hc2</t>
  </si>
  <si>
    <t xml:space="preserve">Офисные служащие — численность</t>
  </si>
  <si>
    <t xml:space="preserve">F9 Personnel!стр.27-29</t>
  </si>
  <si>
    <t xml:space="preserve">mc2</t>
  </si>
  <si>
    <t xml:space="preserve">Офисные служащие — месячная зарплата на 1 чел. (UZS)</t>
  </si>
  <si>
    <t xml:space="preserve">pc2</t>
  </si>
  <si>
    <t xml:space="preserve">Офисные служащие — годовой фонд оплаты труда</t>
  </si>
  <si>
    <t xml:space="preserve">hc3</t>
  </si>
  <si>
    <t xml:space="preserve">Руководитель фин.-эконом. отдела — численность</t>
  </si>
  <si>
    <t xml:space="preserve">F9 Personnel!стр.30-32</t>
  </si>
  <si>
    <t xml:space="preserve">mc3</t>
  </si>
  <si>
    <t xml:space="preserve">Руководитель фин.-эконом. отдела — месячная зарплата на 1 чел. (UZS)</t>
  </si>
  <si>
    <t xml:space="preserve">pc3</t>
  </si>
  <si>
    <t xml:space="preserve">Руководитель фин.-эконом. отдела — годовой фонд оплаты труда</t>
  </si>
  <si>
    <t xml:space="preserve">hc4</t>
  </si>
  <si>
    <t xml:space="preserve">Бухгалтер — численность</t>
  </si>
  <si>
    <t xml:space="preserve">F9 Personnel!стр.33-35</t>
  </si>
  <si>
    <t xml:space="preserve">mc4</t>
  </si>
  <si>
    <t xml:space="preserve">Бухгалтер — месячная зарплата на 1 чел. (UZS)</t>
  </si>
  <si>
    <t xml:space="preserve">pc4</t>
  </si>
  <si>
    <t xml:space="preserve">Бухгалтер — годовой фонд оплаты труда</t>
  </si>
  <si>
    <t xml:space="preserve">hc5</t>
  </si>
  <si>
    <t xml:space="preserve">Кассир — численность</t>
  </si>
  <si>
    <t xml:space="preserve">F9 Personnel!стр.36-38</t>
  </si>
  <si>
    <t xml:space="preserve">mc5</t>
  </si>
  <si>
    <t xml:space="preserve">Кассир — месячная зарплата на 1 чел. (UZS)</t>
  </si>
  <si>
    <t xml:space="preserve">pc5</t>
  </si>
  <si>
    <t xml:space="preserve">Кассир — годовой фонд оплаты труда</t>
  </si>
  <si>
    <t xml:space="preserve">hc6</t>
  </si>
  <si>
    <t xml:space="preserve">Руководитель отдела снабжения и сбыта — численность</t>
  </si>
  <si>
    <t xml:space="preserve">F9 Personnel!стр.39-41</t>
  </si>
  <si>
    <t xml:space="preserve">mc6</t>
  </si>
  <si>
    <t xml:space="preserve">Руководитель отдела снабжения и сбыта — месячная зарплата на 1 чел. (UZS)</t>
  </si>
  <si>
    <t xml:space="preserve">pc6</t>
  </si>
  <si>
    <t xml:space="preserve">Руководитель отдела снабжения и сбыта — годовой фонд оплаты труда</t>
  </si>
  <si>
    <t xml:space="preserve">hc7</t>
  </si>
  <si>
    <t xml:space="preserve">Специалист по закупкам — численность</t>
  </si>
  <si>
    <t xml:space="preserve">F9 Personnel!стр.42-44</t>
  </si>
  <si>
    <t xml:space="preserve">mc7</t>
  </si>
  <si>
    <t xml:space="preserve">Специалист по закупкам — месячная зарплата на 1 чел. (UZS)</t>
  </si>
  <si>
    <t xml:space="preserve">pc7</t>
  </si>
  <si>
    <t xml:space="preserve">Специалист по закупкам — годовой фонд оплаты труда</t>
  </si>
  <si>
    <t xml:space="preserve">hc8</t>
  </si>
  <si>
    <t xml:space="preserve">Менеджер по продажам — численность</t>
  </si>
  <si>
    <t xml:space="preserve">F9 Personnel!стр.45-47</t>
  </si>
  <si>
    <t xml:space="preserve">mc8</t>
  </si>
  <si>
    <t xml:space="preserve">Менеджер по продажам — месячная зарплата на 1 чел. (UZS)</t>
  </si>
  <si>
    <t xml:space="preserve">pc8</t>
  </si>
  <si>
    <t xml:space="preserve">Менеджер по продажам — годовой фонд оплаты труда</t>
  </si>
  <si>
    <t xml:space="preserve">hc9</t>
  </si>
  <si>
    <t xml:space="preserve">Руководитель отдела кадров — численность</t>
  </si>
  <si>
    <t xml:space="preserve">F9 Personnel!стр.48-50</t>
  </si>
  <si>
    <t xml:space="preserve">mc9</t>
  </si>
  <si>
    <t xml:space="preserve">Руководитель отдела кадров — месячная зарплата на 1 чел. (UZS)</t>
  </si>
  <si>
    <t xml:space="preserve">pc9</t>
  </si>
  <si>
    <t xml:space="preserve">Руководитель отдела кадров — годовой фонд оплаты труда</t>
  </si>
  <si>
    <t xml:space="preserve">hc10</t>
  </si>
  <si>
    <t xml:space="preserve">Специалист по кадрам — численность</t>
  </si>
  <si>
    <t xml:space="preserve">F9 Personnel!стр.51-53</t>
  </si>
  <si>
    <t xml:space="preserve">mc10</t>
  </si>
  <si>
    <t xml:space="preserve">Специалист по кадрам — месячная зарплата на 1 чел. (UZS)</t>
  </si>
  <si>
    <t xml:space="preserve">pc10</t>
  </si>
  <si>
    <t xml:space="preserve">Специалист по кадрам — годовой фонд оплаты труда</t>
  </si>
  <si>
    <t xml:space="preserve">hc11</t>
  </si>
  <si>
    <t xml:space="preserve">Специалист по обучению — численность</t>
  </si>
  <si>
    <t xml:space="preserve">F9 Personnel!стр.54-56</t>
  </si>
  <si>
    <t xml:space="preserve">mc11</t>
  </si>
  <si>
    <t xml:space="preserve">Специалист по обучению — месячная зарплата на 1 чел. (UZS)</t>
  </si>
  <si>
    <t xml:space="preserve">pc11</t>
  </si>
  <si>
    <t xml:space="preserve">Специалист по обучению — годовой фонд оплаты труда</t>
  </si>
  <si>
    <t xml:space="preserve">hc12</t>
  </si>
  <si>
    <t xml:space="preserve">Главный инженер — численность</t>
  </si>
  <si>
    <t xml:space="preserve">F9 Personnel!стр.57-59</t>
  </si>
  <si>
    <t xml:space="preserve">mc12</t>
  </si>
  <si>
    <t xml:space="preserve">Главный инженер — месячная зарплата на 1 чел. (UZS)</t>
  </si>
  <si>
    <t xml:space="preserve">pc12</t>
  </si>
  <si>
    <t xml:space="preserve">Главный инженер — годовой фонд оплаты труда</t>
  </si>
  <si>
    <t xml:space="preserve">hc13</t>
  </si>
  <si>
    <t xml:space="preserve">Инженер-металлург — численность</t>
  </si>
  <si>
    <t xml:space="preserve">F9 Personnel!стр.60-62</t>
  </si>
  <si>
    <t xml:space="preserve">mc13</t>
  </si>
  <si>
    <t xml:space="preserve">Инженер-металлург — месячная зарплата на 1 чел. (UZS)</t>
  </si>
  <si>
    <t xml:space="preserve">pc13</t>
  </si>
  <si>
    <t xml:space="preserve">Инженер-металлург — годовой фонд оплаты труда</t>
  </si>
  <si>
    <t xml:space="preserve">hc14</t>
  </si>
  <si>
    <t xml:space="preserve">Инженер-электрик — численность</t>
  </si>
  <si>
    <t xml:space="preserve">F9 Personnel!стр.63-65</t>
  </si>
  <si>
    <t xml:space="preserve">mc14</t>
  </si>
  <si>
    <t xml:space="preserve">Инженер-электрик — месячная зарплата на 1 чел. (UZS)</t>
  </si>
  <si>
    <t xml:space="preserve">pc14</t>
  </si>
  <si>
    <t xml:space="preserve">Инженер-электрик — годовой фонд оплаты труда</t>
  </si>
  <si>
    <t xml:space="preserve">hc15</t>
  </si>
  <si>
    <t xml:space="preserve">Прочие технические специалисты — численность</t>
  </si>
  <si>
    <t xml:space="preserve">F9 Personnel!стр.66-68</t>
  </si>
  <si>
    <t xml:space="preserve">mc15</t>
  </si>
  <si>
    <t xml:space="preserve">Прочие технические специалисты — месячная зарплата на 1 чел. (UZS)</t>
  </si>
  <si>
    <t xml:space="preserve">pc15</t>
  </si>
  <si>
    <t xml:space="preserve">Прочие технические специалисты — годовой фонд оплаты труда</t>
  </si>
  <si>
    <t xml:space="preserve">hc16</t>
  </si>
  <si>
    <t xml:space="preserve">Отдел ОТ и ООС — численность</t>
  </si>
  <si>
    <t xml:space="preserve">F9 Personnel!стр.69-71</t>
  </si>
  <si>
    <t xml:space="preserve">mc16</t>
  </si>
  <si>
    <t xml:space="preserve">Отдел ОТ и ООС — месячная зарплата на 1 чел. (UZS)</t>
  </si>
  <si>
    <t xml:space="preserve">pc16</t>
  </si>
  <si>
    <t xml:space="preserve">Отдел ОТ и ООС — годовой фонд оплаты труда</t>
  </si>
  <si>
    <t xml:space="preserve">hc17</t>
  </si>
  <si>
    <t xml:space="preserve">Прочий обслуживающий персонал — численность</t>
  </si>
  <si>
    <t xml:space="preserve">F9 Personnel!стр.72-74</t>
  </si>
  <si>
    <t xml:space="preserve">mc17</t>
  </si>
  <si>
    <t xml:space="preserve">Прочий обслуживающий персонал — месячная зарплата на 1 чел. (UZS)</t>
  </si>
  <si>
    <t xml:space="preserve">pc17</t>
  </si>
  <si>
    <t xml:space="preserve">Прочий обслуживающий персонал — годовой фонд оплаты труда</t>
  </si>
  <si>
    <t xml:space="preserve">hc18</t>
  </si>
  <si>
    <t xml:space="preserve">Начальник цеха — численность</t>
  </si>
  <si>
    <t xml:space="preserve">F9 Personnel!стр.75-77</t>
  </si>
  <si>
    <t xml:space="preserve">mc18</t>
  </si>
  <si>
    <t xml:space="preserve">Начальник цеха — месячная зарплата на 1 чел. (UZS)</t>
  </si>
  <si>
    <t xml:space="preserve">pc18</t>
  </si>
  <si>
    <t xml:space="preserve">Начальник цеха — годовой фонд оплаты труда</t>
  </si>
  <si>
    <t xml:space="preserve">hc19</t>
  </si>
  <si>
    <t xml:space="preserve">Операторы промывки и выщелачивания — численность</t>
  </si>
  <si>
    <t xml:space="preserve">F9 Personnel!стр.78-80</t>
  </si>
  <si>
    <t xml:space="preserve">mc19</t>
  </si>
  <si>
    <t xml:space="preserve">Операторы промывки и выщелачивания — месячная зарплата на 1 чел. (UZS)</t>
  </si>
  <si>
    <t xml:space="preserve">pc19</t>
  </si>
  <si>
    <t xml:space="preserve">Операторы промывки и выщелачивания — годовой фонд оплаты труда</t>
  </si>
  <si>
    <t xml:space="preserve">hc20</t>
  </si>
  <si>
    <t xml:space="preserve">F9 Personnel!стр.81-83</t>
  </si>
  <si>
    <t xml:space="preserve">mc20</t>
  </si>
  <si>
    <t xml:space="preserve">pc20</t>
  </si>
  <si>
    <t xml:space="preserve">hc21</t>
  </si>
  <si>
    <t xml:space="preserve">Операторы очистки и осаждения — численность</t>
  </si>
  <si>
    <t xml:space="preserve">F9 Personnel!стр.84-86</t>
  </si>
  <si>
    <t xml:space="preserve">mc21</t>
  </si>
  <si>
    <t xml:space="preserve">Операторы очистки и осаждения — месячная зарплата на 1 чел. (UZS)</t>
  </si>
  <si>
    <t xml:space="preserve">pc21</t>
  </si>
  <si>
    <t xml:space="preserve">Операторы очистки и осаждения — годовой фонд оплаты труда</t>
  </si>
  <si>
    <t xml:space="preserve">hc22</t>
  </si>
  <si>
    <t xml:space="preserve">F9 Personnel!стр.87-89</t>
  </si>
  <si>
    <t xml:space="preserve">mc22</t>
  </si>
  <si>
    <t xml:space="preserve">pc22</t>
  </si>
  <si>
    <t xml:space="preserve">hc23</t>
  </si>
  <si>
    <t xml:space="preserve">Операторы фильтр-прессов и прокалки — численность</t>
  </si>
  <si>
    <t xml:space="preserve">F9 Personnel!стр.90-92</t>
  </si>
  <si>
    <t xml:space="preserve">mc23</t>
  </si>
  <si>
    <t xml:space="preserve">Операторы фильтр-прессов и прокалки — месячная зарплата на 1 чел. (UZS)</t>
  </si>
  <si>
    <t xml:space="preserve">pc23</t>
  </si>
  <si>
    <t xml:space="preserve">Операторы фильтр-прессов и прокалки — годовой фонд оплаты труда</t>
  </si>
  <si>
    <t xml:space="preserve">hc24</t>
  </si>
  <si>
    <t xml:space="preserve">Бригадир очистки сточных вод — численность</t>
  </si>
  <si>
    <t xml:space="preserve">F9 Personnel!стр.93-95</t>
  </si>
  <si>
    <t xml:space="preserve">mc24</t>
  </si>
  <si>
    <t xml:space="preserve">Бригадир очистки сточных вод — месячная зарплата на 1 чел. (UZS)</t>
  </si>
  <si>
    <t xml:space="preserve">pc24</t>
  </si>
  <si>
    <t xml:space="preserve">Бригадир очистки сточных вод — годовой фонд оплаты труда</t>
  </si>
  <si>
    <t xml:space="preserve">hc25</t>
  </si>
  <si>
    <t xml:space="preserve">Рабочие очистки сточных вод — численность</t>
  </si>
  <si>
    <t xml:space="preserve">F9 Personnel!стр.96-98</t>
  </si>
  <si>
    <t xml:space="preserve">mc25</t>
  </si>
  <si>
    <t xml:space="preserve">Рабочие очистки сточных вод — месячная зарплата на 1 чел. (UZS)</t>
  </si>
  <si>
    <t xml:space="preserve">pc25</t>
  </si>
  <si>
    <t xml:space="preserve">Рабочие очистки сточных вод — годовой фонд оплаты труда</t>
  </si>
  <si>
    <t xml:space="preserve">hc26</t>
  </si>
  <si>
    <t xml:space="preserve">Операторы котельной — численность</t>
  </si>
  <si>
    <t xml:space="preserve">F9 Personnel!стр.99-101</t>
  </si>
  <si>
    <t xml:space="preserve">mc26</t>
  </si>
  <si>
    <t xml:space="preserve">Операторы котельной — месячная зарплата на 1 чел. (UZS)</t>
  </si>
  <si>
    <t xml:space="preserve">pc26</t>
  </si>
  <si>
    <t xml:space="preserve">Операторы котельной — годовой фонд оплаты труда</t>
  </si>
  <si>
    <t xml:space="preserve">hc27</t>
  </si>
  <si>
    <t xml:space="preserve">Персонал РУ и обслуживания систем — численность</t>
  </si>
  <si>
    <t xml:space="preserve">F9 Personnel!стр.102-104</t>
  </si>
  <si>
    <t xml:space="preserve">mc27</t>
  </si>
  <si>
    <t xml:space="preserve">Персонал РУ и обслуживания систем — месячная зарплата на 1 чел. (UZS)</t>
  </si>
  <si>
    <t xml:space="preserve">pc27</t>
  </si>
  <si>
    <t xml:space="preserve">Персонал РУ и обслуживания систем — годовой фонд оплаты труда</t>
  </si>
  <si>
    <t xml:space="preserve">hc28</t>
  </si>
  <si>
    <t xml:space="preserve">Водители — численность</t>
  </si>
  <si>
    <t xml:space="preserve">F9 Personnel!стр.105-107</t>
  </si>
  <si>
    <t xml:space="preserve">mc28</t>
  </si>
  <si>
    <t xml:space="preserve">Водители — месячная зарплата на 1 чел. (UZS)</t>
  </si>
  <si>
    <t xml:space="preserve">pc28</t>
  </si>
  <si>
    <t xml:space="preserve">Водители — годовой фонд оплаты труда</t>
  </si>
  <si>
    <t xml:space="preserve">hc29</t>
  </si>
  <si>
    <t xml:space="preserve">Автовесовая и охрана КПП — численность</t>
  </si>
  <si>
    <t xml:space="preserve">F9 Personnel!стр.108-110</t>
  </si>
  <si>
    <t xml:space="preserve">mc29</t>
  </si>
  <si>
    <t xml:space="preserve">Автовесовая и охрана КПП — месячная зарплата на 1 чел. (UZS)</t>
  </si>
  <si>
    <t xml:space="preserve">pc29</t>
  </si>
  <si>
    <t xml:space="preserve">Автовесовая и охрана КПП — годовой фонд оплаты труда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</si>
</sst>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0.0%;\(0.0%\);\-"/>
    <numFmt numFmtId="167" formatCode="0.00\x;\(0.00&quot;x)&quot;;\-"/>
    <numFmt numFmtId="168" formatCode="0.00"/>
    <numFmt numFmtId="169" formatCode="0.0"/>
    <numFmt numFmtId="170" formatCode="#,##0.00;\(#,##0.00\);\-"/>
    <numFmt numFmtId="171" formatCode="0"/>
    <numFmt numFmtId="172" formatCode="dd\.mm\.yyyy"/>
    <numFmt numFmtId="173" formatCode="0.000"/>
    <numFmt numFmtId="174" formatCode="#,##0.0;\(#,##0.0\);\-"/>
    <numFmt numFmtId="175" formatCode="#,##0.0000"/>
    <numFmt numFmtId="176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11" min="4" style="0" width="1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  <c r="C6" s="5"/>
      <c r="D6" s="5"/>
      <c r="E6" s="5"/>
      <c r="F6" s="5"/>
      <c r="G6" s="5"/>
      <c r="H6" s="5"/>
      <c r="I6" s="5"/>
      <c r="J6" s="5"/>
      <c r="K6" s="5"/>
    </row>
    <row r="7" customFormat="false" ht="30" hidden="false" customHeight="true" outlineLevel="0" collapsed="false">
      <c r="B7" s="6" t="s">
        <v>4</v>
      </c>
      <c r="C7" s="7" t="s">
        <v>5</v>
      </c>
      <c r="D7" s="7"/>
      <c r="E7" s="7"/>
      <c r="F7" s="7"/>
      <c r="G7" s="7"/>
      <c r="H7" s="7"/>
      <c r="I7" s="7"/>
      <c r="J7" s="7"/>
      <c r="K7" s="7"/>
    </row>
    <row r="8" customFormat="false" ht="15" hidden="false" customHeight="true" outlineLevel="0" collapsed="false">
      <c r="B8" s="6" t="s">
        <v>6</v>
      </c>
      <c r="C8" s="7" t="s">
        <v>7</v>
      </c>
      <c r="D8" s="7"/>
      <c r="E8" s="7"/>
      <c r="F8" s="7"/>
      <c r="G8" s="7"/>
      <c r="H8" s="7"/>
      <c r="I8" s="7"/>
      <c r="J8" s="7"/>
      <c r="K8" s="7"/>
    </row>
    <row r="9" customFormat="false" ht="15" hidden="false" customHeight="true" outlineLevel="0" collapsed="false">
      <c r="B9" s="6" t="s">
        <v>8</v>
      </c>
      <c r="C9" s="7" t="s">
        <v>9</v>
      </c>
      <c r="D9" s="7"/>
      <c r="E9" s="7"/>
      <c r="F9" s="7"/>
      <c r="G9" s="7"/>
      <c r="H9" s="7"/>
      <c r="I9" s="7"/>
      <c r="J9" s="7"/>
      <c r="K9" s="7"/>
    </row>
    <row r="10" customFormat="false" ht="15" hidden="false" customHeight="true" outlineLevel="0" collapsed="false">
      <c r="B10" s="6" t="s">
        <v>10</v>
      </c>
      <c r="C10" s="7" t="s">
        <v>11</v>
      </c>
      <c r="D10" s="7"/>
      <c r="E10" s="7"/>
      <c r="F10" s="7"/>
      <c r="G10" s="7"/>
      <c r="H10" s="7"/>
      <c r="I10" s="7"/>
      <c r="J10" s="7"/>
      <c r="K10" s="7"/>
    </row>
    <row r="11" customFormat="false" ht="15" hidden="false" customHeight="true" outlineLevel="0" collapsed="false">
      <c r="B11" s="6" t="s">
        <v>12</v>
      </c>
      <c r="C11" s="7" t="s">
        <v>13</v>
      </c>
      <c r="D11" s="7"/>
      <c r="E11" s="7"/>
      <c r="F11" s="7"/>
      <c r="G11" s="7"/>
      <c r="H11" s="7"/>
      <c r="I11" s="7"/>
      <c r="J11" s="7"/>
      <c r="K11" s="7"/>
    </row>
    <row r="12" customFormat="false" ht="15" hidden="false" customHeight="true" outlineLevel="0" collapsed="false">
      <c r="B12" s="6" t="s">
        <v>14</v>
      </c>
      <c r="C12" s="7" t="s">
        <v>15</v>
      </c>
      <c r="D12" s="7"/>
      <c r="E12" s="7"/>
      <c r="F12" s="7"/>
      <c r="G12" s="7"/>
      <c r="H12" s="7"/>
      <c r="I12" s="7"/>
      <c r="J12" s="7"/>
      <c r="K12" s="7"/>
    </row>
    <row r="13" customFormat="false" ht="15" hidden="false" customHeight="true" outlineLevel="0" collapsed="false">
      <c r="B13" s="6" t="s">
        <v>16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4" customFormat="false" ht="15" hidden="false" customHeight="true" outlineLevel="0" collapsed="false">
      <c r="B14" s="6" t="s">
        <v>18</v>
      </c>
      <c r="C14" s="7" t="s">
        <v>19</v>
      </c>
      <c r="D14" s="7"/>
      <c r="E14" s="7"/>
      <c r="F14" s="7"/>
      <c r="G14" s="7"/>
      <c r="H14" s="7"/>
      <c r="I14" s="7"/>
      <c r="J14" s="7"/>
      <c r="K14" s="7"/>
    </row>
    <row r="16" customFormat="false" ht="15" hidden="false" customHeight="false" outlineLevel="0" collapsed="false">
      <c r="B16" s="4" t="s">
        <v>20</v>
      </c>
      <c r="C16" s="5"/>
      <c r="D16" s="5"/>
      <c r="E16" s="5"/>
      <c r="F16" s="5"/>
      <c r="G16" s="5"/>
      <c r="H16" s="5"/>
      <c r="I16" s="5"/>
      <c r="J16" s="5"/>
      <c r="K16" s="5"/>
    </row>
    <row r="17" customFormat="false" ht="15" hidden="false" customHeight="false" outlineLevel="0" collapsed="false">
      <c r="B17" s="6" t="s">
        <v>21</v>
      </c>
      <c r="C17" s="8" t="n">
        <f aca="false">ИНФОРМАЦИЯ!$C$26</f>
        <v>18191813.9660399</v>
      </c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0" collapsed="false">
      <c r="B18" s="6" t="s">
        <v>22</v>
      </c>
      <c r="C18" s="9" t="n">
        <f aca="false">ИНФОРМАЦИЯ!$C$27</f>
        <v>0.07</v>
      </c>
      <c r="D18" s="9"/>
      <c r="E18" s="9"/>
      <c r="F18" s="9"/>
      <c r="G18" s="9"/>
      <c r="H18" s="9"/>
      <c r="I18" s="9"/>
      <c r="J18" s="9"/>
      <c r="K18" s="9"/>
    </row>
    <row r="19" customFormat="false" ht="30" hidden="false" customHeight="true" outlineLevel="0" collapsed="false">
      <c r="B19" s="6" t="s">
        <v>23</v>
      </c>
      <c r="C19" s="7" t="s">
        <v>24</v>
      </c>
      <c r="D19" s="7"/>
      <c r="E19" s="7"/>
      <c r="F19" s="7"/>
      <c r="G19" s="7"/>
      <c r="H19" s="7"/>
      <c r="I19" s="7"/>
      <c r="J19" s="7"/>
      <c r="K19" s="7"/>
    </row>
    <row r="20" customFormat="false" ht="15" hidden="false" customHeight="true" outlineLevel="0" collapsed="false">
      <c r="B20" s="6" t="s">
        <v>25</v>
      </c>
      <c r="C20" s="7" t="s">
        <v>26</v>
      </c>
      <c r="D20" s="7"/>
      <c r="E20" s="7"/>
      <c r="F20" s="7"/>
      <c r="G20" s="7"/>
      <c r="H20" s="7"/>
      <c r="I20" s="7"/>
      <c r="J20" s="7"/>
      <c r="K20" s="7"/>
    </row>
    <row r="21" customFormat="false" ht="30" hidden="false" customHeight="true" outlineLevel="0" collapsed="false">
      <c r="B21" s="6" t="s">
        <v>27</v>
      </c>
      <c r="C21" s="7" t="str">
        <f aca="false">TEXT(LOANS!$C$106,"#,##0") &amp; " USD — уплачиваются за счёт собственных средств заемщика (включены в стоимость проекта)"</f>
        <v>1,291,113 USD — уплачиваются за счёт собственных средств заемщика (включены в стоимость проекта)</v>
      </c>
      <c r="D21" s="7"/>
      <c r="E21" s="7"/>
      <c r="F21" s="7"/>
      <c r="G21" s="7"/>
      <c r="H21" s="7"/>
      <c r="I21" s="7"/>
      <c r="J21" s="7"/>
      <c r="K21" s="7"/>
    </row>
    <row r="22" customFormat="false" ht="15" hidden="false" customHeight="true" outlineLevel="0" collapsed="false">
      <c r="B22" s="6" t="s">
        <v>28</v>
      </c>
      <c r="C22" s="7" t="s">
        <v>29</v>
      </c>
      <c r="D22" s="7"/>
      <c r="E22" s="7"/>
      <c r="F22" s="7"/>
      <c r="G22" s="7"/>
      <c r="H22" s="7"/>
      <c r="I22" s="7"/>
      <c r="J22" s="7"/>
      <c r="K22" s="7"/>
    </row>
    <row r="24" customFormat="false" ht="15" hidden="false" customHeight="false" outlineLevel="0" collapsed="false">
      <c r="B24" s="4" t="s">
        <v>30</v>
      </c>
      <c r="C24" s="5"/>
      <c r="D24" s="5"/>
      <c r="E24" s="5"/>
      <c r="F24" s="5"/>
      <c r="G24" s="5"/>
      <c r="H24" s="5"/>
      <c r="I24" s="5"/>
      <c r="J24" s="5"/>
      <c r="K24" s="5"/>
    </row>
    <row r="25" customFormat="false" ht="15" hidden="false" customHeight="false" outlineLevel="0" collapsed="false">
      <c r="B25" s="10" t="s">
        <v>31</v>
      </c>
      <c r="C25" s="11" t="s">
        <v>32</v>
      </c>
      <c r="D25" s="11" t="s">
        <v>33</v>
      </c>
    </row>
    <row r="26" customFormat="false" ht="15" hidden="false" customHeight="false" outlineLevel="0" collapsed="false">
      <c r="B26" s="6" t="s">
        <v>34</v>
      </c>
      <c r="C26" s="12" t="n">
        <f aca="false">ProjCost!E5</f>
        <v>54094705.5866071</v>
      </c>
      <c r="D26" s="13" t="n">
        <f aca="false">IFERROR(C26/ProjCost!$E$20,0)</f>
        <v>0.782320470011164</v>
      </c>
    </row>
    <row r="27" customFormat="false" ht="15" hidden="false" customHeight="false" outlineLevel="0" collapsed="false">
      <c r="B27" s="6" t="s">
        <v>35</v>
      </c>
      <c r="C27" s="12" t="n">
        <f aca="false">ProjCost!E9</f>
        <v>12384487.2794094</v>
      </c>
      <c r="D27" s="13" t="n">
        <f aca="false">IFERROR(C27/ProjCost!$E$20,0)</f>
        <v>0.179105104727173</v>
      </c>
    </row>
    <row r="28" customFormat="false" ht="15" hidden="false" customHeight="false" outlineLevel="0" collapsed="false">
      <c r="B28" s="6" t="s">
        <v>36</v>
      </c>
      <c r="C28" s="12" t="n">
        <f aca="false">ProjCost!E15</f>
        <v>2485367.52866996</v>
      </c>
      <c r="D28" s="13" t="n">
        <f aca="false">IFERROR(C28/ProjCost!$E$20,0)</f>
        <v>0.0359435155824372</v>
      </c>
    </row>
    <row r="29" customFormat="false" ht="15" hidden="false" customHeight="false" outlineLevel="0" collapsed="false">
      <c r="B29" s="6" t="s">
        <v>37</v>
      </c>
      <c r="C29" s="12" t="n">
        <f aca="false">ProjCost!E18</f>
        <v>181918.139660399</v>
      </c>
      <c r="D29" s="13" t="n">
        <f aca="false">IFERROR(C29/ProjCost!$E$20,0)</f>
        <v>0.0026309096792259</v>
      </c>
    </row>
    <row r="30" customFormat="false" ht="15" hidden="false" customHeight="false" outlineLevel="0" collapsed="false">
      <c r="B30" s="14" t="s">
        <v>38</v>
      </c>
      <c r="C30" s="15" t="n">
        <f aca="false">ProjCost!E20</f>
        <v>69146478.5343469</v>
      </c>
      <c r="D30" s="16" t="n">
        <f aca="false">IFERROR(C30/ProjCost!$E$20,0)</f>
        <v>1</v>
      </c>
    </row>
    <row r="31" customFormat="false" ht="15" hidden="false" customHeight="false" outlineLevel="0" collapsed="false">
      <c r="B31" s="6" t="s">
        <v>39</v>
      </c>
      <c r="C31" s="12" t="n">
        <f aca="false">FinPlan!$E$10</f>
        <v>50954664.568307</v>
      </c>
      <c r="D31" s="13" t="n">
        <f aca="false">IFERROR(C31/ProjCost!$E$20,0)</f>
        <v>0.73690903207741</v>
      </c>
    </row>
    <row r="32" customFormat="false" ht="15" hidden="false" customHeight="false" outlineLevel="0" collapsed="false">
      <c r="B32" s="6" t="s">
        <v>40</v>
      </c>
      <c r="C32" s="12" t="n">
        <f aca="false">FinPlan!$E$14</f>
        <v>18191813.9660399</v>
      </c>
      <c r="D32" s="13" t="n">
        <f aca="false">IFERROR(C32/ProjCost!$E$20,0)</f>
        <v>0.26309096792259</v>
      </c>
    </row>
    <row r="34" customFormat="false" ht="15" hidden="false" customHeight="false" outlineLevel="0" collapsed="false">
      <c r="B34" s="4" t="s">
        <v>41</v>
      </c>
      <c r="C34" s="5"/>
      <c r="D34" s="5"/>
      <c r="E34" s="5"/>
      <c r="F34" s="5"/>
      <c r="G34" s="5"/>
      <c r="H34" s="5"/>
      <c r="I34" s="5"/>
      <c r="J34" s="5"/>
      <c r="K34" s="5"/>
    </row>
    <row r="35" customFormat="false" ht="30" hidden="false" customHeight="true" outlineLevel="0" collapsed="false">
      <c r="B35" s="17" t="s">
        <v>42</v>
      </c>
      <c r="C35" s="18" t="s">
        <v>43</v>
      </c>
      <c r="D35" s="18" t="s">
        <v>44</v>
      </c>
      <c r="E35" s="18" t="s">
        <v>45</v>
      </c>
      <c r="F35" s="18" t="s">
        <v>46</v>
      </c>
      <c r="G35" s="18" t="s">
        <v>47</v>
      </c>
      <c r="H35" s="18" t="s">
        <v>48</v>
      </c>
      <c r="I35" s="18" t="s">
        <v>49</v>
      </c>
      <c r="J35" s="18" t="s">
        <v>50</v>
      </c>
      <c r="K35" s="17" t="s">
        <v>51</v>
      </c>
    </row>
    <row r="36" customFormat="false" ht="15" hidden="false" customHeight="false" outlineLevel="0" collapsed="false">
      <c r="B36" s="5"/>
      <c r="C36" s="5"/>
      <c r="D36" s="17" t="s">
        <v>52</v>
      </c>
      <c r="E36" s="17" t="s">
        <v>53</v>
      </c>
      <c r="F36" s="17" t="s">
        <v>54</v>
      </c>
      <c r="G36" s="17" t="s">
        <v>55</v>
      </c>
      <c r="H36" s="17" t="s">
        <v>56</v>
      </c>
      <c r="I36" s="17" t="s">
        <v>57</v>
      </c>
      <c r="J36" s="17" t="s">
        <v>58</v>
      </c>
      <c r="K36" s="17" t="s">
        <v>59</v>
      </c>
    </row>
    <row r="37" customFormat="false" ht="15" hidden="false" customHeight="false" outlineLevel="0" collapsed="false">
      <c r="B37" s="19" t="s">
        <v>60</v>
      </c>
      <c r="C37" s="20" t="s">
        <v>32</v>
      </c>
      <c r="D37" s="12" t="n">
        <f aca="false">ProfLoss!D10</f>
        <v>9058233.40746031</v>
      </c>
      <c r="E37" s="12" t="n">
        <f aca="false">ProfLoss!E10</f>
        <v>47577491.5603378</v>
      </c>
      <c r="F37" s="12" t="n">
        <f aca="false">ProfLoss!F10</f>
        <v>63164550.9175715</v>
      </c>
      <c r="G37" s="12" t="n">
        <f aca="false">ProfLoss!G10</f>
        <v>76218662.3391351</v>
      </c>
      <c r="H37" s="12" t="n">
        <f aca="false">ProfLoss!H10</f>
        <v>78385381.545254</v>
      </c>
      <c r="I37" s="12" t="n">
        <f aca="false">ProfLoss!I10</f>
        <v>80109859.9392496</v>
      </c>
      <c r="J37" s="12" t="n">
        <f aca="false">ProfLoss!J10</f>
        <v>81872276.8579131</v>
      </c>
      <c r="K37" s="12" t="n">
        <f aca="false">SUM(D37:J37)</f>
        <v>436386456.566921</v>
      </c>
    </row>
    <row r="38" customFormat="false" ht="15" hidden="false" customHeight="false" outlineLevel="0" collapsed="false">
      <c r="B38" s="19" t="s">
        <v>61</v>
      </c>
      <c r="C38" s="20" t="s">
        <v>32</v>
      </c>
      <c r="D38" s="12" t="n">
        <f aca="false">ProfLoss!D27</f>
        <v>731448.935790867</v>
      </c>
      <c r="E38" s="12" t="n">
        <f aca="false">ProfLoss!E27</f>
        <v>21996151.8831724</v>
      </c>
      <c r="F38" s="12" t="n">
        <f aca="false">ProfLoss!F27</f>
        <v>31098348.1760297</v>
      </c>
      <c r="G38" s="12" t="n">
        <f aca="false">ProfLoss!G27</f>
        <v>38582690.0434478</v>
      </c>
      <c r="H38" s="12" t="n">
        <f aca="false">ProfLoss!H27</f>
        <v>39632262.2313783</v>
      </c>
      <c r="I38" s="12" t="n">
        <f aca="false">ProfLoss!I27</f>
        <v>40525405.2722664</v>
      </c>
      <c r="J38" s="12" t="n">
        <f aca="false">ProfLoss!J27</f>
        <v>41437964.6506946</v>
      </c>
      <c r="K38" s="12" t="n">
        <f aca="false">SUM(D38:J38)</f>
        <v>214004271.19278</v>
      </c>
    </row>
    <row r="39" customFormat="false" ht="15" hidden="false" customHeight="false" outlineLevel="0" collapsed="false">
      <c r="B39" s="19" t="s">
        <v>62</v>
      </c>
      <c r="C39" s="20" t="s">
        <v>32</v>
      </c>
      <c r="D39" s="12" t="n">
        <f aca="false">ProfLoss!D22</f>
        <v>54544.3369456178</v>
      </c>
      <c r="E39" s="12" t="n">
        <f aca="false">ProfLoss!E22</f>
        <v>15362110.1241294</v>
      </c>
      <c r="F39" s="12" t="n">
        <f aca="false">ProfLoss!F22</f>
        <v>23238983.8213769</v>
      </c>
      <c r="G39" s="12" t="n">
        <f aca="false">ProfLoss!G22</f>
        <v>29737716.3141732</v>
      </c>
      <c r="H39" s="12" t="n">
        <f aca="false">ProfLoss!H22</f>
        <v>30766894.579405</v>
      </c>
      <c r="I39" s="12" t="n">
        <f aca="false">ProfLoss!I22</f>
        <v>31662147.5952135</v>
      </c>
      <c r="J39" s="12" t="n">
        <f aca="false">ProfLoss!J22</f>
        <v>32575825.4468056</v>
      </c>
      <c r="K39" s="12" t="n">
        <f aca="false">SUM(D39:J39)</f>
        <v>163398222.218049</v>
      </c>
    </row>
    <row r="40" customFormat="false" ht="15" hidden="false" customHeight="false" outlineLevel="0" collapsed="false">
      <c r="B40" s="19" t="s">
        <v>63</v>
      </c>
      <c r="C40" s="20" t="s">
        <v>32</v>
      </c>
      <c r="D40" s="12" t="n">
        <f aca="false">CashFlow!D18</f>
        <v>-12856917.8800911</v>
      </c>
      <c r="E40" s="12" t="n">
        <f aca="false">CashFlow!E18</f>
        <v>25111100.5716686</v>
      </c>
      <c r="F40" s="12" t="n">
        <f aca="false">CashFlow!F18</f>
        <v>24855213.8374898</v>
      </c>
      <c r="G40" s="12" t="n">
        <f aca="false">CashFlow!G18</f>
        <v>31569415.7998281</v>
      </c>
      <c r="H40" s="12" t="n">
        <f aca="false">CashFlow!H18</f>
        <v>33932567.1033841</v>
      </c>
      <c r="I40" s="12" t="n">
        <f aca="false">CashFlow!I18</f>
        <v>34702117.9115545</v>
      </c>
      <c r="J40" s="12" t="n">
        <f aca="false">CashFlow!J18</f>
        <v>35448251.3319593</v>
      </c>
      <c r="K40" s="12" t="n">
        <f aca="false">SUM(D40:J40)</f>
        <v>172761748.675793</v>
      </c>
    </row>
    <row r="41" customFormat="false" ht="15" hidden="false" customHeight="false" outlineLevel="0" collapsed="false">
      <c r="B41" s="19" t="s">
        <v>64</v>
      </c>
      <c r="C41" s="20" t="s">
        <v>32</v>
      </c>
      <c r="D41" s="12" t="n">
        <f aca="false">LOANS!$C$107</f>
        <v>1291113.46342311</v>
      </c>
      <c r="E41" s="12" t="n">
        <f aca="false">LOANS!$D$107</f>
        <v>4227477.17618695</v>
      </c>
      <c r="F41" s="12" t="n">
        <f aca="false">LOANS!$E$107</f>
        <v>4008803.43091692</v>
      </c>
      <c r="G41" s="12" t="n">
        <f aca="false">LOANS!$F$107</f>
        <v>3793617.85367974</v>
      </c>
      <c r="H41" s="12" t="n">
        <f aca="false">LOANS!$G$107</f>
        <v>3578432.27644255</v>
      </c>
      <c r="I41" s="12" t="n">
        <f aca="false">LOANS!$H$107</f>
        <v>3364376.6691315</v>
      </c>
      <c r="J41" s="12" t="n">
        <f aca="false">LOANS!$I$107</f>
        <v>3148061.12196818</v>
      </c>
      <c r="K41" s="12" t="n">
        <f aca="false">SUM(D41:J41)</f>
        <v>23411881.991749</v>
      </c>
    </row>
    <row r="42" customFormat="false" ht="15" hidden="false" customHeight="false" outlineLevel="0" collapsed="false">
      <c r="B42" s="19" t="s">
        <v>65</v>
      </c>
      <c r="C42" s="20" t="s">
        <v>32</v>
      </c>
      <c r="D42" s="12" t="n">
        <f aca="false">CashFlow!D26</f>
        <v>903741.604225551</v>
      </c>
      <c r="E42" s="12" t="n">
        <f aca="false">CashFlow!E26</f>
        <v>20344025.3347674</v>
      </c>
      <c r="F42" s="12" t="n">
        <f aca="false">CashFlow!F26</f>
        <v>20306812.3458586</v>
      </c>
      <c r="G42" s="12" t="n">
        <f aca="false">CashFlow!G26</f>
        <v>27236199.885434</v>
      </c>
      <c r="H42" s="12" t="n">
        <f aca="false">CashFlow!H26</f>
        <v>29814536.7662273</v>
      </c>
      <c r="I42" s="12" t="n">
        <f aca="false">CashFlow!I26</f>
        <v>30798143.1817087</v>
      </c>
      <c r="J42" s="12" t="n">
        <f aca="false">CashFlow!J26</f>
        <v>31760592.1492768</v>
      </c>
      <c r="K42" s="12" t="n">
        <f aca="false">SUM(D42:J42)</f>
        <v>161164051.267498</v>
      </c>
    </row>
    <row r="43" customFormat="false" ht="15" hidden="false" customHeight="false" outlineLevel="0" collapsed="false">
      <c r="B43" s="19" t="s">
        <v>66</v>
      </c>
      <c r="C43" s="20" t="s">
        <v>32</v>
      </c>
      <c r="D43" s="12" t="n">
        <f aca="false">CashFlow!D27</f>
        <v>903741.604225551</v>
      </c>
      <c r="E43" s="12" t="n">
        <f aca="false">CashFlow!E27</f>
        <v>21247766.9389929</v>
      </c>
      <c r="F43" s="12" t="n">
        <f aca="false">CashFlow!F27</f>
        <v>41554579.2848516</v>
      </c>
      <c r="G43" s="12" t="n">
        <f aca="false">CashFlow!G27</f>
        <v>68790779.1702856</v>
      </c>
      <c r="H43" s="12" t="n">
        <f aca="false">CashFlow!H27</f>
        <v>98605315.9365128</v>
      </c>
      <c r="I43" s="12" t="n">
        <f aca="false">CashFlow!I27</f>
        <v>129403459.118222</v>
      </c>
      <c r="J43" s="12" t="n">
        <f aca="false">CashFlow!J27</f>
        <v>161164051.267498</v>
      </c>
    </row>
    <row r="44" customFormat="false" ht="15" hidden="false" customHeight="false" outlineLevel="0" collapsed="false">
      <c r="B44" s="19" t="s">
        <v>67</v>
      </c>
      <c r="C44" s="20" t="s">
        <v>68</v>
      </c>
      <c r="D44" s="21" t="str">
        <f aca="false">CashFlow!D30</f>
        <v>-</v>
      </c>
      <c r="E44" s="21" t="n">
        <f aca="false">CashFlow!E30</f>
        <v>5.81233238806438</v>
      </c>
      <c r="F44" s="21" t="n">
        <f aca="false">CashFlow!F30</f>
        <v>6.06555452164286</v>
      </c>
      <c r="G44" s="21" t="n">
        <f aca="false">CashFlow!G30</f>
        <v>8.17947904505337</v>
      </c>
      <c r="H44" s="21" t="n">
        <f aca="false">CashFlow!H30</f>
        <v>9.33173145751607</v>
      </c>
      <c r="I44" s="21" t="n">
        <f aca="false">CashFlow!I30</f>
        <v>10.1541899764925</v>
      </c>
      <c r="J44" s="21" t="n">
        <f aca="false">CashFlow!J30</f>
        <v>11.0889375773682</v>
      </c>
    </row>
    <row r="45" customFormat="false" ht="15" hidden="false" customHeight="false" outlineLevel="0" collapsed="false">
      <c r="B45" s="19" t="s">
        <v>69</v>
      </c>
      <c r="C45" s="20" t="s">
        <v>32</v>
      </c>
      <c r="D45" s="12" t="n">
        <f aca="false">LOANS!$C$108</f>
        <v>18191813.9660399</v>
      </c>
      <c r="E45" s="12" t="n">
        <f aca="false">LOANS!$D$108</f>
        <v>15159844.9717</v>
      </c>
      <c r="F45" s="12" t="n">
        <f aca="false">LOANS!$E$108</f>
        <v>12127875.97736</v>
      </c>
      <c r="G45" s="12" t="n">
        <f aca="false">LOANS!$F$108</f>
        <v>9095906.98301997</v>
      </c>
      <c r="H45" s="12" t="n">
        <f aca="false">LOANS!$G$108</f>
        <v>6063937.98867998</v>
      </c>
      <c r="I45" s="12" t="n">
        <f aca="false">LOANS!$H$108</f>
        <v>3031968.99433999</v>
      </c>
      <c r="J45" s="12" t="n">
        <f aca="false">LOANS!$I$108</f>
        <v>0</v>
      </c>
    </row>
    <row r="47" customFormat="false" ht="15" hidden="false" customHeight="false" outlineLevel="0" collapsed="false">
      <c r="B47" s="4" t="s">
        <v>70</v>
      </c>
      <c r="C47" s="5"/>
      <c r="D47" s="5"/>
      <c r="E47" s="5"/>
      <c r="F47" s="5"/>
      <c r="G47" s="5"/>
      <c r="H47" s="5"/>
      <c r="I47" s="5"/>
      <c r="J47" s="5"/>
      <c r="K47" s="5"/>
    </row>
    <row r="48" customFormat="false" ht="15" hidden="false" customHeight="false" outlineLevel="0" collapsed="false">
      <c r="B48" s="6" t="s">
        <v>71</v>
      </c>
      <c r="C48" s="22" t="n">
        <f aca="false">NPV_IRR!D18</f>
        <v>52066247.1133081</v>
      </c>
    </row>
    <row r="49" customFormat="false" ht="15" hidden="false" customHeight="false" outlineLevel="0" collapsed="false">
      <c r="B49" s="6" t="s">
        <v>72</v>
      </c>
      <c r="C49" s="23" t="n">
        <f aca="false">NPV_IRR!D19</f>
        <v>0.354467121773312</v>
      </c>
    </row>
    <row r="50" customFormat="false" ht="15" hidden="false" customHeight="false" outlineLevel="0" collapsed="false">
      <c r="B50" s="6" t="s">
        <v>73</v>
      </c>
      <c r="C50" s="24" t="n">
        <f aca="false">NPV_IRR!D20</f>
        <v>1.8645417113316</v>
      </c>
    </row>
    <row r="51" customFormat="false" ht="15" hidden="false" customHeight="false" outlineLevel="0" collapsed="false">
      <c r="B51" s="6" t="s">
        <v>74</v>
      </c>
      <c r="C51" s="25" t="n">
        <f aca="false">NPV_IRR!D21</f>
        <v>3.58216600983117</v>
      </c>
    </row>
    <row r="52" customFormat="false" ht="15" hidden="false" customHeight="false" outlineLevel="0" collapsed="false">
      <c r="B52" s="6" t="s">
        <v>75</v>
      </c>
      <c r="C52" s="25" t="n">
        <f aca="false">NPV_IRR!D22</f>
        <v>4.11848524543979</v>
      </c>
    </row>
    <row r="53" customFormat="false" ht="15" hidden="false" customHeight="false" outlineLevel="0" collapsed="false">
      <c r="B53" s="6" t="s">
        <v>76</v>
      </c>
      <c r="C53" s="26" t="str">
        <f aca="false">TEXT(CashFlow!K31,"0.00") &amp; "x / " &amp; TEXT(CashFlow!K32,"0.00") &amp; "x"</f>
        <v>5.81x / 8.44x</v>
      </c>
      <c r="D53" s="26"/>
      <c r="E53" s="26"/>
    </row>
    <row r="54" customFormat="false" ht="15" hidden="false" customHeight="false" outlineLevel="0" collapsed="false">
      <c r="B54" s="6" t="s">
        <v>77</v>
      </c>
      <c r="C54" s="23" t="n">
        <f aca="false">BreakPoint!C10</f>
        <v>0.216795232323726</v>
      </c>
    </row>
    <row r="55" customFormat="false" ht="15" hidden="false" customHeight="false" outlineLevel="0" collapsed="false">
      <c r="B55" s="6" t="s">
        <v>78</v>
      </c>
      <c r="C55" s="26" t="str">
        <f aca="false">TEXT(Исх_данные!$E$18,"#,##0") &amp; " USD / " &amp; TEXT(Исх_данные!$E$19,"0.0%")</f>
        <v>102,185,998 USD / 37.2%</v>
      </c>
      <c r="D55" s="26"/>
      <c r="E55" s="26"/>
    </row>
    <row r="57" customFormat="false" ht="15" hidden="false" customHeight="false" outlineLevel="0" collapsed="false">
      <c r="B57" s="4" t="s">
        <v>79</v>
      </c>
      <c r="C57" s="5"/>
      <c r="D57" s="5"/>
      <c r="E57" s="5"/>
      <c r="F57" s="5"/>
      <c r="G57" s="5"/>
      <c r="H57" s="5"/>
      <c r="I57" s="5"/>
      <c r="J57" s="5"/>
      <c r="K57" s="5"/>
    </row>
    <row r="58" customFormat="false" ht="15" hidden="false" customHeight="false" outlineLevel="0" collapsed="false">
      <c r="B58" s="6" t="s">
        <v>80</v>
      </c>
      <c r="C58" s="27" t="str">
        <f aca="false">Проверки!E14</f>
        <v>OK</v>
      </c>
    </row>
    <row r="59" customFormat="false" ht="15" hidden="false" customHeight="false" outlineLevel="0" collapsed="false">
      <c r="B59" s="6" t="s">
        <v>81</v>
      </c>
      <c r="C59" s="27" t="str">
        <f aca="false">Проверки!E16</f>
        <v>OK</v>
      </c>
    </row>
    <row r="60" customFormat="false" ht="15" hidden="false" customHeight="false" outlineLevel="0" collapsed="false">
      <c r="B60" s="6" t="s">
        <v>82</v>
      </c>
      <c r="C60" s="27" t="str">
        <f aca="false">Проверки!E12</f>
        <v>OK</v>
      </c>
    </row>
    <row r="61" customFormat="false" ht="15" hidden="false" customHeight="false" outlineLevel="0" collapsed="false">
      <c r="B61" s="6" t="s">
        <v>83</v>
      </c>
      <c r="C61" s="27" t="str">
        <f aca="false">IF(ProjCost!E16&gt;0,"OK","ОШИБКА")</f>
        <v>OK</v>
      </c>
    </row>
    <row r="62" customFormat="false" ht="15" hidden="false" customHeight="false" outlineLevel="0" collapsed="false">
      <c r="B62" s="6" t="s">
        <v>84</v>
      </c>
      <c r="C62" s="27" t="str">
        <f aca="false">Проверки!E17</f>
        <v>OK</v>
      </c>
    </row>
    <row r="63" customFormat="false" ht="15" hidden="false" customHeight="false" outlineLevel="0" collapsed="false">
      <c r="B63" s="6" t="s">
        <v>85</v>
      </c>
      <c r="C63" s="27" t="str">
        <f aca="false">Проверки!E24</f>
        <v>ВСЕ OK</v>
      </c>
    </row>
    <row r="65" customFormat="false" ht="15" hidden="false" customHeight="false" outlineLevel="0" collapsed="false">
      <c r="B65" s="4" t="s">
        <v>86</v>
      </c>
      <c r="C65" s="5"/>
      <c r="D65" s="5"/>
      <c r="E65" s="5"/>
      <c r="F65" s="5"/>
      <c r="G65" s="5"/>
      <c r="H65" s="5"/>
      <c r="I65" s="5"/>
      <c r="J65" s="5"/>
      <c r="K65" s="5"/>
    </row>
    <row r="66" customFormat="false" ht="30" hidden="false" customHeight="true" outlineLevel="0" collapsed="false">
      <c r="B66" s="28" t="s">
        <v>87</v>
      </c>
      <c r="C66" s="28"/>
      <c r="D66" s="28"/>
      <c r="E66" s="28"/>
      <c r="F66" s="28"/>
      <c r="G66" s="28"/>
      <c r="H66" s="28"/>
      <c r="I66" s="28"/>
      <c r="J66" s="28"/>
      <c r="K66" s="28"/>
    </row>
    <row r="67" customFormat="false" ht="30" hidden="false" customHeight="true" outlineLevel="0" collapsed="false">
      <c r="B67" s="28" t="s">
        <v>88</v>
      </c>
      <c r="C67" s="28"/>
      <c r="D67" s="28"/>
      <c r="E67" s="28"/>
      <c r="F67" s="28"/>
      <c r="G67" s="28"/>
      <c r="H67" s="28"/>
      <c r="I67" s="28"/>
      <c r="J67" s="28"/>
      <c r="K67" s="28"/>
    </row>
    <row r="68" customFormat="false" ht="30" hidden="false" customHeight="true" outlineLevel="0" collapsed="false">
      <c r="B68" s="28" t="s">
        <v>89</v>
      </c>
      <c r="C68" s="28"/>
      <c r="D68" s="28"/>
      <c r="E68" s="28"/>
      <c r="F68" s="28"/>
      <c r="G68" s="28"/>
      <c r="H68" s="28"/>
      <c r="I68" s="28"/>
      <c r="J68" s="28"/>
      <c r="K68" s="28"/>
    </row>
    <row r="69" customFormat="false" ht="30" hidden="false" customHeight="true" outlineLevel="0" collapsed="false">
      <c r="B69" s="28" t="s">
        <v>90</v>
      </c>
      <c r="C69" s="28"/>
      <c r="D69" s="28"/>
      <c r="E69" s="28"/>
      <c r="F69" s="28"/>
      <c r="G69" s="28"/>
      <c r="H69" s="28"/>
      <c r="I69" s="28"/>
      <c r="J69" s="28"/>
      <c r="K69" s="28"/>
    </row>
    <row r="70" customFormat="false" ht="30" hidden="false" customHeight="true" outlineLevel="0" collapsed="false">
      <c r="B70" s="28" t="s">
        <v>91</v>
      </c>
      <c r="C70" s="28"/>
      <c r="D70" s="28"/>
      <c r="E70" s="28"/>
      <c r="F70" s="28"/>
      <c r="G70" s="28"/>
      <c r="H70" s="28"/>
      <c r="I70" s="28"/>
      <c r="J70" s="28"/>
      <c r="K70" s="28"/>
    </row>
    <row r="71" customFormat="false" ht="30" hidden="false" customHeight="true" outlineLevel="0" collapsed="false">
      <c r="B71" s="28" t="s">
        <v>92</v>
      </c>
      <c r="C71" s="28"/>
      <c r="D71" s="28"/>
      <c r="E71" s="28"/>
      <c r="F71" s="28"/>
      <c r="G71" s="28"/>
      <c r="H71" s="28"/>
      <c r="I71" s="28"/>
      <c r="J71" s="28"/>
      <c r="K71" s="28"/>
    </row>
    <row r="73" customFormat="false" ht="15" hidden="false" customHeight="false" outlineLevel="0" collapsed="false">
      <c r="B73" s="4" t="s">
        <v>93</v>
      </c>
      <c r="C73" s="5"/>
      <c r="D73" s="5"/>
      <c r="E73" s="5"/>
      <c r="F73" s="5"/>
      <c r="G73" s="5"/>
      <c r="H73" s="5"/>
      <c r="I73" s="5"/>
      <c r="J73" s="5"/>
      <c r="K73" s="5"/>
    </row>
    <row r="74" customFormat="false" ht="30" hidden="false" customHeight="true" outlineLevel="0" collapsed="false">
      <c r="B74" s="26" t="s">
        <v>94</v>
      </c>
      <c r="C74" s="19" t="str">
        <f aca="false">"Изменение цены безубыточности по ТЭО-модели (все продукты): " &amp; TEXT(BreakPoint!C15,"0.0%") &amp; "; точка безубыточности при проектной мощности — " &amp; TEXT(BreakPoint!C10,"0%") &amp; " выручки. Меры: долгосрочные контракты на реализацию, мониторинг рыночных цен."</f>
        <v>Изменение цены безубыточности по ТЭО-модели (все продукты): -31.7%; точка безубыточности при проектной мощности — 22% выручки. Меры: долгосрочные контракты на реализацию, мониторинг рыночных цен.</v>
      </c>
      <c r="D74" s="19"/>
      <c r="E74" s="19"/>
      <c r="F74" s="19"/>
      <c r="G74" s="19"/>
      <c r="H74" s="19"/>
      <c r="I74" s="19"/>
      <c r="J74" s="19"/>
      <c r="K74" s="19"/>
    </row>
    <row r="75" customFormat="false" ht="30" hidden="false" customHeight="true" outlineLevel="0" collapsed="false">
      <c r="B75" s="26" t="s">
        <v>95</v>
      </c>
      <c r="C75" s="19" t="str">
        <f aca="false">"Доля экспорта в выручке: " &amp; TEXT(SalePlan!G10/SalePlan!G18,"0%") &amp; "; цены продукции установлены в USD; кредит — в USD (естественное хеджирование валютной позиции)."</f>
        <v>Доля экспорта в выручке: 100%; цены продукции установлены в USD; кредит — в USD (естественное хеджирование валютной позиции).</v>
      </c>
      <c r="D75" s="19"/>
      <c r="E75" s="19"/>
      <c r="F75" s="19"/>
      <c r="G75" s="19"/>
      <c r="H75" s="19"/>
      <c r="I75" s="19"/>
      <c r="J75" s="19"/>
      <c r="K75" s="19"/>
    </row>
    <row r="76" customFormat="false" ht="30" hidden="false" customHeight="true" outlineLevel="0" collapsed="false">
      <c r="B76" s="26" t="s">
        <v>96</v>
      </c>
      <c r="C76" s="19" t="str">
        <f aca="false">"Освоение мощности: 1-й год — " &amp; TEXT(ProdPlan!D13,"0%") &amp; ", 2-й год — " &amp; TEXT(ProdPlan!E13,"0%") &amp; ", 3-й год — " &amp; TEXT(ProdPlan!F13,"0%") &amp; "; льготный период 12 мес. и запас DSCR (мин. " &amp; TEXT(CashFlow!K31,"0.00") &amp; "x) покрывают период выхода на мощность."</f>
        <v>Освоение мощности: 1-й год — 15%, 2-й год — 65%, 3-й год — 85%; льготный период 12 мес. и запас DSCR (мин. 5.81x) покрывают период выхода на мощность.</v>
      </c>
      <c r="D76" s="19"/>
      <c r="E76" s="19"/>
      <c r="F76" s="19"/>
      <c r="G76" s="19"/>
      <c r="H76" s="19"/>
      <c r="I76" s="19"/>
      <c r="J76" s="19"/>
      <c r="K76" s="19"/>
    </row>
    <row r="77" customFormat="false" ht="30" hidden="false" customHeight="true" outlineLevel="0" collapsed="false">
      <c r="B77" s="26" t="s">
        <v>97</v>
      </c>
      <c r="C77" s="19" t="str">
        <f aca="false">"Капитальные затраты приняты по ТЭО в фиксированных ценах (EPC-контракт: проектирование, поставка, строительство); превышение сметы финансируется за счёт собственных средств заемщика."</f>
        <v>Капитальные затраты приняты по ТЭО в фиксированных ценах (EPC-контракт: проектирование, поставка, строительство); превышение сметы финансируется за счёт собственных средств заемщика.</v>
      </c>
      <c r="D77" s="19"/>
      <c r="E77" s="19"/>
      <c r="F77" s="19"/>
      <c r="G77" s="19"/>
      <c r="H77" s="19"/>
      <c r="I77" s="19"/>
      <c r="J77" s="19"/>
      <c r="K77" s="19"/>
    </row>
    <row r="78" customFormat="false" ht="30" hidden="false" customHeight="true" outlineLevel="0" collapsed="false">
      <c r="B78" s="26" t="s">
        <v>98</v>
      </c>
      <c r="C78" s="19" t="str">
        <f aca="false">"Основное сырьё — Молибденовый огарок: " &amp; TEXT(RawMat!F20/CostTotal!C22,"0%") &amp; " затрат при проектной мощности (с учётом прочих материалов). Меры: долгосрочные договоры поставки."</f>
        <v>Основное сырьё — Молибденовый огарок: 67% затрат при проектной мощности (с учётом прочих материалов). Меры: долгосрочные договоры поставки.</v>
      </c>
      <c r="D78" s="19"/>
      <c r="E78" s="19"/>
      <c r="F78" s="19"/>
      <c r="G78" s="19"/>
      <c r="H78" s="19"/>
      <c r="I78" s="19"/>
      <c r="J78" s="19"/>
      <c r="K78" s="19"/>
    </row>
  </sheetData>
  <mergeCells count="27">
    <mergeCell ref="C7:K7"/>
    <mergeCell ref="C8:K8"/>
    <mergeCell ref="C9:K9"/>
    <mergeCell ref="C10:K10"/>
    <mergeCell ref="C11:K11"/>
    <mergeCell ref="C12:K12"/>
    <mergeCell ref="C13:K13"/>
    <mergeCell ref="C14:K14"/>
    <mergeCell ref="C17:K17"/>
    <mergeCell ref="C18:K18"/>
    <mergeCell ref="C19:K19"/>
    <mergeCell ref="C20:K20"/>
    <mergeCell ref="C21:K21"/>
    <mergeCell ref="C22:K22"/>
    <mergeCell ref="C53:E53"/>
    <mergeCell ref="C55:E55"/>
    <mergeCell ref="B66:K66"/>
    <mergeCell ref="B67:K67"/>
    <mergeCell ref="B68:K68"/>
    <mergeCell ref="B69:K69"/>
    <mergeCell ref="B70:K70"/>
    <mergeCell ref="B71:K71"/>
    <mergeCell ref="C74:K74"/>
    <mergeCell ref="C75:K75"/>
    <mergeCell ref="C76:K76"/>
    <mergeCell ref="C77:K77"/>
    <mergeCell ref="C78:K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52"/>
    <col collapsed="false" customWidth="true" hidden="false" outlineLevel="0" max="14" min="4" style="0" width="16"/>
  </cols>
  <sheetData>
    <row r="2" customFormat="false" ht="15" hidden="false" customHeight="false" outlineLevel="0" collapsed="false">
      <c r="B2" s="2" t="s">
        <v>99</v>
      </c>
    </row>
    <row r="4" customFormat="false" ht="30" hidden="false" customHeight="true" outlineLevel="0" collapsed="false">
      <c r="B4" s="26" t="s">
        <v>100</v>
      </c>
      <c r="C4" s="19" t="s">
        <v>7</v>
      </c>
    </row>
    <row r="5" customFormat="false" ht="15" hidden="false" customHeight="true" outlineLevel="0" collapsed="false">
      <c r="B5" s="26" t="s">
        <v>101</v>
      </c>
      <c r="C5" s="19" t="s">
        <v>102</v>
      </c>
    </row>
    <row r="6" customFormat="false" ht="30" hidden="false" customHeight="true" outlineLevel="0" collapsed="false">
      <c r="B6" s="26" t="s">
        <v>103</v>
      </c>
      <c r="C6" s="19" t="s">
        <v>104</v>
      </c>
    </row>
    <row r="7" customFormat="false" ht="30" hidden="false" customHeight="true" outlineLevel="0" collapsed="false">
      <c r="B7" s="26" t="s">
        <v>105</v>
      </c>
      <c r="C7" s="19" t="s">
        <v>106</v>
      </c>
    </row>
    <row r="8" customFormat="false" ht="30" hidden="false" customHeight="true" outlineLevel="0" collapsed="false">
      <c r="B8" s="26" t="s">
        <v>107</v>
      </c>
      <c r="C8" s="19" t="s">
        <v>9</v>
      </c>
    </row>
    <row r="9" customFormat="false" ht="15" hidden="false" customHeight="true" outlineLevel="0" collapsed="false">
      <c r="B9" s="26" t="s">
        <v>108</v>
      </c>
      <c r="C9" s="19" t="s">
        <v>109</v>
      </c>
    </row>
    <row r="10" customFormat="false" ht="30" hidden="false" customHeight="true" outlineLevel="0" collapsed="false">
      <c r="B10" s="26" t="s">
        <v>110</v>
      </c>
      <c r="C10" s="19" t="s">
        <v>111</v>
      </c>
    </row>
    <row r="11" customFormat="false" ht="15" hidden="false" customHeight="true" outlineLevel="0" collapsed="false">
      <c r="B11" s="26" t="s">
        <v>112</v>
      </c>
      <c r="C11" s="19" t="s">
        <v>113</v>
      </c>
    </row>
    <row r="12" customFormat="false" ht="15" hidden="false" customHeight="true" outlineLevel="0" collapsed="false">
      <c r="B12" s="26" t="s">
        <v>114</v>
      </c>
      <c r="C12" s="19" t="s">
        <v>115</v>
      </c>
    </row>
    <row r="13" customFormat="false" ht="15" hidden="false" customHeight="true" outlineLevel="0" collapsed="false">
      <c r="B13" s="26" t="s">
        <v>116</v>
      </c>
      <c r="C13" s="19" t="s">
        <v>117</v>
      </c>
    </row>
    <row r="14" customFormat="false" ht="15" hidden="false" customHeight="true" outlineLevel="0" collapsed="false">
      <c r="B14" s="26" t="s">
        <v>118</v>
      </c>
      <c r="C14" s="19" t="s">
        <v>119</v>
      </c>
    </row>
    <row r="16" customFormat="false" ht="15" hidden="false" customHeight="false" outlineLevel="0" collapsed="false">
      <c r="B16" s="4" t="s">
        <v>120</v>
      </c>
      <c r="C16" s="5"/>
    </row>
    <row r="17" customFormat="false" ht="23.85" hidden="false" customHeight="false" outlineLevel="0" collapsed="false">
      <c r="B17" s="6" t="s">
        <v>121</v>
      </c>
      <c r="C17" s="19" t="s">
        <v>7</v>
      </c>
    </row>
    <row r="18" customFormat="false" ht="23.85" hidden="false" customHeight="false" outlineLevel="0" collapsed="false">
      <c r="B18" s="6" t="s">
        <v>122</v>
      </c>
      <c r="C18" s="19" t="s">
        <v>123</v>
      </c>
    </row>
    <row r="19" customFormat="false" ht="15" hidden="false" customHeight="false" outlineLevel="0" collapsed="false">
      <c r="B19" s="6" t="s">
        <v>124</v>
      </c>
      <c r="C19" s="19" t="s">
        <v>125</v>
      </c>
    </row>
    <row r="20" customFormat="false" ht="15" hidden="false" customHeight="false" outlineLevel="0" collapsed="false">
      <c r="B20" s="6" t="s">
        <v>126</v>
      </c>
      <c r="C20" s="19" t="s">
        <v>127</v>
      </c>
    </row>
    <row r="22" customFormat="false" ht="15" hidden="false" customHeight="false" outlineLevel="0" collapsed="false">
      <c r="B22" s="26" t="s">
        <v>128</v>
      </c>
      <c r="C22" s="6" t="s">
        <v>129</v>
      </c>
    </row>
    <row r="23" customFormat="false" ht="15" hidden="false" customHeight="false" outlineLevel="0" collapsed="false">
      <c r="B23" s="6" t="s">
        <v>130</v>
      </c>
      <c r="C23" s="29" t="n">
        <f aca="false">Исх_данные!$F$24</f>
        <v>12218.0628881788</v>
      </c>
    </row>
    <row r="25" customFormat="false" ht="15" hidden="false" customHeight="false" outlineLevel="0" collapsed="false">
      <c r="B25" s="4" t="s">
        <v>131</v>
      </c>
      <c r="C25" s="5"/>
    </row>
    <row r="26" customFormat="false" ht="15" hidden="false" customHeight="true" outlineLevel="0" collapsed="false">
      <c r="B26" s="19" t="s">
        <v>21</v>
      </c>
      <c r="C26" s="22" t="n">
        <f aca="false">O42</f>
        <v>18191813.9660399</v>
      </c>
    </row>
    <row r="27" customFormat="false" ht="15" hidden="false" customHeight="true" outlineLevel="0" collapsed="false">
      <c r="B27" s="19" t="s">
        <v>132</v>
      </c>
      <c r="C27" s="30" t="n">
        <v>0.07</v>
      </c>
    </row>
    <row r="28" customFormat="false" ht="15" hidden="false" customHeight="true" outlineLevel="0" collapsed="false">
      <c r="B28" s="19" t="s">
        <v>133</v>
      </c>
      <c r="C28" s="31" t="n">
        <v>84</v>
      </c>
    </row>
    <row r="29" customFormat="false" ht="15" hidden="false" customHeight="true" outlineLevel="0" collapsed="false">
      <c r="B29" s="19" t="s">
        <v>134</v>
      </c>
      <c r="C29" s="31" t="n">
        <v>12</v>
      </c>
    </row>
    <row r="30" customFormat="false" ht="15" hidden="false" customHeight="true" outlineLevel="0" collapsed="false">
      <c r="B30" s="19" t="s">
        <v>135</v>
      </c>
      <c r="C30" s="31" t="n">
        <v>12</v>
      </c>
    </row>
    <row r="31" customFormat="false" ht="15" hidden="false" customHeight="true" outlineLevel="0" collapsed="false">
      <c r="B31" s="19" t="s">
        <v>136</v>
      </c>
      <c r="C31" s="32" t="n">
        <v>46388</v>
      </c>
    </row>
    <row r="32" customFormat="false" ht="15" hidden="false" customHeight="true" outlineLevel="0" collapsed="false">
      <c r="B32" s="19" t="s">
        <v>137</v>
      </c>
      <c r="C32" s="31" t="n">
        <v>360</v>
      </c>
    </row>
    <row r="33" customFormat="false" ht="30" hidden="false" customHeight="true" outlineLevel="0" collapsed="false">
      <c r="B33" s="19" t="s">
        <v>138</v>
      </c>
      <c r="C33" s="19" t="s">
        <v>139</v>
      </c>
    </row>
    <row r="34" customFormat="false" ht="30" hidden="false" customHeight="true" outlineLevel="0" collapsed="false">
      <c r="B34" s="19" t="s">
        <v>140</v>
      </c>
      <c r="C34" s="19" t="s">
        <v>141</v>
      </c>
    </row>
    <row r="35" customFormat="false" ht="30" hidden="false" customHeight="true" outlineLevel="0" collapsed="false">
      <c r="B35" s="19" t="s">
        <v>28</v>
      </c>
      <c r="C35" s="19" t="s">
        <v>142</v>
      </c>
    </row>
    <row r="36" customFormat="false" ht="15" hidden="false" customHeight="true" outlineLevel="0" collapsed="false">
      <c r="B36" s="19" t="s">
        <v>143</v>
      </c>
      <c r="C36" s="30" t="n">
        <v>0.01</v>
      </c>
    </row>
    <row r="38" customFormat="false" ht="15" hidden="false" customHeight="false" outlineLevel="0" collapsed="false">
      <c r="B38" s="33" t="s">
        <v>144</v>
      </c>
    </row>
    <row r="39" customFormat="false" ht="45" hidden="false" customHeight="true" outlineLevel="0" collapsed="false">
      <c r="B39" s="18" t="s">
        <v>145</v>
      </c>
      <c r="C39" s="18" t="s">
        <v>146</v>
      </c>
      <c r="D39" s="18" t="s">
        <v>147</v>
      </c>
      <c r="E39" s="18" t="s">
        <v>148</v>
      </c>
      <c r="F39" s="18" t="s">
        <v>149</v>
      </c>
      <c r="G39" s="18" t="s">
        <v>150</v>
      </c>
      <c r="H39" s="18" t="s">
        <v>151</v>
      </c>
      <c r="I39" s="18" t="s">
        <v>152</v>
      </c>
      <c r="J39" s="18" t="s">
        <v>153</v>
      </c>
      <c r="K39" s="18" t="s">
        <v>154</v>
      </c>
      <c r="L39" s="18" t="s">
        <v>155</v>
      </c>
      <c r="M39" s="18" t="s">
        <v>156</v>
      </c>
      <c r="N39" s="18" t="s">
        <v>157</v>
      </c>
      <c r="O39" s="18" t="s">
        <v>158</v>
      </c>
    </row>
    <row r="40" customFormat="false" ht="42" hidden="false" customHeight="true" outlineLevel="0" collapsed="false">
      <c r="B40" s="19" t="s">
        <v>159</v>
      </c>
      <c r="C40" s="19" t="s">
        <v>160</v>
      </c>
      <c r="D40" s="34" t="n">
        <v>158</v>
      </c>
      <c r="E40" s="35" t="n">
        <v>116.0322968</v>
      </c>
      <c r="F40" s="35" t="n">
        <v>532.896</v>
      </c>
      <c r="G40" s="35" t="n">
        <v>1041.567375</v>
      </c>
      <c r="H40" s="29" t="n">
        <f aca="false">E40+F40+G40</f>
        <v>1690.4956718</v>
      </c>
      <c r="I40" s="36" t="n">
        <v>12.2</v>
      </c>
      <c r="J40" s="29" t="n">
        <f aca="false">H40/I40</f>
        <v>138.565219</v>
      </c>
      <c r="K40" s="29" t="n">
        <f aca="false">H40*30%</f>
        <v>507.14870154</v>
      </c>
      <c r="L40" s="37" t="n">
        <v>11.838</v>
      </c>
      <c r="M40" s="29" t="n">
        <f aca="false">K40/L40</f>
        <v>42.8407418094273</v>
      </c>
      <c r="N40" s="13" t="n">
        <f aca="false">M40/$M$43</f>
        <v>0.548511491521257</v>
      </c>
      <c r="O40" s="12" t="n">
        <f aca="false">N40*$O$44</f>
        <v>42783896.3386581</v>
      </c>
    </row>
    <row r="41" customFormat="false" ht="42" hidden="false" customHeight="true" outlineLevel="0" collapsed="false">
      <c r="B41" s="19" t="s">
        <v>161</v>
      </c>
      <c r="C41" s="19" t="s">
        <v>162</v>
      </c>
      <c r="D41" s="34" t="n">
        <v>80</v>
      </c>
      <c r="E41" s="35" t="n">
        <v>25.272</v>
      </c>
      <c r="F41" s="35" t="n">
        <v>293.4</v>
      </c>
      <c r="G41" s="35" t="n">
        <v>353.99904</v>
      </c>
      <c r="H41" s="29" t="n">
        <f aca="false">E41+F41+G41</f>
        <v>672.67104</v>
      </c>
      <c r="I41" s="36" t="n">
        <v>12</v>
      </c>
      <c r="J41" s="29" t="n">
        <f aca="false">H41/I41</f>
        <v>56.05592</v>
      </c>
      <c r="K41" s="29" t="n">
        <f aca="false">H41*30%</f>
        <v>201.801312</v>
      </c>
      <c r="L41" s="37" t="n">
        <v>11.838</v>
      </c>
      <c r="M41" s="29" t="n">
        <f aca="false">K41/L41</f>
        <v>17.0469092752154</v>
      </c>
      <c r="N41" s="13" t="n">
        <f aca="false">M41/$M$43</f>
        <v>0.218260124298743</v>
      </c>
      <c r="O41" s="12" t="n">
        <f aca="false">N41*$O$44</f>
        <v>17024289.695302</v>
      </c>
    </row>
    <row r="42" customFormat="false" ht="42" hidden="false" customHeight="true" outlineLevel="0" collapsed="false">
      <c r="B42" s="38" t="s">
        <v>1</v>
      </c>
      <c r="C42" s="39" t="s">
        <v>109</v>
      </c>
      <c r="D42" s="40" t="n">
        <v>65</v>
      </c>
      <c r="E42" s="41" t="n">
        <v>25.35648</v>
      </c>
      <c r="F42" s="41" t="n">
        <v>251.13528</v>
      </c>
      <c r="G42" s="41" t="n">
        <v>442.311</v>
      </c>
      <c r="H42" s="42" t="n">
        <f aca="false">E42+F42+G42</f>
        <v>718.80276</v>
      </c>
      <c r="I42" s="43" t="n">
        <v>12</v>
      </c>
      <c r="J42" s="42" t="n">
        <f aca="false">H42/I42</f>
        <v>59.90023</v>
      </c>
      <c r="K42" s="42" t="n">
        <f aca="false">H42*30%</f>
        <v>215.640828</v>
      </c>
      <c r="L42" s="44" t="n">
        <v>11.838</v>
      </c>
      <c r="M42" s="42" t="n">
        <f aca="false">K42/L42</f>
        <v>18.2159847947288</v>
      </c>
      <c r="N42" s="45" t="n">
        <f aca="false">M42/$M$43</f>
        <v>0.233228384179999</v>
      </c>
      <c r="O42" s="46" t="n">
        <f aca="false">N42*$O$44</f>
        <v>18191813.9660399</v>
      </c>
    </row>
    <row r="43" customFormat="false" ht="15" hidden="false" customHeight="false" outlineLevel="0" collapsed="false">
      <c r="B43" s="10" t="s">
        <v>163</v>
      </c>
      <c r="C43" s="47"/>
      <c r="D43" s="48" t="n">
        <f aca="false">SUM(D40:D42)</f>
        <v>303</v>
      </c>
      <c r="E43" s="47" t="n">
        <f aca="false">SUM(E40:E42)</f>
        <v>166.6607768</v>
      </c>
      <c r="F43" s="47" t="n">
        <f aca="false">SUM(F40:F42)</f>
        <v>1077.43128</v>
      </c>
      <c r="G43" s="47" t="n">
        <f aca="false">SUM(G40:G42)</f>
        <v>1837.877415</v>
      </c>
      <c r="H43" s="47" t="n">
        <f aca="false">SUM(H40:H42)</f>
        <v>3081.9694718</v>
      </c>
      <c r="I43" s="47"/>
      <c r="J43" s="47" t="n">
        <f aca="false">SUM(J40:J42)</f>
        <v>254.521369</v>
      </c>
      <c r="K43" s="47" t="n">
        <f aca="false">SUM(K40:K42)</f>
        <v>924.59084154</v>
      </c>
      <c r="L43" s="47"/>
      <c r="M43" s="47" t="n">
        <f aca="false">SUM(M40:M42)</f>
        <v>78.1036358793715</v>
      </c>
      <c r="N43" s="49" t="n">
        <f aca="false">SUM(N40:N42)</f>
        <v>1</v>
      </c>
      <c r="O43" s="48" t="n">
        <f aca="false">SUM(O40:O42)</f>
        <v>78000000</v>
      </c>
    </row>
    <row r="44" customFormat="false" ht="15" hidden="false" customHeight="false" outlineLevel="0" collapsed="false">
      <c r="N44" s="26" t="s">
        <v>164</v>
      </c>
      <c r="O44" s="50" t="n">
        <v>78000000</v>
      </c>
    </row>
    <row r="46" customFormat="false" ht="15" hidden="false" customHeight="false" outlineLevel="0" collapsed="false">
      <c r="B46" s="3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0"/>
    <col collapsed="false" customWidth="true" hidden="false" outlineLevel="0" max="5" min="3" style="0" width="16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58"/>
  </cols>
  <sheetData>
    <row r="2" customFormat="false" ht="15" hidden="false" customHeight="false" outlineLevel="0" collapsed="false">
      <c r="B2" s="2" t="s">
        <v>166</v>
      </c>
      <c r="F2" s="51" t="s">
        <v>167</v>
      </c>
    </row>
    <row r="3" customFormat="false" ht="15" hidden="false" customHeight="false" outlineLevel="0" collapsed="false">
      <c r="B3" s="52" t="s">
        <v>168</v>
      </c>
    </row>
    <row r="4" customFormat="false" ht="30" hidden="false" customHeight="true" outlineLevel="0" collapsed="false">
      <c r="B4" s="18" t="s">
        <v>169</v>
      </c>
      <c r="C4" s="18" t="s">
        <v>170</v>
      </c>
      <c r="D4" s="18" t="s">
        <v>171</v>
      </c>
      <c r="E4" s="18" t="s">
        <v>172</v>
      </c>
      <c r="F4" s="18" t="s">
        <v>173</v>
      </c>
      <c r="H4" s="17" t="s">
        <v>174</v>
      </c>
    </row>
    <row r="5" customFormat="false" ht="15" hidden="false" customHeight="false" outlineLevel="0" collapsed="false">
      <c r="B5" s="10" t="s">
        <v>175</v>
      </c>
      <c r="C5" s="48" t="n">
        <f aca="false">SUM(C6:C8)</f>
        <v>0</v>
      </c>
      <c r="D5" s="48" t="n">
        <f aca="false">SUM(D6:D8)</f>
        <v>54094705.5866071</v>
      </c>
      <c r="E5" s="48" t="n">
        <f aca="false">SUM(E6:E8)</f>
        <v>54094705.5866071</v>
      </c>
      <c r="F5" s="23" t="n">
        <f aca="false">IFERROR(E5/$E$20,0)</f>
        <v>0.782320470011164</v>
      </c>
    </row>
    <row r="6" customFormat="false" ht="15" hidden="false" customHeight="false" outlineLevel="0" collapsed="false">
      <c r="B6" s="6" t="s">
        <v>176</v>
      </c>
      <c r="C6" s="12" t="n">
        <f aca="false">0</f>
        <v>0</v>
      </c>
      <c r="D6" s="12" t="n">
        <f aca="false">Исх_данные!$E$111+Исх_данные!$F$111+Исх_данные!$E$113+Исх_данные!$F$113+Исх_данные!$E$115+Исх_данные!$F$115+Исх_данные!$E$117+Исх_данные!$F$117+Исх_данные!$E$119+Исх_данные!$F$119+Исх_данные!$E$121+Исх_данные!$F$121+Исх_данные!$E$127+Исх_данные!$F$127</f>
        <v>35274145.3571429</v>
      </c>
      <c r="E6" s="12" t="n">
        <f aca="false">C6+D6</f>
        <v>35274145.3571429</v>
      </c>
      <c r="F6" s="13" t="n">
        <f aca="false">IFERROR(E6/$E$20,0)</f>
        <v>0.510136540642793</v>
      </c>
      <c r="H6" s="53" t="s">
        <v>177</v>
      </c>
    </row>
    <row r="7" customFormat="false" ht="15" hidden="false" customHeight="false" outlineLevel="0" collapsed="false">
      <c r="B7" s="6" t="s">
        <v>178</v>
      </c>
      <c r="C7" s="12" t="n">
        <f aca="false">0</f>
        <v>0</v>
      </c>
      <c r="D7" s="12" t="n">
        <f aca="false">Исх_данные!$E$123+Исх_данные!$F$123+Исх_данные!$E$129+Исх_данные!$F$129</f>
        <v>16465650.1394445</v>
      </c>
      <c r="E7" s="12" t="n">
        <f aca="false">C7+D7</f>
        <v>16465650.1394445</v>
      </c>
      <c r="F7" s="13" t="n">
        <f aca="false">IFERROR(E7/$E$20,0)</f>
        <v>0.238127096107513</v>
      </c>
      <c r="H7" s="53" t="s">
        <v>179</v>
      </c>
    </row>
    <row r="8" customFormat="false" ht="15" hidden="false" customHeight="false" outlineLevel="0" collapsed="false">
      <c r="B8" s="6" t="s">
        <v>180</v>
      </c>
      <c r="C8" s="12" t="n">
        <f aca="false">0</f>
        <v>0</v>
      </c>
      <c r="D8" s="12" t="n">
        <f aca="false">Исх_данные!$E$125+Исх_данные!$F$125</f>
        <v>2354910.09001976</v>
      </c>
      <c r="E8" s="12" t="n">
        <f aca="false">C8+D8</f>
        <v>2354910.09001976</v>
      </c>
      <c r="F8" s="13" t="n">
        <f aca="false">IFERROR(E8/$E$20,0)</f>
        <v>0.0340568332608581</v>
      </c>
      <c r="H8" s="53" t="s">
        <v>181</v>
      </c>
    </row>
    <row r="9" customFormat="false" ht="15" hidden="false" customHeight="false" outlineLevel="0" collapsed="false">
      <c r="B9" s="10" t="s">
        <v>182</v>
      </c>
      <c r="C9" s="48" t="n">
        <f aca="false">SUM(C10:C14)</f>
        <v>8872986.90355549</v>
      </c>
      <c r="D9" s="48" t="n">
        <f aca="false">SUM(D10:D14)</f>
        <v>3511500.37585394</v>
      </c>
      <c r="E9" s="48" t="n">
        <f aca="false">SUM(E10:E14)</f>
        <v>12384487.2794094</v>
      </c>
      <c r="F9" s="23" t="n">
        <f aca="false">IFERROR(E9/$E$20,0)</f>
        <v>0.179105104727173</v>
      </c>
    </row>
    <row r="10" customFormat="false" ht="15" hidden="false" customHeight="false" outlineLevel="0" collapsed="false">
      <c r="B10" s="6" t="s">
        <v>183</v>
      </c>
      <c r="C10" s="12" t="n">
        <f aca="false">Исх_данные!$F$104</f>
        <v>1919043.57801892</v>
      </c>
      <c r="D10" s="12" t="n">
        <v>0</v>
      </c>
      <c r="E10" s="12" t="n">
        <f aca="false">C10+D10</f>
        <v>1919043.57801892</v>
      </c>
      <c r="F10" s="13" t="n">
        <f aca="false">IFERROR(E10/$E$20,0)</f>
        <v>0.027753308898669</v>
      </c>
      <c r="H10" s="53" t="s">
        <v>184</v>
      </c>
    </row>
    <row r="11" customFormat="false" ht="15" hidden="false" customHeight="false" outlineLevel="0" collapsed="false">
      <c r="B11" s="6" t="s">
        <v>185</v>
      </c>
      <c r="C11" s="12" t="n">
        <f aca="false">Исх_данные!$F$105*(1-IFERROR(Исх_данные!$F$69/Исх_данные!$F$53,0))</f>
        <v>0</v>
      </c>
      <c r="D11" s="12" t="n">
        <f aca="false">Исх_данные!$F$105*IFERROR(Исх_данные!$F$69/Исх_данные!$F$53,0)</f>
        <v>3511500.37585394</v>
      </c>
      <c r="E11" s="12" t="n">
        <f aca="false">C11+D11</f>
        <v>3511500.37585394</v>
      </c>
      <c r="F11" s="13" t="n">
        <f aca="false">IFERROR(E11/$E$20,0)</f>
        <v>0.0507835026495194</v>
      </c>
      <c r="H11" s="53" t="s">
        <v>184</v>
      </c>
    </row>
    <row r="12" customFormat="false" ht="15" hidden="false" customHeight="false" outlineLevel="0" collapsed="false">
      <c r="B12" s="6" t="s">
        <v>186</v>
      </c>
      <c r="C12" s="12" t="n">
        <f aca="false">Исх_данные!$F$106</f>
        <v>7100743.0942289</v>
      </c>
      <c r="D12" s="12" t="n">
        <v>0</v>
      </c>
      <c r="E12" s="12" t="n">
        <f aca="false">C12+D12</f>
        <v>7100743.0942289</v>
      </c>
      <c r="F12" s="13" t="n">
        <f aca="false">IFERROR(E12/$E$20,0)</f>
        <v>0.102691319134954</v>
      </c>
      <c r="H12" s="53" t="s">
        <v>184</v>
      </c>
    </row>
    <row r="13" customFormat="false" ht="15" hidden="false" customHeight="false" outlineLevel="0" collapsed="false">
      <c r="B13" s="6" t="s">
        <v>187</v>
      </c>
      <c r="C13" s="12" t="n">
        <f aca="false">-Исх_данные!$F$107</f>
        <v>-0</v>
      </c>
      <c r="D13" s="12" t="n">
        <v>0</v>
      </c>
      <c r="E13" s="12" t="n">
        <f aca="false">C13+D13</f>
        <v>0</v>
      </c>
      <c r="F13" s="13" t="n">
        <f aca="false">IFERROR(E13/$E$20,0)</f>
        <v>0</v>
      </c>
      <c r="H13" s="53" t="s">
        <v>184</v>
      </c>
    </row>
    <row r="14" customFormat="false" ht="15" hidden="false" customHeight="false" outlineLevel="0" collapsed="false">
      <c r="B14" s="6" t="s">
        <v>188</v>
      </c>
      <c r="C14" s="12" t="n">
        <f aca="false">-Исх_данные!$F$108</f>
        <v>-146799.768692324</v>
      </c>
      <c r="D14" s="12" t="n">
        <v>0</v>
      </c>
      <c r="E14" s="12" t="n">
        <f aca="false">C14+D14</f>
        <v>-146799.768692324</v>
      </c>
      <c r="F14" s="13" t="n">
        <f aca="false">IFERROR(E14/$E$20,0)</f>
        <v>-0.00212302595596975</v>
      </c>
      <c r="H14" s="53" t="s">
        <v>184</v>
      </c>
    </row>
    <row r="15" customFormat="false" ht="15" hidden="false" customHeight="false" outlineLevel="0" collapsed="false">
      <c r="B15" s="10" t="s">
        <v>189</v>
      </c>
      <c r="C15" s="48" t="n">
        <f aca="false">SUM(C16:C17)</f>
        <v>1194254.06524685</v>
      </c>
      <c r="D15" s="48" t="n">
        <f aca="false">SUM(D16:D17)</f>
        <v>1291113.46342311</v>
      </c>
      <c r="E15" s="48" t="n">
        <f aca="false">SUM(E16:E17)</f>
        <v>2485367.52866996</v>
      </c>
      <c r="F15" s="23" t="n">
        <f aca="false">IFERROR(E15/$E$20,0)</f>
        <v>0.0359435155824372</v>
      </c>
    </row>
    <row r="16" customFormat="false" ht="15" hidden="false" customHeight="false" outlineLevel="0" collapsed="false">
      <c r="B16" s="6" t="s">
        <v>190</v>
      </c>
      <c r="C16" s="12" t="n">
        <v>0</v>
      </c>
      <c r="D16" s="12" t="n">
        <f aca="false">LOANS!$C$106</f>
        <v>1291113.46342311</v>
      </c>
      <c r="E16" s="12" t="n">
        <f aca="false">C16+D16</f>
        <v>1291113.46342311</v>
      </c>
      <c r="F16" s="13" t="n">
        <f aca="false">IFERROR(E16/$E$20,0)</f>
        <v>0.0186721506400616</v>
      </c>
      <c r="H16" s="53" t="s">
        <v>191</v>
      </c>
    </row>
    <row r="17" customFormat="false" ht="15" hidden="false" customHeight="false" outlineLevel="0" collapsed="false">
      <c r="B17" s="6" t="s">
        <v>192</v>
      </c>
      <c r="C17" s="12" t="n">
        <f aca="false">-Исх_данные!$E$66</f>
        <v>1194254.06524685</v>
      </c>
      <c r="D17" s="12" t="n">
        <v>0</v>
      </c>
      <c r="E17" s="12" t="n">
        <f aca="false">C17+D17</f>
        <v>1194254.06524685</v>
      </c>
      <c r="F17" s="13" t="n">
        <f aca="false">IFERROR(E17/$E$20,0)</f>
        <v>0.0172713649423756</v>
      </c>
      <c r="H17" s="53" t="s">
        <v>193</v>
      </c>
    </row>
    <row r="18" customFormat="false" ht="15" hidden="false" customHeight="false" outlineLevel="0" collapsed="false">
      <c r="B18" s="10" t="s">
        <v>194</v>
      </c>
      <c r="C18" s="54" t="n">
        <v>0</v>
      </c>
      <c r="D18" s="48" t="n">
        <f aca="false">ИНФОРМАЦИЯ!$C$26*ИНФОРМАЦИЯ!$C$36</f>
        <v>181918.139660399</v>
      </c>
      <c r="E18" s="48" t="n">
        <f aca="false">C18+D18</f>
        <v>181918.139660399</v>
      </c>
      <c r="F18" s="23" t="n">
        <f aca="false">IFERROR(E18/$E$20,0)</f>
        <v>0.0026309096792259</v>
      </c>
      <c r="H18" s="53" t="s">
        <v>195</v>
      </c>
    </row>
    <row r="20" customFormat="false" ht="15" hidden="false" customHeight="false" outlineLevel="0" collapsed="false">
      <c r="B20" s="14" t="s">
        <v>196</v>
      </c>
      <c r="C20" s="15" t="n">
        <f aca="false">C5+C9+C15+C18</f>
        <v>10067240.9688023</v>
      </c>
      <c r="D20" s="15" t="n">
        <f aca="false">D5+D9+D15+D18</f>
        <v>59079237.5655446</v>
      </c>
      <c r="E20" s="15" t="n">
        <f aca="false">E5+E9+E15+E18</f>
        <v>69146478.5343469</v>
      </c>
      <c r="F20" s="23" t="n">
        <f aca="false">IFERROR(E20/$E$20,0)</f>
        <v>1</v>
      </c>
    </row>
    <row r="22" customFormat="false" ht="23.85" hidden="false" customHeight="false" outlineLevel="0" collapsed="false">
      <c r="B22" s="19" t="s">
        <v>197</v>
      </c>
      <c r="E22" s="34" t="n">
        <v>61073626.5119197</v>
      </c>
      <c r="H22" s="53" t="s">
        <v>198</v>
      </c>
    </row>
    <row r="23" customFormat="false" ht="15" hidden="false" customHeight="false" outlineLevel="0" collapsed="false">
      <c r="B23" s="19" t="s">
        <v>199</v>
      </c>
      <c r="E23" s="35" t="n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5" min="3" style="0" width="16"/>
    <col collapsed="false" customWidth="true" hidden="false" outlineLevel="0" max="7" min="6" style="0" width="12"/>
  </cols>
  <sheetData>
    <row r="2" customFormat="false" ht="15" hidden="false" customHeight="false" outlineLevel="0" collapsed="false">
      <c r="B2" s="2" t="s">
        <v>200</v>
      </c>
      <c r="G2" s="51" t="s">
        <v>201</v>
      </c>
    </row>
    <row r="4" customFormat="false" ht="30" hidden="false" customHeight="true" outlineLevel="0" collapsed="false">
      <c r="B4" s="18" t="s">
        <v>42</v>
      </c>
      <c r="C4" s="18" t="s">
        <v>170</v>
      </c>
      <c r="D4" s="18" t="s">
        <v>202</v>
      </c>
      <c r="E4" s="18" t="s">
        <v>172</v>
      </c>
      <c r="F4" s="18" t="s">
        <v>173</v>
      </c>
      <c r="G4" s="18" t="s">
        <v>203</v>
      </c>
    </row>
    <row r="5" customFormat="false" ht="15" hidden="false" customHeight="false" outlineLevel="0" collapsed="false">
      <c r="B5" s="26" t="s">
        <v>204</v>
      </c>
    </row>
    <row r="6" customFormat="false" ht="15" hidden="false" customHeight="false" outlineLevel="0" collapsed="false">
      <c r="B6" s="55" t="s">
        <v>7</v>
      </c>
    </row>
    <row r="7" customFormat="false" ht="15" hidden="false" customHeight="false" outlineLevel="0" collapsed="false">
      <c r="B7" s="19" t="s">
        <v>34</v>
      </c>
      <c r="C7" s="12" t="n">
        <f aca="false">'Share of costs'!C6</f>
        <v>0</v>
      </c>
      <c r="D7" s="12" t="n">
        <f aca="false">'Share of costs'!D6</f>
        <v>35902891.6205672</v>
      </c>
      <c r="E7" s="12" t="n">
        <f aca="false">C7+D7</f>
        <v>35902891.6205672</v>
      </c>
      <c r="F7" s="13" t="n">
        <f aca="false">IFERROR(E7/$E$10,0)</f>
        <v>0.704604611270432</v>
      </c>
    </row>
    <row r="8" customFormat="false" ht="15" hidden="false" customHeight="false" outlineLevel="0" collapsed="false">
      <c r="B8" s="19" t="s">
        <v>35</v>
      </c>
      <c r="C8" s="12" t="n">
        <f aca="false">'Share of costs'!C10</f>
        <v>8872986.90355549</v>
      </c>
      <c r="D8" s="12" t="n">
        <f aca="false">'Share of costs'!D10</f>
        <v>3511500.37585394</v>
      </c>
      <c r="E8" s="12" t="n">
        <f aca="false">C8+D8</f>
        <v>12384487.2794094</v>
      </c>
      <c r="F8" s="13" t="n">
        <f aca="false">IFERROR(E8/$E$10,0)</f>
        <v>0.243049137587933</v>
      </c>
    </row>
    <row r="9" customFormat="false" ht="23.85" hidden="false" customHeight="false" outlineLevel="0" collapsed="false">
      <c r="B9" s="19" t="s">
        <v>205</v>
      </c>
      <c r="C9" s="12" t="n">
        <f aca="false">'Share of costs'!C11+'Share of costs'!C14</f>
        <v>1194254.06524685</v>
      </c>
      <c r="D9" s="12" t="n">
        <f aca="false">'Share of costs'!D11+'Share of costs'!D14</f>
        <v>1473031.60308351</v>
      </c>
      <c r="E9" s="12" t="n">
        <f aca="false">C9+D9</f>
        <v>2667285.66833036</v>
      </c>
      <c r="F9" s="13" t="n">
        <f aca="false">IFERROR(E9/$E$10,0)</f>
        <v>0.0523462511416348</v>
      </c>
    </row>
    <row r="10" customFormat="false" ht="15" hidden="false" customHeight="false" outlineLevel="0" collapsed="false">
      <c r="B10" s="10" t="s">
        <v>172</v>
      </c>
      <c r="C10" s="48" t="n">
        <f aca="false">SUM(C7:C9)</f>
        <v>10067240.9688023</v>
      </c>
      <c r="D10" s="48" t="n">
        <f aca="false">SUM(D7:D9)</f>
        <v>40887423.5995046</v>
      </c>
      <c r="E10" s="48" t="n">
        <f aca="false">SUM(E7:E9)</f>
        <v>50954664.568307</v>
      </c>
      <c r="F10" s="49" t="n">
        <f aca="false">IFERROR(E10/$E$10,0)</f>
        <v>1</v>
      </c>
      <c r="G10" s="49" t="n">
        <f aca="false">IFERROR(E10/$E$15,0)</f>
        <v>0.73690903207741</v>
      </c>
    </row>
    <row r="11" customFormat="false" ht="15" hidden="false" customHeight="false" outlineLevel="0" collapsed="false">
      <c r="B11" s="26" t="s">
        <v>206</v>
      </c>
    </row>
    <row r="12" customFormat="false" ht="15" hidden="false" customHeight="false" outlineLevel="0" collapsed="false">
      <c r="B12" s="6" t="s">
        <v>207</v>
      </c>
      <c r="C12" s="12" t="n">
        <f aca="false">C13</f>
        <v>0</v>
      </c>
      <c r="D12" s="12" t="n">
        <f aca="false">D13</f>
        <v>18191813.9660399</v>
      </c>
      <c r="E12" s="12" t="n">
        <f aca="false">C12+D12</f>
        <v>18191813.9660399</v>
      </c>
      <c r="F12" s="13" t="n">
        <f aca="false">IFERROR(E12/$E$14,0)</f>
        <v>1</v>
      </c>
    </row>
    <row r="13" customFormat="false" ht="15" hidden="false" customHeight="false" outlineLevel="0" collapsed="false">
      <c r="B13" s="6" t="s">
        <v>208</v>
      </c>
      <c r="C13" s="12" t="n">
        <f aca="false">'Share of costs'!E6</f>
        <v>0</v>
      </c>
      <c r="D13" s="12" t="n">
        <f aca="false">'Share of costs'!F6</f>
        <v>18191813.9660399</v>
      </c>
      <c r="E13" s="12" t="n">
        <f aca="false">C13+D13</f>
        <v>18191813.9660399</v>
      </c>
      <c r="F13" s="13" t="n">
        <f aca="false">IFERROR(E13/$E$14,0)</f>
        <v>1</v>
      </c>
    </row>
    <row r="14" customFormat="false" ht="15" hidden="false" customHeight="false" outlineLevel="0" collapsed="false">
      <c r="B14" s="10" t="s">
        <v>172</v>
      </c>
      <c r="C14" s="48" t="n">
        <f aca="false">C12</f>
        <v>0</v>
      </c>
      <c r="D14" s="48" t="n">
        <f aca="false">D12</f>
        <v>18191813.9660399</v>
      </c>
      <c r="E14" s="48" t="n">
        <f aca="false">E12</f>
        <v>18191813.9660399</v>
      </c>
      <c r="F14" s="49" t="n">
        <f aca="false">IFERROR(E14/$E$14,0)</f>
        <v>1</v>
      </c>
      <c r="G14" s="49" t="n">
        <f aca="false">IFERROR(E14/$E$15,0)</f>
        <v>0.26309096792259</v>
      </c>
    </row>
    <row r="15" customFormat="false" ht="15" hidden="false" customHeight="false" outlineLevel="0" collapsed="false">
      <c r="B15" s="14" t="s">
        <v>209</v>
      </c>
      <c r="C15" s="15" t="n">
        <f aca="false">C14+C10</f>
        <v>10067240.9688023</v>
      </c>
      <c r="D15" s="15" t="n">
        <f aca="false">D14+D10</f>
        <v>59079237.5655446</v>
      </c>
      <c r="E15" s="15" t="n">
        <f aca="false">E14+E10</f>
        <v>69146478.5343469</v>
      </c>
      <c r="G15" s="16" t="n">
        <f aca="false">IFERROR(E15/$E$15,0)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9" min="3" style="0" width="15"/>
  </cols>
  <sheetData>
    <row r="2" customFormat="false" ht="15" hidden="false" customHeight="false" outlineLevel="0" collapsed="false">
      <c r="B2" s="2" t="s">
        <v>210</v>
      </c>
      <c r="H2" s="51" t="s">
        <v>211</v>
      </c>
    </row>
    <row r="4" customFormat="false" ht="15" hidden="false" customHeight="false" outlineLevel="0" collapsed="false">
      <c r="B4" s="17" t="s">
        <v>169</v>
      </c>
      <c r="C4" s="56" t="s">
        <v>39</v>
      </c>
      <c r="D4" s="56"/>
      <c r="E4" s="56" t="s">
        <v>40</v>
      </c>
      <c r="F4" s="56"/>
      <c r="G4" s="56" t="s">
        <v>212</v>
      </c>
      <c r="H4" s="56"/>
    </row>
    <row r="5" customFormat="false" ht="27.75" hidden="false" customHeight="true" outlineLevel="0" collapsed="false">
      <c r="B5" s="5"/>
      <c r="C5" s="18" t="s">
        <v>213</v>
      </c>
      <c r="D5" s="18" t="s">
        <v>214</v>
      </c>
      <c r="E5" s="18" t="s">
        <v>213</v>
      </c>
      <c r="F5" s="18" t="s">
        <v>214</v>
      </c>
      <c r="G5" s="18" t="s">
        <v>213</v>
      </c>
      <c r="H5" s="18" t="s">
        <v>214</v>
      </c>
    </row>
    <row r="6" customFormat="false" ht="15" hidden="false" customHeight="false" outlineLevel="0" collapsed="false">
      <c r="B6" s="10" t="s">
        <v>175</v>
      </c>
      <c r="C6" s="48" t="n">
        <f aca="false">SUM(C7:C9)</f>
        <v>0</v>
      </c>
      <c r="D6" s="48" t="n">
        <f aca="false">SUM(D7:D9)</f>
        <v>35902891.6205672</v>
      </c>
      <c r="E6" s="48" t="n">
        <f aca="false">SUM(E7:E9)</f>
        <v>0</v>
      </c>
      <c r="F6" s="48" t="n">
        <f aca="false">SUM(F7:F9)</f>
        <v>18191813.9660399</v>
      </c>
      <c r="G6" s="48" t="n">
        <f aca="false">SUM(G7:G9)</f>
        <v>0</v>
      </c>
      <c r="H6" s="48" t="n">
        <f aca="false">SUM(H7:H9)</f>
        <v>54094705.5866071</v>
      </c>
    </row>
    <row r="7" customFormat="false" ht="15" hidden="false" customHeight="false" outlineLevel="0" collapsed="false">
      <c r="B7" s="6" t="s">
        <v>176</v>
      </c>
      <c r="C7" s="12" t="n">
        <f aca="false">ProjCost!$C$6</f>
        <v>0</v>
      </c>
      <c r="D7" s="12" t="n">
        <f aca="false">ProjCost!$D$6-F7</f>
        <v>23438186.6386111</v>
      </c>
      <c r="E7" s="12" t="n">
        <v>0</v>
      </c>
      <c r="F7" s="12" t="n">
        <f aca="false">ИНФОРМАЦИЯ!$C$26*(1-ИНФОРМАЦИЯ!$F$42/ИНФОРМАЦИЯ!$H$42)*ProjCost!$E$6/(ProjCost!$E$6)</f>
        <v>11835958.7185318</v>
      </c>
      <c r="G7" s="12" t="n">
        <f aca="false">C7+E7</f>
        <v>0</v>
      </c>
      <c r="H7" s="12" t="n">
        <f aca="false">D7+F7</f>
        <v>35274145.3571429</v>
      </c>
    </row>
    <row r="8" customFormat="false" ht="15" hidden="false" customHeight="false" outlineLevel="0" collapsed="false">
      <c r="B8" s="6" t="s">
        <v>178</v>
      </c>
      <c r="C8" s="12" t="n">
        <f aca="false">ProjCost!$C$7</f>
        <v>0</v>
      </c>
      <c r="D8" s="12" t="n">
        <f aca="false">ProjCost!$D$7-F8</f>
        <v>10905067.0554945</v>
      </c>
      <c r="E8" s="12" t="n">
        <v>0</v>
      </c>
      <c r="F8" s="12" t="n">
        <f aca="false">ИНФОРМАЦИЯ!$C$26*ИНФОРМАЦИЯ!$F$42/ИНФОРМАЦИЯ!$H$42*ProjCost!$E$7/(ProjCost!$E$7+ProjCost!$E$8)</f>
        <v>5560583.08395004</v>
      </c>
      <c r="G8" s="12" t="n">
        <f aca="false">C8+E8</f>
        <v>0</v>
      </c>
      <c r="H8" s="12" t="n">
        <f aca="false">D8+F8</f>
        <v>16465650.1394445</v>
      </c>
    </row>
    <row r="9" customFormat="false" ht="15" hidden="false" customHeight="false" outlineLevel="0" collapsed="false">
      <c r="B9" s="6" t="s">
        <v>180</v>
      </c>
      <c r="C9" s="12" t="n">
        <f aca="false">ProjCost!$C$8</f>
        <v>0</v>
      </c>
      <c r="D9" s="12" t="n">
        <f aca="false">ProjCost!$D$8-F9</f>
        <v>1559637.92646163</v>
      </c>
      <c r="E9" s="12" t="n">
        <v>0</v>
      </c>
      <c r="F9" s="12" t="n">
        <f aca="false">ИНФОРМАЦИЯ!$C$26*ИНФОРМАЦИЯ!$F$42/ИНФОРМАЦИЯ!$H$42*ProjCost!$E$8/(ProjCost!$E$7+ProjCost!$E$8)</f>
        <v>795272.163558121</v>
      </c>
      <c r="G9" s="12" t="n">
        <f aca="false">C9+E9</f>
        <v>0</v>
      </c>
      <c r="H9" s="12" t="n">
        <f aca="false">D9+F9</f>
        <v>2354910.09001976</v>
      </c>
    </row>
    <row r="10" customFormat="false" ht="15" hidden="false" customHeight="false" outlineLevel="0" collapsed="false">
      <c r="B10" s="10" t="s">
        <v>215</v>
      </c>
      <c r="C10" s="48" t="n">
        <f aca="false">ProjCost!$C$9</f>
        <v>8872986.90355549</v>
      </c>
      <c r="D10" s="48" t="n">
        <f aca="false">ProjCost!$D$9</f>
        <v>3511500.37585394</v>
      </c>
      <c r="E10" s="54" t="n">
        <v>0</v>
      </c>
      <c r="F10" s="54" t="n">
        <v>0</v>
      </c>
      <c r="G10" s="48" t="n">
        <f aca="false">C10+E10</f>
        <v>8872986.90355549</v>
      </c>
      <c r="H10" s="48" t="n">
        <f aca="false">D10+F10</f>
        <v>3511500.37585394</v>
      </c>
    </row>
    <row r="11" customFormat="false" ht="15" hidden="false" customHeight="false" outlineLevel="0" collapsed="false">
      <c r="B11" s="10" t="s">
        <v>216</v>
      </c>
      <c r="C11" s="48" t="n">
        <f aca="false">ProjCost!$C$15</f>
        <v>1194254.06524685</v>
      </c>
      <c r="D11" s="48" t="n">
        <f aca="false">ProjCost!$D$15</f>
        <v>1291113.46342311</v>
      </c>
      <c r="E11" s="54" t="n">
        <v>0</v>
      </c>
      <c r="F11" s="54" t="n">
        <v>0</v>
      </c>
      <c r="G11" s="48" t="n">
        <f aca="false">C11+E11</f>
        <v>1194254.06524685</v>
      </c>
      <c r="H11" s="48" t="n">
        <f aca="false">D11+F11</f>
        <v>1291113.46342311</v>
      </c>
    </row>
    <row r="12" customFormat="false" ht="15" hidden="false" customHeight="false" outlineLevel="0" collapsed="false">
      <c r="B12" s="6" t="s">
        <v>217</v>
      </c>
      <c r="C12" s="12" t="n">
        <f aca="false">ProjCost!$C$16</f>
        <v>0</v>
      </c>
      <c r="D12" s="12" t="n">
        <f aca="false">ProjCost!$D$16</f>
        <v>1291113.46342311</v>
      </c>
      <c r="E12" s="12" t="n">
        <v>0</v>
      </c>
      <c r="F12" s="12" t="n">
        <v>0</v>
      </c>
      <c r="G12" s="12" t="n">
        <f aca="false">C12+E12</f>
        <v>0</v>
      </c>
      <c r="H12" s="12" t="n">
        <f aca="false">D12+F12</f>
        <v>1291113.46342311</v>
      </c>
    </row>
    <row r="13" customFormat="false" ht="15" hidden="false" customHeight="false" outlineLevel="0" collapsed="false">
      <c r="B13" s="6" t="s">
        <v>218</v>
      </c>
      <c r="C13" s="12" t="n">
        <f aca="false">ProjCost!$C$17</f>
        <v>1194254.06524685</v>
      </c>
      <c r="D13" s="12" t="n">
        <f aca="false">ProjCost!$D$17</f>
        <v>0</v>
      </c>
      <c r="E13" s="12" t="n">
        <v>0</v>
      </c>
      <c r="F13" s="12" t="n">
        <v>0</v>
      </c>
      <c r="G13" s="12" t="n">
        <f aca="false">C13+E13</f>
        <v>1194254.06524685</v>
      </c>
      <c r="H13" s="12" t="n">
        <f aca="false">D13+F13</f>
        <v>0</v>
      </c>
    </row>
    <row r="14" customFormat="false" ht="15" hidden="false" customHeight="false" outlineLevel="0" collapsed="false">
      <c r="B14" s="10" t="s">
        <v>219</v>
      </c>
      <c r="C14" s="48" t="n">
        <f aca="false">ProjCost!$C$18</f>
        <v>0</v>
      </c>
      <c r="D14" s="48" t="n">
        <f aca="false">ProjCost!$D$18</f>
        <v>181918.139660399</v>
      </c>
      <c r="E14" s="54" t="n">
        <v>0</v>
      </c>
      <c r="F14" s="54" t="n">
        <v>0</v>
      </c>
      <c r="G14" s="48" t="n">
        <f aca="false">C14+E14</f>
        <v>0</v>
      </c>
      <c r="H14" s="48" t="n">
        <f aca="false">D14+F14</f>
        <v>181918.139660399</v>
      </c>
    </row>
    <row r="16" customFormat="false" ht="15" hidden="false" customHeight="false" outlineLevel="0" collapsed="false">
      <c r="B16" s="14" t="s">
        <v>196</v>
      </c>
      <c r="C16" s="15" t="n">
        <f aca="false">C6+C10+C11+C14</f>
        <v>10067240.9688023</v>
      </c>
      <c r="D16" s="15" t="n">
        <f aca="false">D6+D10+D11+D14</f>
        <v>40887423.5995046</v>
      </c>
      <c r="E16" s="15" t="n">
        <f aca="false">E6+E10+E11+E14</f>
        <v>0</v>
      </c>
      <c r="F16" s="15" t="n">
        <f aca="false">F6+F10+F11+F14</f>
        <v>18191813.9660399</v>
      </c>
      <c r="G16" s="15" t="n">
        <f aca="false">G6+G10+G11+G14</f>
        <v>10067240.9688023</v>
      </c>
      <c r="H16" s="15" t="n">
        <f aca="false">H6+H10+H11+H14</f>
        <v>59079237.5655446</v>
      </c>
    </row>
    <row r="17" customFormat="false" ht="15" hidden="false" customHeight="false" outlineLevel="0" collapsed="false">
      <c r="B17" s="26" t="s">
        <v>220</v>
      </c>
      <c r="C17" s="22" t="n">
        <f aca="false">C16+D16</f>
        <v>50954664.568307</v>
      </c>
      <c r="E17" s="22" t="n">
        <f aca="false">E16+F16</f>
        <v>18191813.9660399</v>
      </c>
      <c r="G17" s="22" t="n">
        <f aca="false">G16+H16</f>
        <v>69146478.5343469</v>
      </c>
    </row>
    <row r="19" customFormat="false" ht="42" hidden="false" customHeight="true" outlineLevel="0" collapsed="false">
      <c r="B19" s="57" t="s">
        <v>221</v>
      </c>
      <c r="C19" s="57"/>
      <c r="D19" s="57"/>
      <c r="E19" s="57"/>
      <c r="F19" s="57"/>
      <c r="G19" s="57"/>
      <c r="H19" s="57"/>
    </row>
  </sheetData>
  <mergeCells count="4">
    <mergeCell ref="C4:D4"/>
    <mergeCell ref="E4:F4"/>
    <mergeCell ref="G4:H4"/>
    <mergeCell ref="B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6" min="5" style="0" width="9"/>
    <col collapsed="false" customWidth="true" hidden="false" outlineLevel="0" max="14" min="7" style="0" width="14"/>
  </cols>
  <sheetData>
    <row r="2" customFormat="false" ht="15" hidden="false" customHeight="false" outlineLevel="0" collapsed="false">
      <c r="B2" s="2" t="s">
        <v>222</v>
      </c>
      <c r="N2" s="51" t="s">
        <v>223</v>
      </c>
    </row>
    <row r="3" customFormat="false" ht="15" hidden="false" customHeight="false" outlineLevel="0" collapsed="false">
      <c r="B3" s="52" t="s">
        <v>224</v>
      </c>
    </row>
    <row r="5" customFormat="false" ht="30" hidden="false" customHeight="true" outlineLevel="0" collapsed="false">
      <c r="B5" s="18" t="s">
        <v>225</v>
      </c>
      <c r="C5" s="18" t="s">
        <v>226</v>
      </c>
      <c r="D5" s="18" t="s">
        <v>227</v>
      </c>
      <c r="E5" s="18" t="s">
        <v>228</v>
      </c>
      <c r="F5" s="18" t="s">
        <v>229</v>
      </c>
      <c r="G5" s="17" t="s">
        <v>230</v>
      </c>
      <c r="H5" s="17" t="s">
        <v>45</v>
      </c>
      <c r="I5" s="17" t="s">
        <v>46</v>
      </c>
      <c r="J5" s="17" t="s">
        <v>47</v>
      </c>
      <c r="K5" s="17" t="s">
        <v>48</v>
      </c>
      <c r="L5" s="17" t="s">
        <v>49</v>
      </c>
      <c r="M5" s="17" t="s">
        <v>50</v>
      </c>
      <c r="N5" s="17" t="s">
        <v>51</v>
      </c>
    </row>
    <row r="6" customFormat="false" ht="15" hidden="false" customHeight="false" outlineLevel="0" collapsed="false">
      <c r="B6" s="5"/>
      <c r="C6" s="5"/>
      <c r="D6" s="5"/>
      <c r="E6" s="5"/>
      <c r="F6" s="5"/>
      <c r="G6" s="17" t="s">
        <v>52</v>
      </c>
      <c r="H6" s="17" t="s">
        <v>53</v>
      </c>
      <c r="I6" s="17" t="s">
        <v>54</v>
      </c>
      <c r="J6" s="17" t="s">
        <v>55</v>
      </c>
      <c r="K6" s="17" t="s">
        <v>56</v>
      </c>
      <c r="L6" s="17" t="s">
        <v>57</v>
      </c>
      <c r="M6" s="17" t="s">
        <v>58</v>
      </c>
      <c r="N6" s="4" t="s">
        <v>59</v>
      </c>
    </row>
    <row r="7" customFormat="false" ht="23.85" hidden="false" customHeight="false" outlineLevel="0" collapsed="false">
      <c r="B7" s="19" t="s">
        <v>231</v>
      </c>
      <c r="C7" s="19" t="s">
        <v>176</v>
      </c>
      <c r="D7" s="12" t="n">
        <f aca="false">Исх_данные!$E$111+Исх_данные!$F$111+Исх_данные!$G$111+Исх_данные!$H$111+Исх_данные!$I$111+Исх_данные!$J$111+Исх_данные!$K$111+Исх_данные!$L$111</f>
        <v>477455.357142857</v>
      </c>
      <c r="E7" s="31" t="n">
        <v>50</v>
      </c>
      <c r="F7" s="13" t="n">
        <f aca="false">1/E7</f>
        <v>0.02</v>
      </c>
      <c r="G7" s="12" t="n">
        <f aca="false">Исх_данные!$F$112</f>
        <v>2387.27678571429</v>
      </c>
      <c r="H7" s="12" t="n">
        <f aca="false">Исх_данные!$G$112</f>
        <v>9549.10714285714</v>
      </c>
      <c r="I7" s="12" t="n">
        <f aca="false">Исх_данные!$H$112</f>
        <v>9549.10714285714</v>
      </c>
      <c r="J7" s="12" t="n">
        <f aca="false">Исх_данные!$I$112</f>
        <v>9549.10714285714</v>
      </c>
      <c r="K7" s="12" t="n">
        <f aca="false">Исх_данные!$J$112</f>
        <v>9549.10714285714</v>
      </c>
      <c r="L7" s="12" t="n">
        <f aca="false">Исх_данные!$K$112</f>
        <v>9549.10714285714</v>
      </c>
      <c r="M7" s="12" t="n">
        <f aca="false">Исх_данные!$L$112</f>
        <v>9549.10714285714</v>
      </c>
      <c r="N7" s="12" t="n">
        <f aca="false">SUM(G7:M7)</f>
        <v>59681.9196428571</v>
      </c>
    </row>
    <row r="8" customFormat="false" ht="23.85" hidden="false" customHeight="false" outlineLevel="0" collapsed="false">
      <c r="B8" s="19" t="s">
        <v>232</v>
      </c>
      <c r="C8" s="19" t="s">
        <v>176</v>
      </c>
      <c r="D8" s="12" t="n">
        <f aca="false">Исх_данные!$E$113+Исх_данные!$F$113+Исх_данные!$G$113+Исх_данные!$H$113+Исх_данные!$I$113+Исх_данные!$J$113+Исх_данные!$K$113+Исх_данные!$L$113</f>
        <v>7979203.0984559</v>
      </c>
      <c r="E8" s="31" t="n">
        <v>50</v>
      </c>
      <c r="F8" s="13" t="n">
        <f aca="false">1/E8</f>
        <v>0.02</v>
      </c>
      <c r="G8" s="12" t="n">
        <f aca="false">Исх_данные!$F$114</f>
        <v>39896.0154922795</v>
      </c>
      <c r="H8" s="12" t="n">
        <f aca="false">Исх_данные!$G$114</f>
        <v>159584.061969118</v>
      </c>
      <c r="I8" s="12" t="n">
        <f aca="false">Исх_данные!$H$114</f>
        <v>159584.061969118</v>
      </c>
      <c r="J8" s="12" t="n">
        <f aca="false">Исх_данные!$I$114</f>
        <v>159584.061969118</v>
      </c>
      <c r="K8" s="12" t="n">
        <f aca="false">Исх_данные!$J$114</f>
        <v>159584.061969118</v>
      </c>
      <c r="L8" s="12" t="n">
        <f aca="false">Исх_данные!$K$114</f>
        <v>159584.061969118</v>
      </c>
      <c r="M8" s="12" t="n">
        <f aca="false">Исх_данные!$L$114</f>
        <v>159584.061969118</v>
      </c>
      <c r="N8" s="12" t="n">
        <f aca="false">SUM(G8:M8)</f>
        <v>997400.387306987</v>
      </c>
    </row>
    <row r="9" customFormat="false" ht="23.85" hidden="false" customHeight="false" outlineLevel="0" collapsed="false">
      <c r="B9" s="19" t="s">
        <v>233</v>
      </c>
      <c r="C9" s="19" t="s">
        <v>176</v>
      </c>
      <c r="D9" s="12" t="n">
        <f aca="false">Исх_данные!$E$115+Исх_данные!$F$115+Исх_данные!$G$115+Исх_данные!$H$115+Исх_данные!$I$115+Исх_данные!$J$115+Исх_данные!$K$115+Исх_данные!$L$115</f>
        <v>8453466.9015441</v>
      </c>
      <c r="E9" s="31" t="n">
        <v>50</v>
      </c>
      <c r="F9" s="13" t="n">
        <f aca="false">1/E9</f>
        <v>0.02</v>
      </c>
      <c r="G9" s="12" t="n">
        <f aca="false">Исх_данные!$F$116</f>
        <v>42267.3345077205</v>
      </c>
      <c r="H9" s="12" t="n">
        <f aca="false">Исх_данные!$G$116</f>
        <v>169069.338030882</v>
      </c>
      <c r="I9" s="12" t="n">
        <f aca="false">Исх_данные!$H$116</f>
        <v>169069.338030882</v>
      </c>
      <c r="J9" s="12" t="n">
        <f aca="false">Исх_данные!$I$116</f>
        <v>169069.338030882</v>
      </c>
      <c r="K9" s="12" t="n">
        <f aca="false">Исх_данные!$J$116</f>
        <v>169069.338030882</v>
      </c>
      <c r="L9" s="12" t="n">
        <f aca="false">Исх_данные!$K$116</f>
        <v>169069.338030882</v>
      </c>
      <c r="M9" s="12" t="n">
        <f aca="false">Исх_данные!$L$116</f>
        <v>169069.338030882</v>
      </c>
      <c r="N9" s="12" t="n">
        <f aca="false">SUM(G9:M9)</f>
        <v>1056683.36269301</v>
      </c>
    </row>
    <row r="10" customFormat="false" ht="23.85" hidden="false" customHeight="false" outlineLevel="0" collapsed="false">
      <c r="B10" s="19" t="s">
        <v>234</v>
      </c>
      <c r="C10" s="19" t="s">
        <v>176</v>
      </c>
      <c r="D10" s="12" t="n">
        <f aca="false">Исх_данные!$E$117+Исх_данные!$F$117+Исх_данные!$G$117+Исх_данные!$H$117+Исх_данные!$I$117+Исх_данные!$J$117+Исх_данные!$K$117+Исх_данные!$L$117</f>
        <v>8236950</v>
      </c>
      <c r="E10" s="31" t="n">
        <v>50</v>
      </c>
      <c r="F10" s="13" t="n">
        <f aca="false">1/E10</f>
        <v>0.02</v>
      </c>
      <c r="G10" s="12" t="n">
        <f aca="false">Исх_данные!$F$118</f>
        <v>41184.75</v>
      </c>
      <c r="H10" s="12" t="n">
        <f aca="false">Исх_данные!$G$118</f>
        <v>164739</v>
      </c>
      <c r="I10" s="12" t="n">
        <f aca="false">Исх_данные!$H$118</f>
        <v>164739</v>
      </c>
      <c r="J10" s="12" t="n">
        <f aca="false">Исх_данные!$I$118</f>
        <v>164739</v>
      </c>
      <c r="K10" s="12" t="n">
        <f aca="false">Исх_данные!$J$118</f>
        <v>164739</v>
      </c>
      <c r="L10" s="12" t="n">
        <f aca="false">Исх_данные!$K$118</f>
        <v>164739</v>
      </c>
      <c r="M10" s="12" t="n">
        <f aca="false">Исх_данные!$L$118</f>
        <v>164739</v>
      </c>
      <c r="N10" s="12" t="n">
        <f aca="false">SUM(G10:M10)</f>
        <v>1029618.75</v>
      </c>
    </row>
    <row r="11" customFormat="false" ht="23.85" hidden="false" customHeight="false" outlineLevel="0" collapsed="false">
      <c r="B11" s="19" t="s">
        <v>235</v>
      </c>
      <c r="C11" s="19" t="s">
        <v>176</v>
      </c>
      <c r="D11" s="12" t="n">
        <f aca="false">Исх_данные!$E$119+Исх_данные!$F$119+Исх_данные!$G$119+Исх_данные!$H$119+Исх_данные!$I$119+Исх_данные!$J$119+Исх_данные!$K$119+Исх_данные!$L$119</f>
        <v>3710280</v>
      </c>
      <c r="E11" s="31" t="n">
        <v>50</v>
      </c>
      <c r="F11" s="13" t="n">
        <f aca="false">1/E11</f>
        <v>0.02</v>
      </c>
      <c r="G11" s="12" t="n">
        <f aca="false">Исх_данные!$F$120</f>
        <v>18551.4</v>
      </c>
      <c r="H11" s="12" t="n">
        <f aca="false">Исх_данные!$G$120</f>
        <v>74205.6</v>
      </c>
      <c r="I11" s="12" t="n">
        <f aca="false">Исх_данные!$H$120</f>
        <v>74205.6</v>
      </c>
      <c r="J11" s="12" t="n">
        <f aca="false">Исх_данные!$I$120</f>
        <v>74205.6</v>
      </c>
      <c r="K11" s="12" t="n">
        <f aca="false">Исх_данные!$J$120</f>
        <v>74205.6</v>
      </c>
      <c r="L11" s="12" t="n">
        <f aca="false">Исх_данные!$K$120</f>
        <v>74205.6</v>
      </c>
      <c r="M11" s="12" t="n">
        <f aca="false">Исх_данные!$L$120</f>
        <v>74205.6</v>
      </c>
      <c r="N11" s="12" t="n">
        <f aca="false">SUM(G11:M11)</f>
        <v>463785</v>
      </c>
    </row>
    <row r="12" customFormat="false" ht="23.85" hidden="false" customHeight="false" outlineLevel="0" collapsed="false">
      <c r="B12" s="19" t="s">
        <v>236</v>
      </c>
      <c r="C12" s="19" t="s">
        <v>176</v>
      </c>
      <c r="D12" s="12" t="n">
        <f aca="false">Исх_данные!$E$121+Исх_данные!$F$121+Исх_данные!$G$121+Исх_данные!$H$121+Исх_данные!$I$121+Исх_данные!$J$121+Исх_данные!$K$121+Исх_данные!$L$121</f>
        <v>1473000</v>
      </c>
      <c r="E12" s="31" t="n">
        <v>50</v>
      </c>
      <c r="F12" s="13" t="n">
        <f aca="false">1/E12</f>
        <v>0.02</v>
      </c>
      <c r="G12" s="12" t="n">
        <f aca="false">Исх_данные!$F$122</f>
        <v>7365</v>
      </c>
      <c r="H12" s="12" t="n">
        <f aca="false">Исх_данные!$G$122</f>
        <v>29460</v>
      </c>
      <c r="I12" s="12" t="n">
        <f aca="false">Исх_данные!$H$122</f>
        <v>29460</v>
      </c>
      <c r="J12" s="12" t="n">
        <f aca="false">Исх_данные!$I$122</f>
        <v>29460</v>
      </c>
      <c r="K12" s="12" t="n">
        <f aca="false">Исх_данные!$J$122</f>
        <v>29460</v>
      </c>
      <c r="L12" s="12" t="n">
        <f aca="false">Исх_данные!$K$122</f>
        <v>29460</v>
      </c>
      <c r="M12" s="12" t="n">
        <f aca="false">Исх_данные!$L$122</f>
        <v>29460</v>
      </c>
      <c r="N12" s="12" t="n">
        <f aca="false">SUM(G12:M12)</f>
        <v>184125</v>
      </c>
    </row>
    <row r="13" customFormat="false" ht="15" hidden="false" customHeight="false" outlineLevel="0" collapsed="false">
      <c r="B13" s="19" t="s">
        <v>237</v>
      </c>
      <c r="C13" s="19" t="s">
        <v>178</v>
      </c>
      <c r="D13" s="12" t="n">
        <f aca="false">Исх_данные!$E$123+Исх_данные!$F$123+Исх_данные!$G$123+Исх_данные!$H$123+Исх_данные!$I$123+Исх_данные!$J$123+Исх_данные!$K$123+Исх_данные!$L$123</f>
        <v>16330750.624266</v>
      </c>
      <c r="E13" s="31" t="n">
        <v>10</v>
      </c>
      <c r="F13" s="13" t="n">
        <f aca="false">1/E13</f>
        <v>0.1</v>
      </c>
      <c r="G13" s="12" t="n">
        <f aca="false">Исх_данные!$F$124</f>
        <v>408268.765606649</v>
      </c>
      <c r="H13" s="12" t="n">
        <f aca="false">Исх_данные!$G$124</f>
        <v>1633075.0624266</v>
      </c>
      <c r="I13" s="12" t="n">
        <f aca="false">Исх_данные!$H$124</f>
        <v>1633075.0624266</v>
      </c>
      <c r="J13" s="12" t="n">
        <f aca="false">Исх_данные!$I$124</f>
        <v>1633075.0624266</v>
      </c>
      <c r="K13" s="12" t="n">
        <f aca="false">Исх_данные!$J$124</f>
        <v>1633075.0624266</v>
      </c>
      <c r="L13" s="12" t="n">
        <f aca="false">Исх_данные!$K$124</f>
        <v>1633075.0624266</v>
      </c>
      <c r="M13" s="12" t="n">
        <f aca="false">Исх_данные!$L$124</f>
        <v>1633075.0624266</v>
      </c>
      <c r="N13" s="12" t="n">
        <f aca="false">SUM(G13:M13)</f>
        <v>10206719.1401662</v>
      </c>
    </row>
    <row r="14" customFormat="false" ht="23.85" hidden="false" customHeight="false" outlineLevel="0" collapsed="false">
      <c r="B14" s="19" t="s">
        <v>238</v>
      </c>
      <c r="C14" s="19" t="s">
        <v>180</v>
      </c>
      <c r="D14" s="12" t="n">
        <f aca="false">Исх_данные!$E$125+Исх_данные!$F$125+Исх_данные!$G$125+Исх_данные!$H$125+Исх_данные!$I$125+Исх_данные!$J$125+Исх_данные!$K$125+Исх_данные!$L$125</f>
        <v>2354910.09001976</v>
      </c>
      <c r="E14" s="31" t="n">
        <v>10</v>
      </c>
      <c r="F14" s="13" t="n">
        <f aca="false">1/E14</f>
        <v>0.1</v>
      </c>
      <c r="G14" s="12" t="n">
        <f aca="false">Исх_данные!$F$126</f>
        <v>58872.7522504939</v>
      </c>
      <c r="H14" s="12" t="n">
        <f aca="false">Исх_данные!$G$126</f>
        <v>235491.009001976</v>
      </c>
      <c r="I14" s="12" t="n">
        <f aca="false">Исх_данные!$H$126</f>
        <v>235491.009001976</v>
      </c>
      <c r="J14" s="12" t="n">
        <f aca="false">Исх_данные!$I$126</f>
        <v>235491.009001976</v>
      </c>
      <c r="K14" s="12" t="n">
        <f aca="false">Исх_данные!$J$126</f>
        <v>235491.009001976</v>
      </c>
      <c r="L14" s="12" t="n">
        <f aca="false">Исх_данные!$K$126</f>
        <v>235491.009001976</v>
      </c>
      <c r="M14" s="12" t="n">
        <f aca="false">Исх_данные!$L$126</f>
        <v>235491.009001976</v>
      </c>
      <c r="N14" s="12" t="n">
        <f aca="false">SUM(G14:M14)</f>
        <v>1471818.80626235</v>
      </c>
    </row>
    <row r="15" customFormat="false" ht="23.85" hidden="false" customHeight="false" outlineLevel="0" collapsed="false">
      <c r="B15" s="19" t="s">
        <v>239</v>
      </c>
      <c r="C15" s="19" t="s">
        <v>176</v>
      </c>
      <c r="D15" s="12" t="n">
        <f aca="false">Исх_данные!$E$127+Исх_данные!$F$127+Исх_данные!$G$127+Исх_данные!$H$127+Исх_данные!$I$127+Исх_данные!$J$127+Исх_данные!$K$127+Исх_данные!$L$127</f>
        <v>4943790</v>
      </c>
      <c r="E15" s="31" t="n">
        <v>50</v>
      </c>
      <c r="F15" s="13" t="n">
        <f aca="false">1/E15</f>
        <v>0.02</v>
      </c>
      <c r="G15" s="12" t="n">
        <f aca="false">Исх_данные!$F$128</f>
        <v>24718.95</v>
      </c>
      <c r="H15" s="12" t="n">
        <f aca="false">Исх_данные!$G$128</f>
        <v>98875.8</v>
      </c>
      <c r="I15" s="12" t="n">
        <f aca="false">Исх_данные!$H$128</f>
        <v>98875.8</v>
      </c>
      <c r="J15" s="12" t="n">
        <f aca="false">Исх_данные!$I$128</f>
        <v>98875.8</v>
      </c>
      <c r="K15" s="12" t="n">
        <f aca="false">Исх_данные!$J$128</f>
        <v>98875.8</v>
      </c>
      <c r="L15" s="12" t="n">
        <f aca="false">Исх_данные!$K$128</f>
        <v>98875.8</v>
      </c>
      <c r="M15" s="12" t="n">
        <f aca="false">Исх_данные!$L$128</f>
        <v>98875.8</v>
      </c>
      <c r="N15" s="12" t="n">
        <f aca="false">SUM(G15:M15)</f>
        <v>617973.75</v>
      </c>
    </row>
    <row r="16" customFormat="false" ht="23.85" hidden="false" customHeight="false" outlineLevel="0" collapsed="false">
      <c r="B16" s="19" t="s">
        <v>240</v>
      </c>
      <c r="C16" s="19" t="s">
        <v>178</v>
      </c>
      <c r="D16" s="12" t="n">
        <f aca="false">Исх_данные!$E$129+Исх_данные!$F$129+Исх_данные!$G$129+Исх_данные!$H$129+Исх_данные!$I$129+Исх_данные!$J$129+Исх_данные!$K$129+Исх_данные!$L$129</f>
        <v>3372487.87946429</v>
      </c>
      <c r="E16" s="31" t="n">
        <v>10</v>
      </c>
      <c r="F16" s="13" t="n">
        <f aca="false">1/E16</f>
        <v>0.1</v>
      </c>
      <c r="G16" s="12" t="n">
        <f aca="false">Исх_данные!$F$130</f>
        <v>2248.32525297619</v>
      </c>
      <c r="H16" s="12" t="n">
        <f aca="false">Исх_данные!$G$130</f>
        <v>67449.7575892857</v>
      </c>
      <c r="I16" s="12" t="n">
        <f aca="false">Исх_данные!$H$130</f>
        <v>121409.563660714</v>
      </c>
      <c r="J16" s="12" t="n">
        <f aca="false">Исх_данные!$I$130</f>
        <v>175369.369732143</v>
      </c>
      <c r="K16" s="12" t="n">
        <f aca="false">Исх_данные!$J$130</f>
        <v>229329.175803571</v>
      </c>
      <c r="L16" s="12" t="n">
        <f aca="false">Исх_данные!$K$130</f>
        <v>283288.981875</v>
      </c>
      <c r="M16" s="12" t="n">
        <f aca="false">Исх_данные!$L$130</f>
        <v>337248.787946429</v>
      </c>
      <c r="N16" s="12" t="n">
        <f aca="false">SUM(G16:M16)</f>
        <v>1216343.96186012</v>
      </c>
    </row>
    <row r="17" customFormat="false" ht="23.85" hidden="false" customHeight="false" outlineLevel="0" collapsed="false">
      <c r="B17" s="19" t="s">
        <v>241</v>
      </c>
      <c r="C17" s="6" t="s">
        <v>242</v>
      </c>
      <c r="D17" s="12" t="n">
        <f aca="false">LOANS!$C$106</f>
        <v>1291113.46342311</v>
      </c>
      <c r="E17" s="58" t="n">
        <f aca="false">Исх_данные!$E$7</f>
        <v>15</v>
      </c>
      <c r="F17" s="13" t="n">
        <f aca="false">1/E17</f>
        <v>0.0666666666666667</v>
      </c>
      <c r="G17" s="12" t="n">
        <f aca="false">D17/E17*Исх_данные!$E$8/12</f>
        <v>21518.5577237185</v>
      </c>
      <c r="H17" s="12" t="n">
        <f aca="false">D17/E17</f>
        <v>86074.2308948742</v>
      </c>
      <c r="I17" s="12" t="n">
        <f aca="false">D17/E17</f>
        <v>86074.2308948742</v>
      </c>
      <c r="J17" s="12" t="n">
        <f aca="false">D17/E17</f>
        <v>86074.2308948742</v>
      </c>
      <c r="K17" s="12" t="n">
        <f aca="false">D17/E17</f>
        <v>86074.2308948742</v>
      </c>
      <c r="L17" s="12" t="n">
        <f aca="false">D17/E17</f>
        <v>86074.2308948742</v>
      </c>
      <c r="M17" s="12" t="n">
        <f aca="false">D17/E17</f>
        <v>86074.2308948742</v>
      </c>
      <c r="N17" s="12" t="n">
        <f aca="false">SUM(G17:M17)</f>
        <v>537963.943092964</v>
      </c>
    </row>
    <row r="18" customFormat="false" ht="15" hidden="false" customHeight="false" outlineLevel="0" collapsed="false">
      <c r="B18" s="10" t="s">
        <v>172</v>
      </c>
      <c r="C18" s="59" t="s">
        <v>243</v>
      </c>
      <c r="D18" s="48" t="n">
        <f aca="false">SUM(D7:D17)</f>
        <v>58623407.414316</v>
      </c>
      <c r="E18" s="60"/>
      <c r="F18" s="60"/>
      <c r="G18" s="48" t="n">
        <f aca="false">SUM(G7:G17)</f>
        <v>667279.127619552</v>
      </c>
      <c r="H18" s="48" t="n">
        <f aca="false">SUM(H7:H17)</f>
        <v>2727572.96705559</v>
      </c>
      <c r="I18" s="48" t="n">
        <f aca="false">SUM(I7:I17)</f>
        <v>2781532.77312702</v>
      </c>
      <c r="J18" s="48" t="n">
        <f aca="false">SUM(J7:J17)</f>
        <v>2835492.57919845</v>
      </c>
      <c r="K18" s="48" t="n">
        <f aca="false">SUM(K7:K17)</f>
        <v>2889452.38526987</v>
      </c>
      <c r="L18" s="48" t="n">
        <f aca="false">SUM(L7:L17)</f>
        <v>2943412.1913413</v>
      </c>
      <c r="M18" s="48" t="n">
        <f aca="false">SUM(M7:M17)</f>
        <v>2997371.99741273</v>
      </c>
      <c r="N18" s="48" t="n">
        <f aca="false">SUM(N7:N17)</f>
        <v>17842114.0210245</v>
      </c>
    </row>
    <row r="19" customFormat="false" ht="15" hidden="false" customHeight="false" outlineLevel="0" collapsed="false">
      <c r="B19" s="6" t="s">
        <v>244</v>
      </c>
      <c r="G19" s="12" t="n">
        <f aca="false">G18-G20</f>
        <v>566139.040861337</v>
      </c>
      <c r="H19" s="12" t="n">
        <f aca="false">H18-H20</f>
        <v>2323012.62002273</v>
      </c>
      <c r="I19" s="12" t="n">
        <f aca="false">I18-I20</f>
        <v>2376972.42609416</v>
      </c>
      <c r="J19" s="12" t="n">
        <f aca="false">J18-J20</f>
        <v>2430932.23216559</v>
      </c>
      <c r="K19" s="12" t="n">
        <f aca="false">K18-K20</f>
        <v>2484892.03823702</v>
      </c>
      <c r="L19" s="12" t="n">
        <f aca="false">L18-L20</f>
        <v>2538851.84430845</v>
      </c>
      <c r="M19" s="12" t="n">
        <f aca="false">M18-M20</f>
        <v>2592811.65037987</v>
      </c>
      <c r="N19" s="12" t="n">
        <f aca="false">SUM(G19:M19)</f>
        <v>15313611.8520692</v>
      </c>
    </row>
    <row r="20" customFormat="false" ht="15" hidden="false" customHeight="false" outlineLevel="0" collapsed="false">
      <c r="B20" s="6" t="s">
        <v>245</v>
      </c>
      <c r="G20" s="12" t="n">
        <f aca="false">Исх_данные!$F$88</f>
        <v>101140.086758214</v>
      </c>
      <c r="H20" s="12" t="n">
        <f aca="false">Исх_данные!$G$88</f>
        <v>404560.347032858</v>
      </c>
      <c r="I20" s="12" t="n">
        <f aca="false">Исх_данные!$H$88</f>
        <v>404560.347032858</v>
      </c>
      <c r="J20" s="12" t="n">
        <f aca="false">Исх_данные!$I$88</f>
        <v>404560.347032858</v>
      </c>
      <c r="K20" s="12" t="n">
        <f aca="false">Исх_данные!$J$88</f>
        <v>404560.347032858</v>
      </c>
      <c r="L20" s="12" t="n">
        <f aca="false">Исх_данные!$K$88</f>
        <v>404560.347032858</v>
      </c>
      <c r="M20" s="12" t="n">
        <f aca="false">Исх_данные!$L$88</f>
        <v>404560.347032858</v>
      </c>
      <c r="N20" s="12" t="n">
        <f aca="false">SUM(G20:M20)</f>
        <v>2528502.16895536</v>
      </c>
    </row>
    <row r="22" customFormat="false" ht="15" hidden="false" customHeight="false" outlineLevel="0" collapsed="false">
      <c r="B22" s="26" t="s">
        <v>246</v>
      </c>
      <c r="G22" s="12" t="n">
        <f aca="false">SUM($G$18:G18)</f>
        <v>667279.127619552</v>
      </c>
      <c r="H22" s="12" t="n">
        <f aca="false">SUM($G$18:H18)</f>
        <v>3394852.09467514</v>
      </c>
      <c r="I22" s="12" t="n">
        <f aca="false">SUM($G$18:I18)</f>
        <v>6176384.86780216</v>
      </c>
      <c r="J22" s="12" t="n">
        <f aca="false">SUM($G$18:J18)</f>
        <v>9011877.4470006</v>
      </c>
      <c r="K22" s="12" t="n">
        <f aca="false">SUM($G$18:K18)</f>
        <v>11901329.8322705</v>
      </c>
      <c r="L22" s="12" t="n">
        <f aca="false">SUM($G$18:L18)</f>
        <v>14844742.0236118</v>
      </c>
      <c r="M22" s="12" t="n">
        <f aca="false">SUM($G$18:M18)</f>
        <v>17842114.0210245</v>
      </c>
    </row>
    <row r="23" customFormat="false" ht="15" hidden="false" customHeight="false" outlineLevel="0" collapsed="false">
      <c r="B23" s="26" t="s">
        <v>247</v>
      </c>
      <c r="G23" s="12" t="n">
        <f aca="false">Исх_данные!$E$111+Исх_данные!$F$111+Исх_данные!$E$113+Исх_данные!$F$113+Исх_данные!$E$115+Исх_данные!$F$115+Исх_данные!$E$117+Исх_данные!$F$117+Исх_данные!$E$119+Исх_данные!$F$119+Исх_данные!$E$121+Исх_данные!$F$121+Исх_данные!$E$123+Исх_данные!$F$123+Исх_данные!$E$125+Исх_данные!$F$125+Исх_данные!$E$127+Исх_данные!$F$127+Исх_данные!$E$129+Исх_данные!$F$129+$D$17-G22</f>
        <v>54718539.9224107</v>
      </c>
      <c r="H23" s="12" t="n">
        <f aca="false">Исх_данные!$E$111+Исх_данные!$F$111+Исх_данные!$G$111+Исх_данные!$E$113+Исх_данные!$F$113+Исх_данные!$G$113+Исх_данные!$E$115+Исх_данные!$F$115+Исх_данные!$G$115+Исх_данные!$E$117+Исх_данные!$F$117+Исх_данные!$G$117+Исх_данные!$E$119+Исх_данные!$F$119+Исх_данные!$G$119+Исх_данные!$E$121+Исх_данные!$F$121+Исх_данные!$G$121+Исх_данные!$E$123+Исх_данные!$F$123+Исх_данные!$G$123+Исх_данные!$E$125+Исх_данные!$F$125+Исх_данные!$G$125+Исх_данные!$E$127+Исх_данные!$F$127+Исх_данные!$G$127+Исх_данные!$E$129+Исх_данные!$F$129+Исх_данные!$G$129+$D$17-H22</f>
        <v>52530565.0160694</v>
      </c>
      <c r="I23" s="12" t="n">
        <f aca="false">Исх_данные!$E$111+Исх_данные!$F$111+Исх_данные!$G$111+Исх_данные!$H$111+Исх_данные!$E$113+Исх_данные!$F$113+Исх_данные!$G$113+Исх_данные!$H$113+Исх_данные!$E$115+Исх_данные!$F$115+Исх_данные!$G$115+Исх_данные!$H$115+Исх_данные!$E$117+Исх_данные!$F$117+Исх_данные!$G$117+Исх_данные!$H$117+Исх_данные!$E$119+Исх_данные!$F$119+Исх_данные!$G$119+Исх_данные!$H$119+Исх_данные!$E$121+Исх_данные!$F$121+Исх_данные!$G$121+Исх_данные!$H$121+Исх_данные!$E$123+Исх_данные!$F$123+Исх_данные!$G$123+Исх_данные!$H$123+Исх_данные!$E$125+Исх_данные!$F$125+Исх_данные!$G$125+Исх_данные!$H$125+Исх_данные!$E$127+Исх_данные!$F$127+Исх_данные!$G$127+Исх_данные!$H$127+Исх_данные!$E$129+Исх_данные!$F$129+Исх_данные!$G$129+Исх_данные!$H$129+$D$17-I22</f>
        <v>50288630.3036567</v>
      </c>
      <c r="J23" s="12" t="n">
        <f aca="false">Исх_данные!$E$111+Исх_данные!$F$111+Исх_данные!$G$111+Исх_данные!$H$111+Исх_данные!$I$111+Исх_данные!$E$113+Исх_данные!$F$113+Исх_данные!$G$113+Исх_данные!$H$113+Исх_данные!$I$113+Исх_данные!$E$115+Исх_данные!$F$115+Исх_данные!$G$115+Исх_данные!$H$115+Исх_данные!$I$115+Исх_данные!$E$117+Исх_данные!$F$117+Исх_данные!$G$117+Исх_данные!$H$117+Исх_данные!$I$117+Исх_данные!$E$119+Исх_данные!$F$119+Исх_данные!$G$119+Исх_данные!$H$119+Исх_данные!$I$119+Исх_данные!$E$121+Исх_данные!$F$121+Исх_данные!$G$121+Исх_данные!$H$121+Исх_данные!$I$121+Исх_данные!$E$123+Исх_данные!$F$123+Исх_данные!$G$123+Исх_данные!$H$123+Исх_данные!$I$123+Исх_данные!$E$125+Исх_данные!$F$125+Исх_данные!$G$125+Исх_данные!$H$125+Исх_данные!$I$125+Исх_данные!$E$127+Исх_данные!$F$127+Исх_данные!$G$127+Исх_данные!$H$127+Исх_данные!$I$127+Исх_данные!$E$129+Исх_данные!$F$129+Исх_данные!$G$129+Исх_данные!$H$129+Исх_данные!$I$129+$D$17-J22</f>
        <v>47992735.7851725</v>
      </c>
      <c r="K23" s="12" t="n">
        <f aca="false">Исх_данные!$E$111+Исх_данные!$F$111+Исх_данные!$G$111+Исх_данные!$H$111+Исх_данные!$I$111+Исх_данные!$J$111+Исх_данные!$E$113+Исх_данные!$F$113+Исх_данные!$G$113+Исх_данные!$H$113+Исх_данные!$I$113+Исх_данные!$J$113+Исх_данные!$E$115+Исх_данные!$F$115+Исх_данные!$G$115+Исх_данные!$H$115+Исх_данные!$I$115+Исх_данные!$J$115+Исх_данные!$E$117+Исх_данные!$F$117+Исх_данные!$G$117+Исх_данные!$H$117+Исх_данные!$I$117+Исх_данные!$J$117+Исх_данные!$E$119+Исх_данные!$F$119+Исх_данные!$G$119+Исх_данные!$H$119+Исх_данные!$I$119+Исх_данные!$J$119+Исх_данные!$E$121+Исх_данные!$F$121+Исх_данные!$G$121+Исх_данные!$H$121+Исх_данные!$I$121+Исх_данные!$J$121+Исх_данные!$E$123+Исх_данные!$F$123+Исх_данные!$G$123+Исх_данные!$H$123+Исх_данные!$I$123+Исх_данные!$J$123+Исх_данные!$E$125+Исх_данные!$F$125+Исх_данные!$G$125+Исх_данные!$H$125+Исх_данные!$I$125+Исх_данные!$J$125+Исх_данные!$E$127+Исх_данные!$F$127+Исх_данные!$G$127+Исх_данные!$H$127+Исх_данные!$I$127+Исх_данные!$J$127+Исх_данные!$E$129+Исх_данные!$F$129+Исх_данные!$G$129+Исх_данные!$H$129+Исх_данные!$I$129+Исх_данные!$J$129+$D$17-K22</f>
        <v>45642881.4606169</v>
      </c>
      <c r="L23" s="12" t="n">
        <f aca="false">Исх_данные!$E$111+Исх_данные!$F$111+Исх_данные!$G$111+Исх_данные!$H$111+Исх_данные!$I$111+Исх_данные!$J$111+Исх_данные!$K$111+Исх_данные!$E$113+Исх_данные!$F$113+Исх_данные!$G$113+Исх_данные!$H$113+Исх_данные!$I$113+Исх_данные!$J$113+Исх_данные!$K$113+Исх_данные!$E$115+Исх_данные!$F$115+Исх_данные!$G$115+Исх_данные!$H$115+Исх_данные!$I$115+Исх_данные!$J$115+Исх_данные!$K$115+Исх_данные!$E$117+Исх_данные!$F$117+Исх_данные!$G$117+Исх_данные!$H$117+Исх_данные!$I$117+Исх_данные!$J$117+Исх_данные!$K$117+Исх_данные!$E$119+Исх_данные!$F$119+Исх_данные!$G$119+Исх_данные!$H$119+Исх_данные!$I$119+Исх_данные!$J$119+Исх_данные!$K$119+Исх_данные!$E$121+Исх_данные!$F$121+Исх_данные!$G$121+Исх_данные!$H$121+Исх_данные!$I$121+Исх_данные!$J$121+Исх_данные!$K$121+Исх_данные!$E$123+Исх_данные!$F$123+Исх_данные!$G$123+Исх_данные!$H$123+Исх_данные!$I$123+Исх_данные!$J$123+Исх_данные!$K$123+Исх_данные!$E$125+Исх_данные!$F$125+Исх_данные!$G$125+Исх_данные!$H$125+Исх_данные!$I$125+Исх_данные!$J$125+Исх_данные!$K$125+Исх_данные!$E$127+Исх_данные!$F$127+Исх_данные!$G$127+Исх_данные!$H$127+Исх_данные!$I$127+Исх_данные!$J$127+Исх_данные!$K$127+Исх_данные!$E$129+Исх_данные!$F$129+Исх_данные!$G$129+Исх_данные!$H$129+Исх_данные!$I$129+Исх_данные!$J$129+Исх_данные!$K$129+$D$17-L22</f>
        <v>43239067.3299899</v>
      </c>
      <c r="M23" s="12" t="n">
        <f aca="false">Исх_данные!$E$111+Исх_данные!$F$111+Исх_данные!$G$111+Исх_данные!$H$111+Исх_данные!$I$111+Исх_данные!$J$111+Исх_данные!$K$111+Исх_данные!$L$111+Исх_данные!$E$113+Исх_данные!$F$113+Исх_данные!$G$113+Исх_данные!$H$113+Исх_данные!$I$113+Исх_данные!$J$113+Исх_данные!$K$113+Исх_данные!$L$113+Исх_данные!$E$115+Исх_данные!$F$115+Исх_данные!$G$115+Исх_данные!$H$115+Исх_данные!$I$115+Исх_данные!$J$115+Исх_данные!$K$115+Исх_данные!$L$115+Исх_данные!$E$117+Исх_данные!$F$117+Исх_данные!$G$117+Исх_данные!$H$117+Исх_данные!$I$117+Исх_данные!$J$117+Исх_данные!$K$117+Исх_данные!$L$117+Исх_данные!$E$119+Исх_данные!$F$119+Исх_данные!$G$119+Исх_данные!$H$119+Исх_данные!$I$119+Исх_данные!$J$119+Исх_данные!$K$119+Исх_данные!$L$119+Исх_данные!$E$121+Исх_данные!$F$121+Исх_данные!$G$121+Исх_данные!$H$121+Исх_данные!$I$121+Исх_данные!$J$121+Исх_данные!$K$121+Исх_данные!$L$121+Исх_данные!$E$123+Исх_данные!$F$123+Исх_данные!$G$123+Исх_данные!$H$123+Исх_данные!$I$123+Исх_данные!$J$123+Исх_данные!$K$123+Исх_данные!$L$123+Исх_данные!$E$125+Исх_данные!$F$125+Исх_данные!$G$125+Исх_данные!$H$125+Исх_данные!$I$125+Исх_данные!$J$125+Исх_данные!$K$125+Исх_данные!$L$125+Исх_данные!$E$127+Исх_данные!$F$127+Исх_данные!$G$127+Исх_данные!$H$127+Исх_данные!$I$127+Исх_данные!$J$127+Исх_данные!$K$127+Исх_данные!$L$127+Исх_данные!$E$129+Исх_данные!$F$129+Исх_данные!$G$129+Исх_данные!$H$129+Исх_данные!$I$129+Исх_данные!$J$129+Исх_данные!$K$129+Исх_данные!$L$129+$D$17-M22</f>
        <v>40781293.3932914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11" min="4" style="0" width="14"/>
  </cols>
  <sheetData>
    <row r="2" customFormat="false" ht="15" hidden="false" customHeight="false" outlineLevel="0" collapsed="false">
      <c r="B2" s="2" t="s">
        <v>248</v>
      </c>
      <c r="K2" s="51" t="s">
        <v>249</v>
      </c>
    </row>
    <row r="4" customFormat="false" ht="42" hidden="false" customHeight="true" outlineLevel="0" collapsed="false">
      <c r="B4" s="18" t="s">
        <v>250</v>
      </c>
      <c r="C4" s="18" t="s">
        <v>43</v>
      </c>
      <c r="D4" s="18" t="s">
        <v>251</v>
      </c>
      <c r="E4" s="18" t="s">
        <v>14</v>
      </c>
      <c r="F4" s="18" t="s">
        <v>252</v>
      </c>
      <c r="G4" s="18" t="s">
        <v>253</v>
      </c>
      <c r="H4" s="18" t="s">
        <v>254</v>
      </c>
    </row>
    <row r="5" customFormat="false" ht="15" hidden="false" customHeight="false" outlineLevel="0" collapsed="false">
      <c r="B5" s="6" t="s">
        <v>255</v>
      </c>
      <c r="C5" s="20" t="s">
        <v>256</v>
      </c>
      <c r="D5" s="61" t="n">
        <f aca="false">Исх_данные!$E$28</f>
        <v>1983.07</v>
      </c>
      <c r="E5" s="20" t="s">
        <v>257</v>
      </c>
      <c r="F5" s="29" t="n">
        <f aca="false">Исх_данные!$I$34</f>
        <v>38676.4082938858</v>
      </c>
      <c r="G5" s="12" t="n">
        <f aca="false">D5*F5</f>
        <v>76698024.9953561</v>
      </c>
      <c r="H5" s="12" t="n">
        <v>0</v>
      </c>
    </row>
    <row r="6" customFormat="false" ht="15" hidden="false" customHeight="false" outlineLevel="0" collapsed="false">
      <c r="B6" s="6" t="s">
        <v>258</v>
      </c>
      <c r="C6" s="20" t="s">
        <v>256</v>
      </c>
      <c r="D6" s="61" t="n">
        <f aca="false">Исх_данные!$E$36</f>
        <v>609.57</v>
      </c>
      <c r="E6" s="20" t="s">
        <v>259</v>
      </c>
      <c r="F6" s="29" t="n">
        <f aca="false">Исх_данные!$I$42</f>
        <v>0</v>
      </c>
      <c r="G6" s="12" t="n">
        <v>0</v>
      </c>
      <c r="H6" s="12" t="n">
        <f aca="false">D6*F6</f>
        <v>0</v>
      </c>
    </row>
    <row r="7" customFormat="false" ht="15" hidden="false" customHeight="false" outlineLevel="0" collapsed="false">
      <c r="B7" s="6" t="s">
        <v>260</v>
      </c>
      <c r="C7" s="20" t="s">
        <v>256</v>
      </c>
      <c r="D7" s="61" t="n">
        <f aca="false">Исх_данные!$E$44</f>
        <v>3000</v>
      </c>
      <c r="E7" s="20" t="s">
        <v>259</v>
      </c>
      <c r="F7" s="29" t="n">
        <f aca="false">Исх_данные!$I$50</f>
        <v>0</v>
      </c>
      <c r="G7" s="12" t="n">
        <v>0</v>
      </c>
      <c r="H7" s="12" t="n">
        <f aca="false">D7*F7</f>
        <v>0</v>
      </c>
    </row>
    <row r="8" customFormat="false" ht="15" hidden="false" customHeight="false" outlineLevel="0" collapsed="false">
      <c r="B8" s="10" t="s">
        <v>212</v>
      </c>
      <c r="C8" s="48"/>
      <c r="D8" s="48"/>
      <c r="E8" s="48"/>
      <c r="F8" s="48"/>
      <c r="G8" s="48" t="n">
        <f aca="false">SUM(G5:G7)</f>
        <v>76698024.9953561</v>
      </c>
      <c r="H8" s="48" t="n">
        <f aca="false">SUM(H5:H7)</f>
        <v>0</v>
      </c>
    </row>
    <row r="10" customFormat="false" ht="30" hidden="false" customHeight="true" outlineLevel="0" collapsed="false">
      <c r="B10" s="17" t="s">
        <v>42</v>
      </c>
      <c r="C10" s="18" t="s">
        <v>43</v>
      </c>
      <c r="D10" s="18" t="s">
        <v>44</v>
      </c>
      <c r="E10" s="18" t="s">
        <v>45</v>
      </c>
      <c r="F10" s="18" t="s">
        <v>46</v>
      </c>
      <c r="G10" s="18" t="s">
        <v>47</v>
      </c>
      <c r="H10" s="18" t="s">
        <v>48</v>
      </c>
      <c r="I10" s="18" t="s">
        <v>49</v>
      </c>
      <c r="J10" s="18" t="s">
        <v>50</v>
      </c>
      <c r="K10" s="17" t="s">
        <v>51</v>
      </c>
    </row>
    <row r="11" customFormat="false" ht="15" hidden="false" customHeight="false" outlineLevel="0" collapsed="false">
      <c r="B11" s="5"/>
      <c r="C11" s="5"/>
      <c r="D11" s="17" t="s">
        <v>52</v>
      </c>
      <c r="E11" s="17" t="s">
        <v>53</v>
      </c>
      <c r="F11" s="17" t="s">
        <v>54</v>
      </c>
      <c r="G11" s="17" t="s">
        <v>55</v>
      </c>
      <c r="H11" s="17" t="s">
        <v>56</v>
      </c>
      <c r="I11" s="17" t="s">
        <v>57</v>
      </c>
      <c r="J11" s="17" t="s">
        <v>58</v>
      </c>
      <c r="K11" s="17" t="s">
        <v>59</v>
      </c>
    </row>
    <row r="12" customFormat="false" ht="15" hidden="false" customHeight="false" outlineLevel="0" collapsed="false">
      <c r="B12" s="10" t="s">
        <v>261</v>
      </c>
      <c r="C12" s="60"/>
      <c r="D12" s="60"/>
      <c r="E12" s="60"/>
      <c r="F12" s="60"/>
      <c r="G12" s="60"/>
      <c r="H12" s="60"/>
      <c r="I12" s="60"/>
      <c r="J12" s="60"/>
      <c r="K12" s="60"/>
    </row>
    <row r="13" customFormat="false" ht="15" hidden="false" customHeight="false" outlineLevel="0" collapsed="false">
      <c r="B13" s="19" t="s">
        <v>255</v>
      </c>
      <c r="C13" s="20" t="s">
        <v>262</v>
      </c>
      <c r="D13" s="13" t="n">
        <f aca="false">Исх_данные!$F$29</f>
        <v>0.15</v>
      </c>
      <c r="E13" s="13" t="n">
        <f aca="false">Исх_данные!$G$29</f>
        <v>0.65</v>
      </c>
      <c r="F13" s="13" t="n">
        <f aca="false">Исх_данные!$H$29</f>
        <v>0.85</v>
      </c>
      <c r="G13" s="13" t="n">
        <f aca="false">Исх_данные!$I$29</f>
        <v>1</v>
      </c>
      <c r="H13" s="13" t="n">
        <f aca="false">Исх_данные!$J$29</f>
        <v>1</v>
      </c>
      <c r="I13" s="13" t="n">
        <f aca="false">Исх_данные!$K$29</f>
        <v>1</v>
      </c>
      <c r="J13" s="13" t="n">
        <f aca="false">Исх_данные!$L$29</f>
        <v>1</v>
      </c>
      <c r="K13" s="13" t="n">
        <f aca="false">AVERAGE(D13:J13)</f>
        <v>0.807142857142857</v>
      </c>
    </row>
    <row r="14" customFormat="false" ht="15" hidden="false" customHeight="false" outlineLevel="0" collapsed="false">
      <c r="B14" s="19" t="s">
        <v>258</v>
      </c>
      <c r="C14" s="20" t="s">
        <v>262</v>
      </c>
      <c r="D14" s="13" t="n">
        <f aca="false">Исх_данные!$F$37</f>
        <v>0.15</v>
      </c>
      <c r="E14" s="13" t="n">
        <f aca="false">Исх_данные!$G$37</f>
        <v>0.65</v>
      </c>
      <c r="F14" s="13" t="n">
        <f aca="false">Исх_данные!$H$37</f>
        <v>0.85</v>
      </c>
      <c r="G14" s="13" t="n">
        <f aca="false">Исх_данные!$I$37</f>
        <v>1</v>
      </c>
      <c r="H14" s="13" t="n">
        <f aca="false">Исх_данные!$J$37</f>
        <v>1</v>
      </c>
      <c r="I14" s="13" t="n">
        <f aca="false">Исх_данные!$K$37</f>
        <v>1</v>
      </c>
      <c r="J14" s="13" t="n">
        <f aca="false">Исх_данные!$L$37</f>
        <v>1</v>
      </c>
      <c r="K14" s="13" t="n">
        <f aca="false">AVERAGE(D14:J14)</f>
        <v>0.807142857142857</v>
      </c>
    </row>
    <row r="15" customFormat="false" ht="15" hidden="false" customHeight="false" outlineLevel="0" collapsed="false">
      <c r="B15" s="19" t="s">
        <v>260</v>
      </c>
      <c r="C15" s="20" t="s">
        <v>262</v>
      </c>
      <c r="D15" s="13" t="n">
        <f aca="false">Исх_данные!$F$45</f>
        <v>0.15</v>
      </c>
      <c r="E15" s="13" t="n">
        <f aca="false">Исх_данные!$G$45</f>
        <v>0.65</v>
      </c>
      <c r="F15" s="13" t="n">
        <f aca="false">Исх_данные!$H$45</f>
        <v>0.85</v>
      </c>
      <c r="G15" s="13" t="n">
        <f aca="false">Исх_данные!$I$45</f>
        <v>1</v>
      </c>
      <c r="H15" s="13" t="n">
        <f aca="false">Исх_данные!$J$45</f>
        <v>1</v>
      </c>
      <c r="I15" s="13" t="n">
        <f aca="false">Исх_данные!$K$45</f>
        <v>1</v>
      </c>
      <c r="J15" s="13" t="n">
        <f aca="false">Исх_данные!$L$45</f>
        <v>1</v>
      </c>
      <c r="K15" s="13" t="n">
        <f aca="false">AVERAGE(D15:J15)</f>
        <v>0.807142857142857</v>
      </c>
    </row>
    <row r="16" customFormat="false" ht="15" hidden="false" customHeight="false" outlineLevel="0" collapsed="false">
      <c r="B16" s="10" t="s">
        <v>263</v>
      </c>
      <c r="C16" s="60"/>
      <c r="D16" s="60"/>
      <c r="E16" s="60"/>
      <c r="F16" s="60"/>
      <c r="G16" s="60"/>
      <c r="H16" s="60"/>
      <c r="I16" s="60"/>
      <c r="J16" s="60"/>
      <c r="K16" s="60"/>
    </row>
    <row r="17" customFormat="false" ht="15" hidden="false" customHeight="false" outlineLevel="0" collapsed="false">
      <c r="B17" s="19" t="s">
        <v>255</v>
      </c>
      <c r="C17" s="20" t="s">
        <v>256</v>
      </c>
      <c r="D17" s="61" t="n">
        <f aca="false">$D$5*D13</f>
        <v>297.4605</v>
      </c>
      <c r="E17" s="61" t="n">
        <f aca="false">$D$5*E13</f>
        <v>1288.9955</v>
      </c>
      <c r="F17" s="61" t="n">
        <f aca="false">$D$5*F13</f>
        <v>1685.6095</v>
      </c>
      <c r="G17" s="61" t="n">
        <f aca="false">$D$5*G13</f>
        <v>1983.07</v>
      </c>
      <c r="H17" s="61" t="n">
        <f aca="false">$D$5*H13</f>
        <v>1983.07</v>
      </c>
      <c r="I17" s="61" t="n">
        <f aca="false">$D$5*I13</f>
        <v>1983.07</v>
      </c>
      <c r="J17" s="61" t="n">
        <f aca="false">$D$5*J13</f>
        <v>1983.07</v>
      </c>
      <c r="K17" s="61" t="n">
        <f aca="false">SUM(D17:J17)</f>
        <v>11204.3455</v>
      </c>
    </row>
    <row r="18" customFormat="false" ht="15" hidden="false" customHeight="false" outlineLevel="0" collapsed="false">
      <c r="B18" s="19" t="s">
        <v>258</v>
      </c>
      <c r="C18" s="20" t="s">
        <v>256</v>
      </c>
      <c r="D18" s="61" t="n">
        <f aca="false">$D$6*D14</f>
        <v>91.4355</v>
      </c>
      <c r="E18" s="61" t="n">
        <f aca="false">$D$6*E14</f>
        <v>396.2205</v>
      </c>
      <c r="F18" s="61" t="n">
        <f aca="false">$D$6*F14</f>
        <v>518.1345</v>
      </c>
      <c r="G18" s="61" t="n">
        <f aca="false">$D$6*G14</f>
        <v>609.57</v>
      </c>
      <c r="H18" s="61" t="n">
        <f aca="false">$D$6*H14</f>
        <v>609.57</v>
      </c>
      <c r="I18" s="61" t="n">
        <f aca="false">$D$6*I14</f>
        <v>609.57</v>
      </c>
      <c r="J18" s="61" t="n">
        <f aca="false">$D$6*J14</f>
        <v>609.57</v>
      </c>
      <c r="K18" s="61" t="n">
        <f aca="false">SUM(D18:J18)</f>
        <v>3444.0705</v>
      </c>
    </row>
    <row r="19" customFormat="false" ht="15" hidden="false" customHeight="false" outlineLevel="0" collapsed="false">
      <c r="B19" s="19" t="s">
        <v>260</v>
      </c>
      <c r="C19" s="20" t="s">
        <v>256</v>
      </c>
      <c r="D19" s="61" t="n">
        <f aca="false">$D$7*D15</f>
        <v>450</v>
      </c>
      <c r="E19" s="61" t="n">
        <f aca="false">$D$7*E15</f>
        <v>1950</v>
      </c>
      <c r="F19" s="61" t="n">
        <f aca="false">$D$7*F15</f>
        <v>2550</v>
      </c>
      <c r="G19" s="61" t="n">
        <f aca="false">$D$7*G15</f>
        <v>3000</v>
      </c>
      <c r="H19" s="61" t="n">
        <f aca="false">$D$7*H15</f>
        <v>3000</v>
      </c>
      <c r="I19" s="61" t="n">
        <f aca="false">$D$7*I15</f>
        <v>3000</v>
      </c>
      <c r="J19" s="61" t="n">
        <f aca="false">$D$7*J15</f>
        <v>3000</v>
      </c>
      <c r="K19" s="61" t="n">
        <f aca="false">SUM(D19:J19)</f>
        <v>16950</v>
      </c>
    </row>
    <row r="20" customFormat="false" ht="15" hidden="false" customHeight="false" outlineLevel="0" collapsed="false">
      <c r="B20" s="10" t="s">
        <v>264</v>
      </c>
      <c r="C20" s="60"/>
      <c r="D20" s="60"/>
      <c r="E20" s="60"/>
      <c r="F20" s="60"/>
      <c r="G20" s="60"/>
      <c r="H20" s="60"/>
      <c r="I20" s="60"/>
      <c r="J20" s="60"/>
      <c r="K20" s="60"/>
    </row>
    <row r="21" customFormat="false" ht="15" hidden="false" customHeight="false" outlineLevel="0" collapsed="false">
      <c r="B21" s="19" t="s">
        <v>265</v>
      </c>
      <c r="C21" s="20" t="s">
        <v>256</v>
      </c>
      <c r="D21" s="61" t="n">
        <f aca="false">Исх_данные!$F$31</f>
        <v>247.88375</v>
      </c>
      <c r="E21" s="61" t="n">
        <f aca="false">Исх_данные!$G$31</f>
        <v>1284.86410416667</v>
      </c>
      <c r="F21" s="61" t="n">
        <f aca="false">Исх_данные!$H$31</f>
        <v>1669.08391666667</v>
      </c>
      <c r="G21" s="61" t="n">
        <f aca="false">Исх_данные!$I$31</f>
        <v>1970.6758125</v>
      </c>
      <c r="H21" s="61" t="n">
        <f aca="false">Исх_данные!$J$31</f>
        <v>1983.07</v>
      </c>
      <c r="I21" s="61" t="n">
        <f aca="false">Исх_данные!$K$31</f>
        <v>1983.07</v>
      </c>
      <c r="J21" s="61" t="n">
        <f aca="false">Исх_данные!$L$31</f>
        <v>1983.07</v>
      </c>
      <c r="K21" s="61" t="n">
        <f aca="false">SUM(D21:J21)</f>
        <v>11121.7175833333</v>
      </c>
    </row>
    <row r="22" customFormat="false" ht="15" hidden="false" customHeight="false" outlineLevel="0" collapsed="false">
      <c r="B22" s="19" t="s">
        <v>266</v>
      </c>
      <c r="C22" s="20" t="s">
        <v>256</v>
      </c>
      <c r="D22" s="61" t="n">
        <f aca="false">Исх_данные!$F$32</f>
        <v>0</v>
      </c>
      <c r="E22" s="61" t="n">
        <f aca="false">Исх_данные!$G$32</f>
        <v>0</v>
      </c>
      <c r="F22" s="61" t="n">
        <f aca="false">Исх_данные!$H$32</f>
        <v>0</v>
      </c>
      <c r="G22" s="61" t="n">
        <f aca="false">Исх_данные!$I$32</f>
        <v>0</v>
      </c>
      <c r="H22" s="61" t="n">
        <f aca="false">Исх_данные!$J$32</f>
        <v>0</v>
      </c>
      <c r="I22" s="61" t="n">
        <f aca="false">Исх_данные!$K$32</f>
        <v>0</v>
      </c>
      <c r="J22" s="61" t="n">
        <f aca="false">Исх_данные!$L$32</f>
        <v>0</v>
      </c>
      <c r="K22" s="61" t="n">
        <f aca="false">SUM(D22:J22)</f>
        <v>0</v>
      </c>
    </row>
    <row r="23" customFormat="false" ht="15" hidden="false" customHeight="false" outlineLevel="0" collapsed="false">
      <c r="B23" s="19" t="s">
        <v>267</v>
      </c>
      <c r="C23" s="20" t="s">
        <v>256</v>
      </c>
      <c r="D23" s="61" t="n">
        <f aca="false">Исх_данные!$F$39</f>
        <v>0</v>
      </c>
      <c r="E23" s="61" t="n">
        <f aca="false">Исх_данные!$G$39</f>
        <v>0</v>
      </c>
      <c r="F23" s="61" t="n">
        <f aca="false">Исх_данные!$H$39</f>
        <v>0</v>
      </c>
      <c r="G23" s="61" t="n">
        <f aca="false">Исх_данные!$I$39</f>
        <v>0</v>
      </c>
      <c r="H23" s="61" t="n">
        <f aca="false">Исх_данные!$J$39</f>
        <v>0</v>
      </c>
      <c r="I23" s="61" t="n">
        <f aca="false">Исх_данные!$K$39</f>
        <v>0</v>
      </c>
      <c r="J23" s="61" t="n">
        <f aca="false">Исх_данные!$L$39</f>
        <v>0</v>
      </c>
      <c r="K23" s="61" t="n">
        <f aca="false">SUM(D23:J23)</f>
        <v>0</v>
      </c>
    </row>
    <row r="24" customFormat="false" ht="15" hidden="false" customHeight="false" outlineLevel="0" collapsed="false">
      <c r="B24" s="19" t="s">
        <v>268</v>
      </c>
      <c r="C24" s="20" t="s">
        <v>256</v>
      </c>
      <c r="D24" s="61" t="n">
        <f aca="false">Исх_данные!$F$40</f>
        <v>76.19625</v>
      </c>
      <c r="E24" s="61" t="n">
        <f aca="false">Исх_данные!$G$40</f>
        <v>394.9505625</v>
      </c>
      <c r="F24" s="61" t="n">
        <f aca="false">Исх_данные!$H$40</f>
        <v>513.05475</v>
      </c>
      <c r="G24" s="61" t="n">
        <f aca="false">Исх_данные!$I$40</f>
        <v>605.7601875</v>
      </c>
      <c r="H24" s="61" t="n">
        <f aca="false">Исх_данные!$J$40</f>
        <v>609.57</v>
      </c>
      <c r="I24" s="61" t="n">
        <f aca="false">Исх_данные!$K$40</f>
        <v>609.57</v>
      </c>
      <c r="J24" s="61" t="n">
        <f aca="false">Исх_данные!$L$40</f>
        <v>609.57</v>
      </c>
      <c r="K24" s="61" t="n">
        <f aca="false">SUM(D24:J24)</f>
        <v>3418.67175</v>
      </c>
    </row>
    <row r="25" customFormat="false" ht="15" hidden="false" customHeight="false" outlineLevel="0" collapsed="false">
      <c r="B25" s="19" t="s">
        <v>269</v>
      </c>
      <c r="C25" s="20" t="s">
        <v>256</v>
      </c>
      <c r="D25" s="61" t="n">
        <f aca="false">Исх_данные!$F$47</f>
        <v>0</v>
      </c>
      <c r="E25" s="61" t="n">
        <f aca="false">Исх_данные!$G$47</f>
        <v>0</v>
      </c>
      <c r="F25" s="61" t="n">
        <f aca="false">Исх_данные!$H$47</f>
        <v>0</v>
      </c>
      <c r="G25" s="61" t="n">
        <f aca="false">Исх_данные!$I$47</f>
        <v>0</v>
      </c>
      <c r="H25" s="61" t="n">
        <f aca="false">Исх_данные!$J$47</f>
        <v>0</v>
      </c>
      <c r="I25" s="61" t="n">
        <f aca="false">Исх_данные!$K$47</f>
        <v>0</v>
      </c>
      <c r="J25" s="61" t="n">
        <f aca="false">Исх_данные!$L$47</f>
        <v>0</v>
      </c>
      <c r="K25" s="61" t="n">
        <f aca="false">SUM(D25:J25)</f>
        <v>0</v>
      </c>
    </row>
    <row r="26" customFormat="false" ht="15" hidden="false" customHeight="false" outlineLevel="0" collapsed="false">
      <c r="B26" s="19" t="s">
        <v>270</v>
      </c>
      <c r="C26" s="20" t="s">
        <v>256</v>
      </c>
      <c r="D26" s="61" t="n">
        <f aca="false">Исх_данные!$F$48</f>
        <v>375</v>
      </c>
      <c r="E26" s="61" t="n">
        <f aca="false">Исх_данные!$G$48</f>
        <v>1943.75</v>
      </c>
      <c r="F26" s="61" t="n">
        <f aca="false">Исх_данные!$H$48</f>
        <v>2525</v>
      </c>
      <c r="G26" s="61" t="n">
        <f aca="false">Исх_данные!$I$48</f>
        <v>2981.25</v>
      </c>
      <c r="H26" s="61" t="n">
        <f aca="false">Исх_данные!$J$48</f>
        <v>3000</v>
      </c>
      <c r="I26" s="61" t="n">
        <f aca="false">Исх_данные!$K$48</f>
        <v>3000</v>
      </c>
      <c r="J26" s="61" t="n">
        <f aca="false">Исх_данные!$L$48</f>
        <v>3000</v>
      </c>
      <c r="K26" s="61" t="n">
        <f aca="false">SUM(D26:J26)</f>
        <v>16825</v>
      </c>
    </row>
    <row r="27" customFormat="false" ht="15" hidden="false" customHeight="false" outlineLevel="0" collapsed="false">
      <c r="B27" s="10" t="s">
        <v>271</v>
      </c>
      <c r="C27" s="60"/>
      <c r="D27" s="60"/>
      <c r="E27" s="60"/>
      <c r="F27" s="60"/>
      <c r="G27" s="60"/>
      <c r="H27" s="60"/>
      <c r="I27" s="60"/>
      <c r="J27" s="60"/>
      <c r="K27" s="60"/>
    </row>
    <row r="28" customFormat="false" ht="15" hidden="false" customHeight="false" outlineLevel="0" collapsed="false">
      <c r="B28" s="19" t="s">
        <v>255</v>
      </c>
      <c r="C28" s="20" t="s">
        <v>256</v>
      </c>
      <c r="D28" s="61" t="n">
        <f aca="false">0+D17-D21-D22</f>
        <v>49.57675</v>
      </c>
      <c r="E28" s="61" t="n">
        <f aca="false">D28+E17-E21-E22</f>
        <v>53.708145833333</v>
      </c>
      <c r="F28" s="61" t="n">
        <f aca="false">E28+F17-F21-F22</f>
        <v>70.2337291666668</v>
      </c>
      <c r="G28" s="61" t="n">
        <f aca="false">F28+G17-G21-G22</f>
        <v>82.627916666667</v>
      </c>
      <c r="H28" s="61" t="n">
        <f aca="false">G28+H17-H21-H22</f>
        <v>82.627916666667</v>
      </c>
      <c r="I28" s="61" t="n">
        <f aca="false">H28+I17-I21-I22</f>
        <v>82.627916666667</v>
      </c>
      <c r="J28" s="61" t="n">
        <f aca="false">I28+J17-J21-J22</f>
        <v>82.627916666667</v>
      </c>
      <c r="K28" s="61" t="n">
        <f aca="false">J28</f>
        <v>82.627916666667</v>
      </c>
    </row>
    <row r="29" customFormat="false" ht="15" hidden="false" customHeight="false" outlineLevel="0" collapsed="false">
      <c r="B29" s="19" t="s">
        <v>258</v>
      </c>
      <c r="C29" s="20" t="s">
        <v>256</v>
      </c>
      <c r="D29" s="61" t="n">
        <f aca="false">0+D18-D23-D24</f>
        <v>15.23925</v>
      </c>
      <c r="E29" s="61" t="n">
        <f aca="false">D29+E18-E23-E24</f>
        <v>16.5091875000001</v>
      </c>
      <c r="F29" s="61" t="n">
        <f aca="false">E29+F18-F23-F24</f>
        <v>21.5889375000002</v>
      </c>
      <c r="G29" s="61" t="n">
        <f aca="false">F29+G18-G23-G24</f>
        <v>25.3987500000002</v>
      </c>
      <c r="H29" s="61" t="n">
        <f aca="false">G29+H18-H23-H24</f>
        <v>25.3987500000002</v>
      </c>
      <c r="I29" s="61" t="n">
        <f aca="false">H29+I18-I23-I24</f>
        <v>25.3987500000002</v>
      </c>
      <c r="J29" s="61" t="n">
        <f aca="false">I29+J18-J23-J24</f>
        <v>25.3987500000002</v>
      </c>
      <c r="K29" s="61" t="n">
        <f aca="false">J29</f>
        <v>25.3987500000002</v>
      </c>
    </row>
    <row r="30" customFormat="false" ht="15" hidden="false" customHeight="false" outlineLevel="0" collapsed="false">
      <c r="B30" s="19" t="s">
        <v>260</v>
      </c>
      <c r="C30" s="20" t="s">
        <v>256</v>
      </c>
      <c r="D30" s="61" t="n">
        <f aca="false">0+D19-D25-D26</f>
        <v>75</v>
      </c>
      <c r="E30" s="61" t="n">
        <f aca="false">D30+E19-E25-E26</f>
        <v>81.25</v>
      </c>
      <c r="F30" s="61" t="n">
        <f aca="false">E30+F19-F25-F26</f>
        <v>106.25</v>
      </c>
      <c r="G30" s="61" t="n">
        <f aca="false">F30+G19-G25-G26</f>
        <v>125</v>
      </c>
      <c r="H30" s="61" t="n">
        <f aca="false">G30+H19-H25-H26</f>
        <v>125</v>
      </c>
      <c r="I30" s="61" t="n">
        <f aca="false">H30+I19-I25-I26</f>
        <v>125</v>
      </c>
      <c r="J30" s="61" t="n">
        <f aca="false">I30+J19-J25-J26</f>
        <v>125</v>
      </c>
      <c r="K30" s="61" t="n">
        <f aca="false">J30</f>
        <v>125</v>
      </c>
    </row>
    <row r="31" customFormat="false" ht="15" hidden="false" customHeight="false" outlineLevel="0" collapsed="false">
      <c r="B31" s="10" t="s">
        <v>272</v>
      </c>
      <c r="C31" s="60"/>
      <c r="D31" s="60"/>
      <c r="E31" s="60"/>
      <c r="F31" s="60"/>
      <c r="G31" s="60"/>
      <c r="H31" s="60"/>
      <c r="I31" s="60"/>
      <c r="J31" s="60"/>
      <c r="K31" s="60"/>
    </row>
    <row r="32" customFormat="false" ht="15" hidden="false" customHeight="false" outlineLevel="0" collapsed="false">
      <c r="B32" s="19" t="s">
        <v>255</v>
      </c>
      <c r="C32" s="20" t="s">
        <v>273</v>
      </c>
      <c r="D32" s="29" t="n">
        <f aca="false">Исх_данные!$F$34</f>
        <v>36542.2638937014</v>
      </c>
      <c r="E32" s="29" t="n">
        <f aca="false">Исх_данные!$G$34</f>
        <v>37029.2013031179</v>
      </c>
      <c r="F32" s="29" t="n">
        <f aca="false">Исх_данные!$H$34</f>
        <v>37843.8437317865</v>
      </c>
      <c r="G32" s="29" t="n">
        <f aca="false">Исх_данные!$I$34</f>
        <v>38676.4082938858</v>
      </c>
      <c r="H32" s="29" t="n">
        <f aca="false">Исх_данные!$J$34</f>
        <v>39527.2892763513</v>
      </c>
      <c r="I32" s="29" t="n">
        <f aca="false">Исх_данные!$K$34</f>
        <v>40396.889640431</v>
      </c>
      <c r="J32" s="29" t="n">
        <f aca="false">Исх_данные!$L$34</f>
        <v>41285.6212125205</v>
      </c>
      <c r="K32" s="29" t="n">
        <f aca="false">AVERAGE(D32:J32)</f>
        <v>38757.3596216849</v>
      </c>
    </row>
    <row r="33" customFormat="false" ht="15" hidden="false" customHeight="false" outlineLevel="0" collapsed="false">
      <c r="B33" s="19" t="s">
        <v>258</v>
      </c>
      <c r="C33" s="20" t="s">
        <v>273</v>
      </c>
      <c r="D33" s="29" t="n">
        <f aca="false">Исх_данные!$F$42</f>
        <v>0</v>
      </c>
      <c r="E33" s="29" t="n">
        <f aca="false">Исх_данные!$G$42</f>
        <v>0</v>
      </c>
      <c r="F33" s="29" t="n">
        <f aca="false">Исх_данные!$H$42</f>
        <v>0</v>
      </c>
      <c r="G33" s="29" t="n">
        <f aca="false">Исх_данные!$I$42</f>
        <v>0</v>
      </c>
      <c r="H33" s="29" t="n">
        <f aca="false">Исх_данные!$J$42</f>
        <v>0</v>
      </c>
      <c r="I33" s="29" t="n">
        <f aca="false">Исх_данные!$K$42</f>
        <v>0</v>
      </c>
      <c r="J33" s="29" t="n">
        <f aca="false">Исх_данные!$L$42</f>
        <v>0</v>
      </c>
      <c r="K33" s="29" t="n">
        <f aca="false">AVERAGE(D33:J33)</f>
        <v>0</v>
      </c>
    </row>
    <row r="34" customFormat="false" ht="15" hidden="false" customHeight="false" outlineLevel="0" collapsed="false">
      <c r="B34" s="19" t="s">
        <v>260</v>
      </c>
      <c r="C34" s="20" t="s">
        <v>273</v>
      </c>
      <c r="D34" s="29" t="n">
        <f aca="false">Исх_данные!$F$50</f>
        <v>0</v>
      </c>
      <c r="E34" s="29" t="n">
        <f aca="false">Исх_данные!$G$50</f>
        <v>0</v>
      </c>
      <c r="F34" s="29" t="n">
        <f aca="false">Исх_данные!$H$50</f>
        <v>0</v>
      </c>
      <c r="G34" s="29" t="n">
        <f aca="false">Исх_данные!$I$50</f>
        <v>0</v>
      </c>
      <c r="H34" s="29" t="n">
        <f aca="false">Исх_данные!$J$50</f>
        <v>0</v>
      </c>
      <c r="I34" s="29" t="n">
        <f aca="false">Исх_данные!$K$50</f>
        <v>0</v>
      </c>
      <c r="J34" s="29" t="n">
        <f aca="false">Исх_данные!$L$50</f>
        <v>0</v>
      </c>
      <c r="K34" s="29" t="n">
        <f aca="false">AVERAGE(D34:J34)</f>
        <v>0</v>
      </c>
    </row>
    <row r="36" customFormat="false" ht="15" hidden="false" customHeight="false" outlineLevel="0" collapsed="false">
      <c r="B36" s="3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275</v>
      </c>
      <c r="K2" s="51" t="s">
        <v>276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0" t="s">
        <v>277</v>
      </c>
      <c r="C6" s="60"/>
      <c r="D6" s="60"/>
      <c r="E6" s="60"/>
      <c r="F6" s="60"/>
      <c r="G6" s="60"/>
      <c r="H6" s="60"/>
      <c r="I6" s="60"/>
      <c r="J6" s="60"/>
      <c r="K6" s="60"/>
    </row>
    <row r="7" customFormat="false" ht="15" hidden="false" customHeight="false" outlineLevel="0" collapsed="false">
      <c r="B7" s="19" t="s">
        <v>278</v>
      </c>
      <c r="C7" s="20" t="s">
        <v>32</v>
      </c>
      <c r="D7" s="12" t="n">
        <f aca="false">ProdPlan!D21*ProdPlan!D32</f>
        <v>9058233.40746031</v>
      </c>
      <c r="E7" s="12" t="n">
        <f aca="false">ProdPlan!E21*ProdPlan!E32</f>
        <v>47577491.5603378</v>
      </c>
      <c r="F7" s="12" t="n">
        <f aca="false">ProdPlan!F21*ProdPlan!F32</f>
        <v>63164550.9175715</v>
      </c>
      <c r="G7" s="12" t="n">
        <f aca="false">ProdPlan!G21*ProdPlan!G32</f>
        <v>76218662.3391351</v>
      </c>
      <c r="H7" s="12" t="n">
        <f aca="false">ProdPlan!H21*ProdPlan!H32</f>
        <v>78385381.545254</v>
      </c>
      <c r="I7" s="12" t="n">
        <f aca="false">ProdPlan!I21*ProdPlan!I32</f>
        <v>80109859.9392496</v>
      </c>
      <c r="J7" s="12" t="n">
        <f aca="false">ProdPlan!J21*ProdPlan!J32</f>
        <v>81872276.8579131</v>
      </c>
      <c r="K7" s="12" t="n">
        <f aca="false">SUM(D7:J7)</f>
        <v>436386456.566921</v>
      </c>
    </row>
    <row r="8" customFormat="false" ht="15" hidden="false" customHeight="false" outlineLevel="0" collapsed="false">
      <c r="B8" s="19" t="s">
        <v>279</v>
      </c>
      <c r="C8" s="20" t="s">
        <v>32</v>
      </c>
      <c r="D8" s="12" t="n">
        <f aca="false">ProdPlan!D23*ProdPlan!D33</f>
        <v>0</v>
      </c>
      <c r="E8" s="12" t="n">
        <f aca="false">ProdPlan!E23*ProdPlan!E33</f>
        <v>0</v>
      </c>
      <c r="F8" s="12" t="n">
        <f aca="false">ProdPlan!F23*ProdPlan!F33</f>
        <v>0</v>
      </c>
      <c r="G8" s="12" t="n">
        <f aca="false">ProdPlan!G23*ProdPlan!G33</f>
        <v>0</v>
      </c>
      <c r="H8" s="12" t="n">
        <f aca="false">ProdPlan!H23*ProdPlan!H33</f>
        <v>0</v>
      </c>
      <c r="I8" s="12" t="n">
        <f aca="false">ProdPlan!I23*ProdPlan!I33</f>
        <v>0</v>
      </c>
      <c r="J8" s="12" t="n">
        <f aca="false">ProdPlan!J23*ProdPlan!J33</f>
        <v>0</v>
      </c>
      <c r="K8" s="12" t="n">
        <f aca="false">SUM(D8:J8)</f>
        <v>0</v>
      </c>
    </row>
    <row r="9" customFormat="false" ht="15" hidden="false" customHeight="false" outlineLevel="0" collapsed="false">
      <c r="B9" s="19" t="s">
        <v>280</v>
      </c>
      <c r="C9" s="20" t="s">
        <v>32</v>
      </c>
      <c r="D9" s="12" t="n">
        <f aca="false">ProdPlan!D25*ProdPlan!D34</f>
        <v>0</v>
      </c>
      <c r="E9" s="12" t="n">
        <f aca="false">ProdPlan!E25*ProdPlan!E34</f>
        <v>0</v>
      </c>
      <c r="F9" s="12" t="n">
        <f aca="false">ProdPlan!F25*ProdPlan!F34</f>
        <v>0</v>
      </c>
      <c r="G9" s="12" t="n">
        <f aca="false">ProdPlan!G25*ProdPlan!G34</f>
        <v>0</v>
      </c>
      <c r="H9" s="12" t="n">
        <f aca="false">ProdPlan!H25*ProdPlan!H34</f>
        <v>0</v>
      </c>
      <c r="I9" s="12" t="n">
        <f aca="false">ProdPlan!I25*ProdPlan!I34</f>
        <v>0</v>
      </c>
      <c r="J9" s="12" t="n">
        <f aca="false">ProdPlan!J25*ProdPlan!J34</f>
        <v>0</v>
      </c>
      <c r="K9" s="12" t="n">
        <f aca="false">SUM(D9:J9)</f>
        <v>0</v>
      </c>
    </row>
    <row r="10" customFormat="false" ht="15" hidden="false" customHeight="false" outlineLevel="0" collapsed="false">
      <c r="B10" s="62" t="s">
        <v>212</v>
      </c>
      <c r="C10" s="20" t="s">
        <v>32</v>
      </c>
      <c r="D10" s="22" t="n">
        <f aca="false">SUM(D7:D9)</f>
        <v>9058233.40746031</v>
      </c>
      <c r="E10" s="22" t="n">
        <f aca="false">SUM(E7:E9)</f>
        <v>47577491.5603378</v>
      </c>
      <c r="F10" s="22" t="n">
        <f aca="false">SUM(F7:F9)</f>
        <v>63164550.9175715</v>
      </c>
      <c r="G10" s="22" t="n">
        <f aca="false">SUM(G7:G9)</f>
        <v>76218662.3391351</v>
      </c>
      <c r="H10" s="22" t="n">
        <f aca="false">SUM(H7:H9)</f>
        <v>78385381.545254</v>
      </c>
      <c r="I10" s="22" t="n">
        <f aca="false">SUM(I7:I9)</f>
        <v>80109859.9392496</v>
      </c>
      <c r="J10" s="22" t="n">
        <f aca="false">SUM(J7:J9)</f>
        <v>81872276.8579131</v>
      </c>
      <c r="K10" s="22" t="n">
        <f aca="false">SUM(D10:J10)</f>
        <v>436386456.566921</v>
      </c>
    </row>
    <row r="12" customFormat="false" ht="15" hidden="false" customHeight="false" outlineLevel="0" collapsed="false">
      <c r="B12" s="10" t="s">
        <v>281</v>
      </c>
      <c r="C12" s="60"/>
      <c r="D12" s="60"/>
      <c r="E12" s="60"/>
      <c r="F12" s="60"/>
      <c r="G12" s="60"/>
      <c r="H12" s="60"/>
      <c r="I12" s="60"/>
      <c r="J12" s="60"/>
      <c r="K12" s="60"/>
    </row>
    <row r="13" customFormat="false" ht="15" hidden="false" customHeight="false" outlineLevel="0" collapsed="false">
      <c r="B13" s="19" t="s">
        <v>278</v>
      </c>
      <c r="C13" s="20" t="s">
        <v>32</v>
      </c>
      <c r="D13" s="12" t="n">
        <f aca="false">ProdPlan!D22*ProdPlan!D32</f>
        <v>0</v>
      </c>
      <c r="E13" s="12" t="n">
        <f aca="false">ProdPlan!E22*ProdPlan!E32</f>
        <v>0</v>
      </c>
      <c r="F13" s="12" t="n">
        <f aca="false">ProdPlan!F22*ProdPlan!F32</f>
        <v>0</v>
      </c>
      <c r="G13" s="12" t="n">
        <f aca="false">ProdPlan!G22*ProdPlan!G32</f>
        <v>0</v>
      </c>
      <c r="H13" s="12" t="n">
        <f aca="false">ProdPlan!H22*ProdPlan!H32</f>
        <v>0</v>
      </c>
      <c r="I13" s="12" t="n">
        <f aca="false">ProdPlan!I22*ProdPlan!I32</f>
        <v>0</v>
      </c>
      <c r="J13" s="12" t="n">
        <f aca="false">ProdPlan!J22*ProdPlan!J32</f>
        <v>0</v>
      </c>
      <c r="K13" s="12" t="n">
        <f aca="false">SUM(D13:J13)</f>
        <v>0</v>
      </c>
    </row>
    <row r="14" customFormat="false" ht="15" hidden="false" customHeight="false" outlineLevel="0" collapsed="false">
      <c r="B14" s="19" t="s">
        <v>279</v>
      </c>
      <c r="C14" s="20" t="s">
        <v>32</v>
      </c>
      <c r="D14" s="12" t="n">
        <f aca="false">ProdPlan!D24*ProdPlan!D33</f>
        <v>0</v>
      </c>
      <c r="E14" s="12" t="n">
        <f aca="false">ProdPlan!E24*ProdPlan!E33</f>
        <v>0</v>
      </c>
      <c r="F14" s="12" t="n">
        <f aca="false">ProdPlan!F24*ProdPlan!F33</f>
        <v>0</v>
      </c>
      <c r="G14" s="12" t="n">
        <f aca="false">ProdPlan!G24*ProdPlan!G33</f>
        <v>0</v>
      </c>
      <c r="H14" s="12" t="n">
        <f aca="false">ProdPlan!H24*ProdPlan!H33</f>
        <v>0</v>
      </c>
      <c r="I14" s="12" t="n">
        <f aca="false">ProdPlan!I24*ProdPlan!I33</f>
        <v>0</v>
      </c>
      <c r="J14" s="12" t="n">
        <f aca="false">ProdPlan!J24*ProdPlan!J33</f>
        <v>0</v>
      </c>
      <c r="K14" s="12" t="n">
        <f aca="false">SUM(D14:J14)</f>
        <v>0</v>
      </c>
    </row>
    <row r="15" customFormat="false" ht="15" hidden="false" customHeight="false" outlineLevel="0" collapsed="false">
      <c r="B15" s="19" t="s">
        <v>280</v>
      </c>
      <c r="C15" s="20" t="s">
        <v>32</v>
      </c>
      <c r="D15" s="12" t="n">
        <f aca="false">ProdPlan!D26*ProdPlan!D34</f>
        <v>0</v>
      </c>
      <c r="E15" s="12" t="n">
        <f aca="false">ProdPlan!E26*ProdPlan!E34</f>
        <v>0</v>
      </c>
      <c r="F15" s="12" t="n">
        <f aca="false">ProdPlan!F26*ProdPlan!F34</f>
        <v>0</v>
      </c>
      <c r="G15" s="12" t="n">
        <f aca="false">ProdPlan!G26*ProdPlan!G34</f>
        <v>0</v>
      </c>
      <c r="H15" s="12" t="n">
        <f aca="false">ProdPlan!H26*ProdPlan!H34</f>
        <v>0</v>
      </c>
      <c r="I15" s="12" t="n">
        <f aca="false">ProdPlan!I26*ProdPlan!I34</f>
        <v>0</v>
      </c>
      <c r="J15" s="12" t="n">
        <f aca="false">ProdPlan!J26*ProdPlan!J34</f>
        <v>0</v>
      </c>
      <c r="K15" s="12" t="n">
        <f aca="false">SUM(D15:J15)</f>
        <v>0</v>
      </c>
    </row>
    <row r="16" customFormat="false" ht="15" hidden="false" customHeight="false" outlineLevel="0" collapsed="false">
      <c r="B16" s="62" t="s">
        <v>212</v>
      </c>
      <c r="C16" s="20" t="s">
        <v>32</v>
      </c>
      <c r="D16" s="22" t="n">
        <f aca="false">SUM(D13:D15)</f>
        <v>0</v>
      </c>
      <c r="E16" s="22" t="n">
        <f aca="false">SUM(E13:E15)</f>
        <v>0</v>
      </c>
      <c r="F16" s="22" t="n">
        <f aca="false">SUM(F13:F15)</f>
        <v>0</v>
      </c>
      <c r="G16" s="22" t="n">
        <f aca="false">SUM(G13:G15)</f>
        <v>0</v>
      </c>
      <c r="H16" s="22" t="n">
        <f aca="false">SUM(H13:H15)</f>
        <v>0</v>
      </c>
      <c r="I16" s="22" t="n">
        <f aca="false">SUM(I13:I15)</f>
        <v>0</v>
      </c>
      <c r="J16" s="22" t="n">
        <f aca="false">SUM(J13:J15)</f>
        <v>0</v>
      </c>
      <c r="K16" s="22" t="n">
        <f aca="false">SUM(D16:J16)</f>
        <v>0</v>
      </c>
    </row>
    <row r="18" customFormat="false" ht="15" hidden="false" customHeight="false" outlineLevel="0" collapsed="false">
      <c r="B18" s="38" t="s">
        <v>282</v>
      </c>
      <c r="C18" s="63" t="s">
        <v>32</v>
      </c>
      <c r="D18" s="15" t="n">
        <f aca="false">D10+D16</f>
        <v>9058233.40746031</v>
      </c>
      <c r="E18" s="15" t="n">
        <f aca="false">E10+E16</f>
        <v>47577491.5603378</v>
      </c>
      <c r="F18" s="15" t="n">
        <f aca="false">F10+F16</f>
        <v>63164550.9175715</v>
      </c>
      <c r="G18" s="15" t="n">
        <f aca="false">G10+G16</f>
        <v>76218662.3391351</v>
      </c>
      <c r="H18" s="15" t="n">
        <f aca="false">H10+H16</f>
        <v>78385381.545254</v>
      </c>
      <c r="I18" s="15" t="n">
        <f aca="false">I10+I16</f>
        <v>80109859.9392496</v>
      </c>
      <c r="J18" s="15" t="n">
        <f aca="false">J10+J16</f>
        <v>81872276.8579131</v>
      </c>
      <c r="K18" s="15" t="n">
        <f aca="false">SUM(D18:J18)</f>
        <v>436386456.566921</v>
      </c>
    </row>
    <row r="19" customFormat="false" ht="15" hidden="false" customHeight="false" outlineLevel="0" collapsed="false">
      <c r="B19" s="19" t="s">
        <v>283</v>
      </c>
      <c r="C19" s="20" t="s">
        <v>262</v>
      </c>
      <c r="D19" s="13" t="n">
        <f aca="false">IFERROR(D10/D18,0)</f>
        <v>1</v>
      </c>
      <c r="E19" s="13" t="n">
        <f aca="false">IFERROR(E10/E18,0)</f>
        <v>1</v>
      </c>
      <c r="F19" s="13" t="n">
        <f aca="false">IFERROR(F10/F18,0)</f>
        <v>1</v>
      </c>
      <c r="G19" s="13" t="n">
        <f aca="false">IFERROR(G10/G18,0)</f>
        <v>1</v>
      </c>
      <c r="H19" s="13" t="n">
        <f aca="false">IFERROR(H10/H18,0)</f>
        <v>1</v>
      </c>
      <c r="I19" s="13" t="n">
        <f aca="false">IFERROR(I10/I18,0)</f>
        <v>1</v>
      </c>
      <c r="J19" s="13" t="n">
        <f aca="false">IFERROR(J10/J18,0)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42"/>
  </cols>
  <sheetData>
    <row r="2" customFormat="false" ht="15" hidden="false" customHeight="false" outlineLevel="0" collapsed="false">
      <c r="B2" s="2" t="s">
        <v>284</v>
      </c>
      <c r="G2" s="51" t="s">
        <v>285</v>
      </c>
    </row>
    <row r="3" customFormat="false" ht="15" hidden="false" customHeight="false" outlineLevel="0" collapsed="false">
      <c r="B3" s="52" t="s">
        <v>286</v>
      </c>
    </row>
    <row r="5" customFormat="false" ht="30" hidden="false" customHeight="true" outlineLevel="0" collapsed="false">
      <c r="B5" s="18" t="s">
        <v>287</v>
      </c>
      <c r="C5" s="18" t="s">
        <v>43</v>
      </c>
      <c r="D5" s="18" t="s">
        <v>288</v>
      </c>
      <c r="E5" s="18" t="s">
        <v>289</v>
      </c>
      <c r="F5" s="18" t="s">
        <v>290</v>
      </c>
      <c r="G5" s="18" t="s">
        <v>291</v>
      </c>
      <c r="H5" s="18" t="s">
        <v>292</v>
      </c>
    </row>
    <row r="6" customFormat="false" ht="15" hidden="false" customHeight="false" outlineLevel="0" collapsed="false">
      <c r="B6" s="10" t="s">
        <v>293</v>
      </c>
      <c r="C6" s="60"/>
      <c r="D6" s="60"/>
      <c r="E6" s="60"/>
      <c r="F6" s="60"/>
      <c r="G6" s="60"/>
      <c r="H6" s="60"/>
    </row>
    <row r="7" customFormat="false" ht="15" hidden="false" customHeight="false" outlineLevel="0" collapsed="false">
      <c r="B7" s="19" t="s">
        <v>294</v>
      </c>
      <c r="C7" s="20" t="s">
        <v>256</v>
      </c>
      <c r="D7" s="29" t="n">
        <f aca="false">IFERROR(F7/E7,0)</f>
        <v>11086.3935301997</v>
      </c>
      <c r="E7" s="61" t="n">
        <f aca="false">Исх_данные!$I$140</f>
        <v>50</v>
      </c>
      <c r="F7" s="12" t="n">
        <f aca="false">Исх_данные!$I$141</f>
        <v>554319.676509986</v>
      </c>
      <c r="G7" s="13" t="n">
        <f aca="false">IFERROR(F7/$F$20,0)</f>
        <v>0.0202777420109502</v>
      </c>
      <c r="H7" s="53" t="s">
        <v>295</v>
      </c>
    </row>
    <row r="8" customFormat="false" ht="15" hidden="false" customHeight="false" outlineLevel="0" collapsed="false">
      <c r="B8" s="19" t="s">
        <v>296</v>
      </c>
      <c r="C8" s="20" t="s">
        <v>297</v>
      </c>
      <c r="D8" s="29" t="n">
        <f aca="false">IFERROR(F8/E8,0)</f>
        <v>12.3830808954653</v>
      </c>
      <c r="E8" s="61" t="n">
        <f aca="false">Исх_данные!$I$146</f>
        <v>2000</v>
      </c>
      <c r="F8" s="12" t="n">
        <f aca="false">Исх_данные!$I$147</f>
        <v>24766.1617909305</v>
      </c>
      <c r="G8" s="13" t="n">
        <f aca="false">IFERROR(F8/$F$20,0)</f>
        <v>0.00090597873515842</v>
      </c>
      <c r="H8" s="53" t="s">
        <v>295</v>
      </c>
    </row>
    <row r="9" customFormat="false" ht="15" hidden="false" customHeight="false" outlineLevel="0" collapsed="false">
      <c r="B9" s="26" t="s">
        <v>298</v>
      </c>
      <c r="F9" s="22" t="n">
        <f aca="false">SUM(F7:F8)</f>
        <v>579085.838300916</v>
      </c>
      <c r="G9" s="13" t="n">
        <f aca="false">IFERROR(F9/$F$20,0)</f>
        <v>0.0211837207461086</v>
      </c>
    </row>
    <row r="11" customFormat="false" ht="15" hidden="false" customHeight="false" outlineLevel="0" collapsed="false">
      <c r="B11" s="10" t="s">
        <v>299</v>
      </c>
      <c r="C11" s="60"/>
      <c r="D11" s="60"/>
      <c r="E11" s="60"/>
      <c r="F11" s="60"/>
      <c r="G11" s="60"/>
      <c r="H11" s="60"/>
    </row>
    <row r="12" customFormat="false" ht="15" hidden="false" customHeight="false" outlineLevel="0" collapsed="false">
      <c r="B12" s="19" t="s">
        <v>300</v>
      </c>
      <c r="C12" s="20" t="s">
        <v>256</v>
      </c>
      <c r="D12" s="29" t="n">
        <f aca="false">IFERROR(F12/E12,0)</f>
        <v>4937.03807066388</v>
      </c>
      <c r="E12" s="61" t="n">
        <f aca="false">Исх_данные!$I$132</f>
        <v>5000</v>
      </c>
      <c r="F12" s="12" t="n">
        <f aca="false">Исх_данные!$I$133</f>
        <v>24685190.3533194</v>
      </c>
      <c r="G12" s="13" t="n">
        <f aca="false">IFERROR(F12/$F$20,0)</f>
        <v>0.903016693593393</v>
      </c>
      <c r="H12" s="53" t="s">
        <v>301</v>
      </c>
    </row>
    <row r="13" customFormat="false" ht="15" hidden="false" customHeight="false" outlineLevel="0" collapsed="false">
      <c r="B13" s="19" t="s">
        <v>302</v>
      </c>
      <c r="C13" s="20" t="s">
        <v>256</v>
      </c>
      <c r="D13" s="29" t="n">
        <f aca="false">IFERROR(F13/E13,0)</f>
        <v>341.777802852018</v>
      </c>
      <c r="E13" s="61" t="n">
        <f aca="false">Исх_данные!$I$134</f>
        <v>1119.94</v>
      </c>
      <c r="F13" s="12" t="n">
        <f aca="false">Исх_данные!$I$135</f>
        <v>382770.632526089</v>
      </c>
      <c r="G13" s="13" t="n">
        <f aca="false">IFERROR(F13/$F$20,0)</f>
        <v>0.0140022526073769</v>
      </c>
      <c r="H13" s="53" t="s">
        <v>295</v>
      </c>
    </row>
    <row r="14" customFormat="false" ht="15" hidden="false" customHeight="false" outlineLevel="0" collapsed="false">
      <c r="B14" s="19" t="s">
        <v>303</v>
      </c>
      <c r="C14" s="20" t="s">
        <v>256</v>
      </c>
      <c r="D14" s="29" t="n">
        <f aca="false">IFERROR(F14/E14,0)</f>
        <v>348.434711714666</v>
      </c>
      <c r="E14" s="61" t="n">
        <f aca="false">Исх_данные!$I$136</f>
        <v>3334.62</v>
      </c>
      <c r="F14" s="12" t="n">
        <f aca="false">Исх_данные!$I$137</f>
        <v>1161897.35837796</v>
      </c>
      <c r="G14" s="13" t="n">
        <f aca="false">IFERROR(F14/$F$20,0)</f>
        <v>0.0425037318262477</v>
      </c>
      <c r="H14" s="53" t="s">
        <v>295</v>
      </c>
    </row>
    <row r="15" customFormat="false" ht="15" hidden="false" customHeight="false" outlineLevel="0" collapsed="false">
      <c r="B15" s="19" t="s">
        <v>304</v>
      </c>
      <c r="C15" s="20" t="s">
        <v>256</v>
      </c>
      <c r="D15" s="29" t="n">
        <f aca="false">IFERROR(F15/E15,0)</f>
        <v>1080.5373280042</v>
      </c>
      <c r="E15" s="61" t="n">
        <f aca="false">Исх_данные!$I$138</f>
        <v>162.56</v>
      </c>
      <c r="F15" s="12" t="n">
        <f aca="false">Исх_данные!$I$139</f>
        <v>175652.148040362</v>
      </c>
      <c r="G15" s="13" t="n">
        <f aca="false">IFERROR(F15/$F$20,0)</f>
        <v>0.00642558634046166</v>
      </c>
      <c r="H15" s="53" t="s">
        <v>295</v>
      </c>
    </row>
    <row r="16" customFormat="false" ht="15" hidden="false" customHeight="false" outlineLevel="0" collapsed="false">
      <c r="B16" s="19" t="s">
        <v>305</v>
      </c>
      <c r="C16" s="20" t="s">
        <v>256</v>
      </c>
      <c r="D16" s="29" t="n">
        <f aca="false">IFERROR(F16/E16,0)</f>
        <v>88.3084134538346</v>
      </c>
      <c r="E16" s="61" t="n">
        <f aca="false">Исх_данные!$I$142</f>
        <v>2000</v>
      </c>
      <c r="F16" s="12" t="n">
        <f aca="false">Исх_данные!$I$143</f>
        <v>176616.826907669</v>
      </c>
      <c r="G16" s="13" t="n">
        <f aca="false">IFERROR(F16/$F$20,0)</f>
        <v>0.00646087556078635</v>
      </c>
      <c r="H16" s="53" t="s">
        <v>295</v>
      </c>
    </row>
    <row r="17" customFormat="false" ht="15" hidden="false" customHeight="false" outlineLevel="0" collapsed="false">
      <c r="B17" s="19" t="s">
        <v>306</v>
      </c>
      <c r="C17" s="20" t="s">
        <v>256</v>
      </c>
      <c r="D17" s="29" t="n">
        <f aca="false">IFERROR(F17/E17,0)</f>
        <v>872.945941900185</v>
      </c>
      <c r="E17" s="61" t="n">
        <f aca="false">Исх_данные!$I$144</f>
        <v>200.64</v>
      </c>
      <c r="F17" s="12" t="n">
        <f aca="false">Исх_данные!$I$145</f>
        <v>175147.873782853</v>
      </c>
      <c r="G17" s="13" t="n">
        <f aca="false">IFERROR(F17/$F$20,0)</f>
        <v>0.00640713932562554</v>
      </c>
      <c r="H17" s="53" t="s">
        <v>295</v>
      </c>
    </row>
    <row r="18" customFormat="false" ht="15" hidden="false" customHeight="false" outlineLevel="0" collapsed="false">
      <c r="B18" s="26" t="s">
        <v>307</v>
      </c>
      <c r="F18" s="22" t="n">
        <f aca="false">SUM(F12:F17)</f>
        <v>26757275.1929543</v>
      </c>
      <c r="G18" s="13" t="n">
        <f aca="false">IFERROR(F18/$F$20,0)</f>
        <v>0.978816279253891</v>
      </c>
    </row>
    <row r="20" customFormat="false" ht="15" hidden="false" customHeight="false" outlineLevel="0" collapsed="false">
      <c r="B20" s="14" t="s">
        <v>308</v>
      </c>
      <c r="F20" s="15" t="n">
        <f aca="false">F9+F18</f>
        <v>27336361.0312552</v>
      </c>
      <c r="G20" s="13" t="n">
        <f aca="false">IFERROR(F20/$F$20,0)</f>
        <v>1</v>
      </c>
    </row>
    <row r="22" customFormat="false" ht="15" hidden="false" customHeight="false" outlineLevel="0" collapsed="false">
      <c r="B22" s="10" t="s">
        <v>309</v>
      </c>
      <c r="C22" s="60"/>
      <c r="D22" s="60"/>
      <c r="E22" s="60"/>
      <c r="F22" s="60"/>
      <c r="G22" s="60"/>
      <c r="H22" s="60"/>
    </row>
    <row r="23" customFormat="false" ht="15" hidden="false" customHeight="false" outlineLevel="0" collapsed="false">
      <c r="B23" s="26" t="s">
        <v>310</v>
      </c>
      <c r="F23" s="26" t="s">
        <v>290</v>
      </c>
      <c r="H23" s="26" t="s">
        <v>311</v>
      </c>
    </row>
    <row r="24" customFormat="false" ht="23.85" hidden="false" customHeight="false" outlineLevel="0" collapsed="false">
      <c r="B24" s="6" t="s">
        <v>312</v>
      </c>
      <c r="F24" s="12" t="n">
        <f aca="false">Исх_данные!$I$79-(0)</f>
        <v>1018194.0197046</v>
      </c>
      <c r="H24" s="64" t="s">
        <v>313</v>
      </c>
    </row>
    <row r="25" customFormat="false" ht="23.85" hidden="false" customHeight="false" outlineLevel="0" collapsed="false">
      <c r="B25" s="6" t="s">
        <v>314</v>
      </c>
      <c r="F25" s="12" t="n">
        <f aca="false">Исх_данные!$I$80-(0)-Исх_данные!$I$82</f>
        <v>94026.7687233843</v>
      </c>
      <c r="H25" s="64" t="s">
        <v>315</v>
      </c>
    </row>
    <row r="26" customFormat="false" ht="15" hidden="false" customHeight="false" outlineLevel="0" collapsed="false">
      <c r="B26" s="6" t="s">
        <v>316</v>
      </c>
      <c r="F26" s="12" t="n">
        <f aca="false">Исх_данные!$I$82</f>
        <v>0</v>
      </c>
    </row>
    <row r="27" customFormat="false" ht="15" hidden="false" customHeight="false" outlineLevel="0" collapsed="false">
      <c r="B27" s="26" t="s">
        <v>317</v>
      </c>
      <c r="F27" s="22" t="n">
        <f aca="false">SUM(F24:F26)</f>
        <v>1112220.78842799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7" min="6" style="0" width="16"/>
    <col collapsed="false" customWidth="true" hidden="false" outlineLevel="0" max="8" min="8" style="0" width="30"/>
  </cols>
  <sheetData>
    <row r="2" customFormat="false" ht="15" hidden="false" customHeight="false" outlineLevel="0" collapsed="false">
      <c r="B2" s="2" t="s">
        <v>318</v>
      </c>
      <c r="G2" s="51" t="s">
        <v>319</v>
      </c>
    </row>
    <row r="5" customFormat="false" ht="30" hidden="false" customHeight="true" outlineLevel="0" collapsed="false">
      <c r="B5" s="18" t="s">
        <v>320</v>
      </c>
      <c r="C5" s="18" t="s">
        <v>43</v>
      </c>
      <c r="D5" s="18" t="s">
        <v>289</v>
      </c>
      <c r="E5" s="18" t="s">
        <v>288</v>
      </c>
      <c r="F5" s="18" t="s">
        <v>290</v>
      </c>
    </row>
    <row r="6" customFormat="false" ht="15" hidden="false" customHeight="false" outlineLevel="0" collapsed="false">
      <c r="B6" s="19" t="s">
        <v>321</v>
      </c>
      <c r="C6" s="20" t="s">
        <v>322</v>
      </c>
      <c r="D6" s="61" t="n">
        <f aca="false">Исх_данные!$I$148</f>
        <v>7619042.4</v>
      </c>
      <c r="E6" s="65" t="n">
        <f aca="false">IFERROR(F6/D6,0)</f>
        <v>0.10284668266065</v>
      </c>
      <c r="F6" s="12" t="n">
        <f aca="false">Исх_данные!$I$149</f>
        <v>783593.235890839</v>
      </c>
    </row>
    <row r="7" customFormat="false" ht="15" hidden="false" customHeight="false" outlineLevel="0" collapsed="false">
      <c r="B7" s="19" t="s">
        <v>323</v>
      </c>
      <c r="C7" s="20" t="s">
        <v>324</v>
      </c>
      <c r="D7" s="61" t="n">
        <f aca="false">Исх_данные!$I$150</f>
        <v>2959722.4</v>
      </c>
      <c r="E7" s="65" t="n">
        <f aca="false">IFERROR(F7/D7,0)</f>
        <v>0.172561522794754</v>
      </c>
      <c r="F7" s="12" t="n">
        <f aca="false">Исх_данные!$I$151</f>
        <v>510734.204393743</v>
      </c>
    </row>
    <row r="8" customFormat="false" ht="15" hidden="false" customHeight="false" outlineLevel="0" collapsed="false">
      <c r="B8" s="6" t="s">
        <v>325</v>
      </c>
      <c r="F8" s="12" t="n">
        <f aca="false">Исх_данные!$I$73-(Исх_данные!$I$149)</f>
        <v>324288.72190542</v>
      </c>
    </row>
    <row r="9" customFormat="false" ht="15" hidden="false" customHeight="false" outlineLevel="0" collapsed="false">
      <c r="B9" s="6" t="s">
        <v>326</v>
      </c>
      <c r="F9" s="12" t="n">
        <f aca="false">Исх_данные!$I$74-(Исх_данные!$I$151)</f>
        <v>0</v>
      </c>
    </row>
    <row r="10" customFormat="false" ht="15" hidden="false" customHeight="false" outlineLevel="0" collapsed="false">
      <c r="B10" s="6" t="s">
        <v>327</v>
      </c>
      <c r="F10" s="12" t="n">
        <f aca="false">Исх_данные!$I$75-(0)</f>
        <v>0</v>
      </c>
    </row>
    <row r="11" customFormat="false" ht="15" hidden="false" customHeight="false" outlineLevel="0" collapsed="false">
      <c r="B11" s="10" t="s">
        <v>328</v>
      </c>
      <c r="F11" s="48" t="n">
        <f aca="false">SUM(F6:F10)</f>
        <v>1618616.16219</v>
      </c>
    </row>
    <row r="13" customFormat="false" ht="15" hidden="false" customHeight="false" outlineLevel="0" collapsed="false">
      <c r="B13" s="33" t="s">
        <v>329</v>
      </c>
    </row>
    <row r="14" customFormat="false" ht="42" hidden="false" customHeight="true" outlineLevel="0" collapsed="false">
      <c r="B14" s="18" t="s">
        <v>42</v>
      </c>
      <c r="C14" s="18" t="s">
        <v>330</v>
      </c>
      <c r="D14" s="18" t="s">
        <v>331</v>
      </c>
      <c r="E14" s="18" t="s">
        <v>332</v>
      </c>
      <c r="F14" s="18" t="s">
        <v>333</v>
      </c>
      <c r="G14" s="18" t="s">
        <v>334</v>
      </c>
    </row>
    <row r="15" customFormat="false" ht="15" hidden="false" customHeight="false" outlineLevel="0" collapsed="false">
      <c r="B15" s="10" t="s">
        <v>335</v>
      </c>
      <c r="C15" s="60"/>
      <c r="D15" s="60"/>
      <c r="E15" s="60"/>
      <c r="F15" s="60"/>
      <c r="G15" s="60"/>
    </row>
    <row r="16" customFormat="false" ht="15" hidden="false" customHeight="false" outlineLevel="0" collapsed="false">
      <c r="B16" s="19" t="s">
        <v>336</v>
      </c>
      <c r="C16" s="61" t="n">
        <f aca="false">Исх_данные!$I$207</f>
        <v>1</v>
      </c>
      <c r="D16" s="12" t="n">
        <f aca="false">Исх_данные!$I$208</f>
        <v>17835000</v>
      </c>
      <c r="E16" s="12" t="n">
        <f aca="false">IFERROR(F16/C16/12,0)</f>
        <v>1646.16335187741</v>
      </c>
      <c r="F16" s="12" t="n">
        <f aca="false">Исх_данные!$I$209</f>
        <v>19753.9602225289</v>
      </c>
      <c r="G16" s="12" t="n">
        <f aca="false">F16*Исх_данные!$E$17</f>
        <v>2370.47522670347</v>
      </c>
    </row>
    <row r="17" customFormat="false" ht="15" hidden="false" customHeight="false" outlineLevel="0" collapsed="false">
      <c r="B17" s="19" t="s">
        <v>337</v>
      </c>
      <c r="C17" s="61" t="n">
        <f aca="false">Исх_данные!$I$210</f>
        <v>40</v>
      </c>
      <c r="D17" s="12" t="n">
        <f aca="false">Исх_данные!$I$211</f>
        <v>15457000</v>
      </c>
      <c r="E17" s="12" t="n">
        <f aca="false">IFERROR(F17/C17/12,0)</f>
        <v>1426.67490496042</v>
      </c>
      <c r="F17" s="12" t="n">
        <f aca="false">Исх_данные!$I$212</f>
        <v>684803.954381002</v>
      </c>
      <c r="G17" s="12" t="n">
        <f aca="false">F17*Исх_данные!$E$17</f>
        <v>82176.4745257203</v>
      </c>
    </row>
    <row r="18" customFormat="false" ht="15" hidden="false" customHeight="false" outlineLevel="0" collapsed="false">
      <c r="B18" s="19" t="s">
        <v>336</v>
      </c>
      <c r="C18" s="61" t="n">
        <f aca="false">Исх_данные!$I$213</f>
        <v>1</v>
      </c>
      <c r="D18" s="12" t="n">
        <f aca="false">Исх_данные!$I$214</f>
        <v>17835000</v>
      </c>
      <c r="E18" s="12" t="n">
        <f aca="false">IFERROR(F18/C18/12,0)</f>
        <v>1646.16335187741</v>
      </c>
      <c r="F18" s="12" t="n">
        <f aca="false">Исх_данные!$I$215</f>
        <v>19753.9602225289</v>
      </c>
      <c r="G18" s="12" t="n">
        <f aca="false">F18*Исх_данные!$E$17</f>
        <v>2370.47522670347</v>
      </c>
    </row>
    <row r="19" customFormat="false" ht="15" hidden="false" customHeight="false" outlineLevel="0" collapsed="false">
      <c r="B19" s="19" t="s">
        <v>338</v>
      </c>
      <c r="C19" s="61" t="n">
        <f aca="false">Исх_данные!$I$216</f>
        <v>8</v>
      </c>
      <c r="D19" s="12" t="n">
        <f aca="false">Исх_данные!$I$217</f>
        <v>15457000</v>
      </c>
      <c r="E19" s="12" t="n">
        <f aca="false">IFERROR(F19/C19/12,0)</f>
        <v>1426.67490496042</v>
      </c>
      <c r="F19" s="12" t="n">
        <f aca="false">Исх_данные!$I$218</f>
        <v>136960.790876201</v>
      </c>
      <c r="G19" s="12" t="n">
        <f aca="false">F19*Исх_данные!$E$17</f>
        <v>16435.2949051441</v>
      </c>
    </row>
    <row r="20" customFormat="false" ht="15" hidden="false" customHeight="false" outlineLevel="0" collapsed="false">
      <c r="B20" s="19" t="s">
        <v>336</v>
      </c>
      <c r="C20" s="61" t="n">
        <f aca="false">Исх_данные!$I$219</f>
        <v>1</v>
      </c>
      <c r="D20" s="12" t="n">
        <f aca="false">Исх_данные!$I$220</f>
        <v>17835000</v>
      </c>
      <c r="E20" s="12" t="n">
        <f aca="false">IFERROR(F20/C20/12,0)</f>
        <v>1646.16335187741</v>
      </c>
      <c r="F20" s="12" t="n">
        <f aca="false">Исх_данные!$I$221</f>
        <v>19753.9602225289</v>
      </c>
      <c r="G20" s="12" t="n">
        <f aca="false">F20*Исх_данные!$E$17</f>
        <v>2370.47522670347</v>
      </c>
    </row>
    <row r="21" customFormat="false" ht="15" hidden="false" customHeight="false" outlineLevel="0" collapsed="false">
      <c r="B21" s="19" t="s">
        <v>339</v>
      </c>
      <c r="C21" s="61" t="n">
        <f aca="false">Исх_данные!$I$222</f>
        <v>12</v>
      </c>
      <c r="D21" s="12" t="n">
        <f aca="false">Исх_данные!$I$223</f>
        <v>15457000</v>
      </c>
      <c r="E21" s="12" t="n">
        <f aca="false">IFERROR(F21/C21/12,0)</f>
        <v>1426.67490496042</v>
      </c>
      <c r="F21" s="12" t="n">
        <f aca="false">Исх_данные!$I$224</f>
        <v>205441.186314301</v>
      </c>
      <c r="G21" s="12" t="n">
        <f aca="false">F21*Исх_данные!$E$17</f>
        <v>24652.9423577161</v>
      </c>
    </row>
    <row r="22" customFormat="false" ht="15" hidden="false" customHeight="false" outlineLevel="0" collapsed="false">
      <c r="B22" s="19" t="s">
        <v>340</v>
      </c>
      <c r="C22" s="61" t="n">
        <f aca="false">Исх_данные!$I$225</f>
        <v>1</v>
      </c>
      <c r="D22" s="12" t="n">
        <f aca="false">Исх_данные!$I$226</f>
        <v>9512000</v>
      </c>
      <c r="E22" s="12" t="n">
        <f aca="false">IFERROR(F22/C22/12,0)</f>
        <v>877.953787667952</v>
      </c>
      <c r="F22" s="12" t="n">
        <f aca="false">Исх_данные!$I$227</f>
        <v>10535.4454520154</v>
      </c>
      <c r="G22" s="12" t="n">
        <f aca="false">F22*Исх_данные!$E$17</f>
        <v>1264.25345424185</v>
      </c>
    </row>
    <row r="23" customFormat="false" ht="15" hidden="false" customHeight="false" outlineLevel="0" collapsed="false">
      <c r="B23" s="19" t="s">
        <v>341</v>
      </c>
      <c r="C23" s="61" t="n">
        <f aca="false">Исх_данные!$I$228</f>
        <v>8</v>
      </c>
      <c r="D23" s="12" t="n">
        <f aca="false">Исх_данные!$I$229</f>
        <v>11592750</v>
      </c>
      <c r="E23" s="12" t="n">
        <f aca="false">IFERROR(F23/C23/12,0)</f>
        <v>1070.00617872032</v>
      </c>
      <c r="F23" s="12" t="n">
        <f aca="false">Исх_данные!$I$230</f>
        <v>102720.59315715</v>
      </c>
      <c r="G23" s="12" t="n">
        <f aca="false">F23*Исх_данные!$E$17</f>
        <v>12326.471178858</v>
      </c>
    </row>
    <row r="24" customFormat="false" ht="15" hidden="false" customHeight="false" outlineLevel="0" collapsed="false">
      <c r="B24" s="19" t="s">
        <v>342</v>
      </c>
      <c r="C24" s="61" t="n">
        <f aca="false">Исх_данные!$I$231</f>
        <v>8</v>
      </c>
      <c r="D24" s="12" t="n">
        <f aca="false">Исх_данные!$I$232</f>
        <v>11592750</v>
      </c>
      <c r="E24" s="12" t="n">
        <f aca="false">IFERROR(F24/C24/12,0)</f>
        <v>1070.00617872032</v>
      </c>
      <c r="F24" s="12" t="n">
        <f aca="false">Исх_данные!$I$233</f>
        <v>102720.59315715</v>
      </c>
      <c r="G24" s="12" t="n">
        <f aca="false">F24*Исх_данные!$E$17</f>
        <v>12326.471178858</v>
      </c>
    </row>
    <row r="25" customFormat="false" ht="15" hidden="false" customHeight="false" outlineLevel="0" collapsed="false">
      <c r="B25" s="19" t="s">
        <v>343</v>
      </c>
      <c r="C25" s="61" t="n">
        <f aca="false">Исх_данные!$I$234</f>
        <v>12</v>
      </c>
      <c r="D25" s="12" t="n">
        <f aca="false">Исх_данные!$I$235</f>
        <v>11592750</v>
      </c>
      <c r="E25" s="12" t="n">
        <f aca="false">IFERROR(F25/C25/12,0)</f>
        <v>1070.00617872032</v>
      </c>
      <c r="F25" s="12" t="n">
        <f aca="false">Исх_данные!$I$236</f>
        <v>154080.889735726</v>
      </c>
      <c r="G25" s="12" t="n">
        <f aca="false">F25*Исх_данные!$E$17</f>
        <v>18489.7067682871</v>
      </c>
    </row>
    <row r="26" customFormat="false" ht="15" hidden="false" customHeight="false" outlineLevel="0" collapsed="false">
      <c r="B26" s="19" t="s">
        <v>344</v>
      </c>
      <c r="C26" s="61" t="n">
        <f aca="false">Исх_данные!$I$237</f>
        <v>10</v>
      </c>
      <c r="D26" s="12" t="n">
        <f aca="false">Исх_данные!$I$238</f>
        <v>7134000</v>
      </c>
      <c r="E26" s="12" t="n">
        <f aca="false">IFERROR(F26/C26/12,0)</f>
        <v>658.465340750964</v>
      </c>
      <c r="F26" s="12" t="n">
        <f aca="false">Исх_данные!$I$239</f>
        <v>79015.8408901156</v>
      </c>
      <c r="G26" s="12" t="n">
        <f aca="false">F26*Исх_данные!$E$17</f>
        <v>9481.90090681388</v>
      </c>
    </row>
    <row r="27" customFormat="false" ht="15" hidden="false" customHeight="false" outlineLevel="0" collapsed="false">
      <c r="B27" s="19" t="s">
        <v>345</v>
      </c>
      <c r="C27" s="61" t="n">
        <f aca="false">Исх_данные!$I$240</f>
        <v>8</v>
      </c>
      <c r="D27" s="12" t="n">
        <f aca="false">Исх_данные!$I$241</f>
        <v>8917500</v>
      </c>
      <c r="E27" s="12" t="n">
        <f aca="false">IFERROR(F27/C27/12,0)</f>
        <v>823.081675938705</v>
      </c>
      <c r="F27" s="12" t="n">
        <f aca="false">Исх_данные!$I$242</f>
        <v>79015.8408901156</v>
      </c>
      <c r="G27" s="12" t="n">
        <f aca="false">F27*Исх_данные!$E$17</f>
        <v>9481.90090681388</v>
      </c>
    </row>
    <row r="28" customFormat="false" ht="15" hidden="false" customHeight="false" outlineLevel="0" collapsed="false">
      <c r="B28" s="26" t="s">
        <v>172</v>
      </c>
      <c r="C28" s="66" t="n">
        <f aca="false">SUM(C16:C27)</f>
        <v>110</v>
      </c>
      <c r="F28" s="22" t="n">
        <f aca="false">SUM(F16:F27)</f>
        <v>1614557.01552136</v>
      </c>
      <c r="G28" s="22" t="n">
        <f aca="false">SUM(G16:G27)</f>
        <v>193746.841862564</v>
      </c>
    </row>
    <row r="29" customFormat="false" ht="15" hidden="false" customHeight="false" outlineLevel="0" collapsed="false">
      <c r="B29" s="10" t="s">
        <v>346</v>
      </c>
      <c r="F29" s="48" t="n">
        <f aca="false">F28+G28</f>
        <v>1808303.85738393</v>
      </c>
    </row>
    <row r="31" customFormat="false" ht="15" hidden="false" customHeight="false" outlineLevel="0" collapsed="false">
      <c r="B31" s="10" t="s">
        <v>347</v>
      </c>
      <c r="C31" s="60"/>
      <c r="D31" s="60"/>
      <c r="E31" s="60"/>
      <c r="F31" s="60"/>
      <c r="G31" s="60"/>
    </row>
    <row r="32" customFormat="false" ht="15" hidden="false" customHeight="false" outlineLevel="0" collapsed="false">
      <c r="B32" s="19" t="s">
        <v>348</v>
      </c>
      <c r="C32" s="61" t="n">
        <f aca="false">Исх_данные!$I$153</f>
        <v>1</v>
      </c>
      <c r="D32" s="12" t="n">
        <f aca="false">Исх_данные!$I$154</f>
        <v>35670000</v>
      </c>
      <c r="E32" s="12" t="n">
        <f aca="false">IFERROR(F32/C32/12,0)</f>
        <v>3292.32670375482</v>
      </c>
      <c r="F32" s="12" t="n">
        <f aca="false">Исх_данные!$I$155</f>
        <v>39507.9204450578</v>
      </c>
      <c r="G32" s="12" t="n">
        <f aca="false">F32*Исх_данные!$E$17</f>
        <v>4740.95045340694</v>
      </c>
    </row>
    <row r="33" customFormat="false" ht="15" hidden="false" customHeight="false" outlineLevel="0" collapsed="false">
      <c r="B33" s="19" t="s">
        <v>349</v>
      </c>
      <c r="C33" s="61" t="n">
        <f aca="false">Исх_данные!$I$156</f>
        <v>1</v>
      </c>
      <c r="D33" s="12" t="n">
        <f aca="false">Исх_данные!$I$157</f>
        <v>23780000</v>
      </c>
      <c r="E33" s="12" t="n">
        <f aca="false">IFERROR(F33/C33/12,0)</f>
        <v>2194.88446916988</v>
      </c>
      <c r="F33" s="12" t="n">
        <f aca="false">Исх_данные!$I$158</f>
        <v>26338.6136300386</v>
      </c>
      <c r="G33" s="12" t="n">
        <f aca="false">F33*Исх_данные!$E$17</f>
        <v>3160.63363560463</v>
      </c>
    </row>
    <row r="34" customFormat="false" ht="15" hidden="false" customHeight="false" outlineLevel="0" collapsed="false">
      <c r="B34" s="19" t="s">
        <v>350</v>
      </c>
      <c r="C34" s="61" t="n">
        <f aca="false">Исх_данные!$I$159</f>
        <v>3</v>
      </c>
      <c r="D34" s="12" t="n">
        <f aca="false">Исх_данные!$I$160</f>
        <v>8323000</v>
      </c>
      <c r="E34" s="12" t="n">
        <f aca="false">IFERROR(F34/C34/12,0)</f>
        <v>768.209564209458</v>
      </c>
      <c r="F34" s="12" t="n">
        <f aca="false">Исх_данные!$I$161</f>
        <v>27655.5443115405</v>
      </c>
      <c r="G34" s="12" t="n">
        <f aca="false">F34*Исх_данные!$E$17</f>
        <v>3318.66531738486</v>
      </c>
    </row>
    <row r="35" customFormat="false" ht="15" hidden="false" customHeight="false" outlineLevel="0" collapsed="false">
      <c r="B35" s="19" t="s">
        <v>351</v>
      </c>
      <c r="C35" s="61" t="n">
        <f aca="false">Исх_данные!$I$162</f>
        <v>1</v>
      </c>
      <c r="D35" s="12" t="n">
        <f aca="false">Исх_данные!$I$163</f>
        <v>14268000</v>
      </c>
      <c r="E35" s="12" t="n">
        <f aca="false">IFERROR(F35/C35/12,0)</f>
        <v>1316.93068150193</v>
      </c>
      <c r="F35" s="12" t="n">
        <f aca="false">Исх_данные!$I$164</f>
        <v>15803.1681780231</v>
      </c>
      <c r="G35" s="12" t="n">
        <f aca="false">F35*Исх_данные!$E$17</f>
        <v>1896.38018136278</v>
      </c>
    </row>
    <row r="36" customFormat="false" ht="15" hidden="false" customHeight="false" outlineLevel="0" collapsed="false">
      <c r="B36" s="19" t="s">
        <v>352</v>
      </c>
      <c r="C36" s="61" t="n">
        <f aca="false">Исх_данные!$I$165</f>
        <v>1</v>
      </c>
      <c r="D36" s="12" t="n">
        <f aca="false">Исх_данные!$I$166</f>
        <v>11890000</v>
      </c>
      <c r="E36" s="12" t="n">
        <f aca="false">IFERROR(F36/C36/12,0)</f>
        <v>1097.44223458494</v>
      </c>
      <c r="F36" s="12" t="n">
        <f aca="false">Исх_данные!$I$167</f>
        <v>13169.3068150193</v>
      </c>
      <c r="G36" s="12" t="n">
        <f aca="false">F36*Исх_данные!$E$17</f>
        <v>1580.31681780231</v>
      </c>
    </row>
    <row r="37" customFormat="false" ht="15" hidden="false" customHeight="false" outlineLevel="0" collapsed="false">
      <c r="B37" s="19" t="s">
        <v>353</v>
      </c>
      <c r="C37" s="61" t="n">
        <f aca="false">Исх_данные!$I$168</f>
        <v>1</v>
      </c>
      <c r="D37" s="12" t="n">
        <f aca="false">Исх_данные!$I$169</f>
        <v>8323000</v>
      </c>
      <c r="E37" s="12" t="n">
        <f aca="false">IFERROR(F37/C37/12,0)</f>
        <v>768.209564209458</v>
      </c>
      <c r="F37" s="12" t="n">
        <f aca="false">Исх_данные!$I$170</f>
        <v>9218.51477051349</v>
      </c>
      <c r="G37" s="12" t="n">
        <f aca="false">F37*Исх_данные!$E$17</f>
        <v>1106.22177246162</v>
      </c>
    </row>
    <row r="38" customFormat="false" ht="15" hidden="false" customHeight="false" outlineLevel="0" collapsed="false">
      <c r="B38" s="19" t="s">
        <v>354</v>
      </c>
      <c r="C38" s="61" t="n">
        <f aca="false">Исх_данные!$I$171</f>
        <v>1</v>
      </c>
      <c r="D38" s="12" t="n">
        <f aca="false">Исх_данные!$I$172</f>
        <v>14268000</v>
      </c>
      <c r="E38" s="12" t="n">
        <f aca="false">IFERROR(F38/C38/12,0)</f>
        <v>1316.93068150193</v>
      </c>
      <c r="F38" s="12" t="n">
        <f aca="false">Исх_данные!$I$173</f>
        <v>15803.1681780231</v>
      </c>
      <c r="G38" s="12" t="n">
        <f aca="false">F38*Исх_данные!$E$17</f>
        <v>1896.38018136278</v>
      </c>
    </row>
    <row r="39" customFormat="false" ht="15" hidden="false" customHeight="false" outlineLevel="0" collapsed="false">
      <c r="B39" s="19" t="s">
        <v>355</v>
      </c>
      <c r="C39" s="61" t="n">
        <f aca="false">Исх_данные!$I$174</f>
        <v>1</v>
      </c>
      <c r="D39" s="12" t="n">
        <f aca="false">Исх_данные!$I$175</f>
        <v>9512000</v>
      </c>
      <c r="E39" s="12" t="n">
        <f aca="false">IFERROR(F39/C39/12,0)</f>
        <v>877.953787667952</v>
      </c>
      <c r="F39" s="12" t="n">
        <f aca="false">Исх_данные!$I$176</f>
        <v>10535.4454520154</v>
      </c>
      <c r="G39" s="12" t="n">
        <f aca="false">F39*Исх_данные!$E$17</f>
        <v>1264.25345424185</v>
      </c>
    </row>
    <row r="40" customFormat="false" ht="15" hidden="false" customHeight="false" outlineLevel="0" collapsed="false">
      <c r="B40" s="19" t="s">
        <v>356</v>
      </c>
      <c r="C40" s="61" t="n">
        <f aca="false">Исх_данные!$I$177</f>
        <v>1</v>
      </c>
      <c r="D40" s="12" t="n">
        <f aca="false">Исх_данные!$I$178</f>
        <v>9512000</v>
      </c>
      <c r="E40" s="12" t="n">
        <f aca="false">IFERROR(F40/C40/12,0)</f>
        <v>877.953787667952</v>
      </c>
      <c r="F40" s="12" t="n">
        <f aca="false">Исх_данные!$I$179</f>
        <v>10535.4454520154</v>
      </c>
      <c r="G40" s="12" t="n">
        <f aca="false">F40*Исх_данные!$E$17</f>
        <v>1264.25345424185</v>
      </c>
    </row>
    <row r="41" customFormat="false" ht="15" hidden="false" customHeight="false" outlineLevel="0" collapsed="false">
      <c r="B41" s="19" t="s">
        <v>357</v>
      </c>
      <c r="C41" s="61" t="n">
        <f aca="false">Исх_данные!$I$180</f>
        <v>1</v>
      </c>
      <c r="D41" s="12" t="n">
        <f aca="false">Исх_данные!$I$181</f>
        <v>14268000</v>
      </c>
      <c r="E41" s="12" t="n">
        <f aca="false">IFERROR(F41/C41/12,0)</f>
        <v>1316.93068150193</v>
      </c>
      <c r="F41" s="12" t="n">
        <f aca="false">Исх_данные!$I$182</f>
        <v>15803.1681780231</v>
      </c>
      <c r="G41" s="12" t="n">
        <f aca="false">F41*Исх_данные!$E$17</f>
        <v>1896.38018136278</v>
      </c>
    </row>
    <row r="42" customFormat="false" ht="15" hidden="false" customHeight="false" outlineLevel="0" collapsed="false">
      <c r="B42" s="19" t="s">
        <v>358</v>
      </c>
      <c r="C42" s="61" t="n">
        <f aca="false">Исх_данные!$I$183</f>
        <v>1</v>
      </c>
      <c r="D42" s="12" t="n">
        <f aca="false">Исх_данные!$I$184</f>
        <v>9512000</v>
      </c>
      <c r="E42" s="12" t="n">
        <f aca="false">IFERROR(F42/C42/12,0)</f>
        <v>877.953787667952</v>
      </c>
      <c r="F42" s="12" t="n">
        <f aca="false">Исх_данные!$I$185</f>
        <v>10535.4454520154</v>
      </c>
      <c r="G42" s="12" t="n">
        <f aca="false">F42*Исх_данные!$E$17</f>
        <v>1264.25345424185</v>
      </c>
    </row>
    <row r="43" customFormat="false" ht="15" hidden="false" customHeight="false" outlineLevel="0" collapsed="false">
      <c r="B43" s="19" t="s">
        <v>359</v>
      </c>
      <c r="C43" s="61" t="n">
        <f aca="false">Исх_данные!$I$186</f>
        <v>1</v>
      </c>
      <c r="D43" s="12" t="n">
        <f aca="false">Исх_данные!$I$187</f>
        <v>9512000</v>
      </c>
      <c r="E43" s="12" t="n">
        <f aca="false">IFERROR(F43/C43/12,0)</f>
        <v>877.953787667952</v>
      </c>
      <c r="F43" s="12" t="n">
        <f aca="false">Исх_данные!$I$188</f>
        <v>10535.4454520154</v>
      </c>
      <c r="G43" s="12" t="n">
        <f aca="false">F43*Исх_данные!$E$17</f>
        <v>1264.25345424185</v>
      </c>
    </row>
    <row r="44" customFormat="false" ht="15" hidden="false" customHeight="false" outlineLevel="0" collapsed="false">
      <c r="B44" s="19" t="s">
        <v>360</v>
      </c>
      <c r="C44" s="61" t="n">
        <f aca="false">Исх_данные!$I$189</f>
        <v>1</v>
      </c>
      <c r="D44" s="12" t="n">
        <f aca="false">Исх_данные!$I$190</f>
        <v>17835000</v>
      </c>
      <c r="E44" s="12" t="n">
        <f aca="false">IFERROR(F44/C44/12,0)</f>
        <v>1646.16335187741</v>
      </c>
      <c r="F44" s="12" t="n">
        <f aca="false">Исх_данные!$I$191</f>
        <v>19753.9602225289</v>
      </c>
      <c r="G44" s="12" t="n">
        <f aca="false">F44*Исх_данные!$E$17</f>
        <v>2370.47522670347</v>
      </c>
    </row>
    <row r="45" customFormat="false" ht="15" hidden="false" customHeight="false" outlineLevel="0" collapsed="false">
      <c r="B45" s="19" t="s">
        <v>361</v>
      </c>
      <c r="C45" s="61" t="n">
        <f aca="false">Исх_данные!$I$192</f>
        <v>2</v>
      </c>
      <c r="D45" s="12" t="n">
        <f aca="false">Исх_данные!$I$193</f>
        <v>14268000</v>
      </c>
      <c r="E45" s="12" t="n">
        <f aca="false">IFERROR(F45/C45/12,0)</f>
        <v>1316.93068150193</v>
      </c>
      <c r="F45" s="12" t="n">
        <f aca="false">Исх_данные!$I$194</f>
        <v>31606.3363560463</v>
      </c>
      <c r="G45" s="12" t="n">
        <f aca="false">F45*Исх_данные!$E$17</f>
        <v>3792.76036272555</v>
      </c>
    </row>
    <row r="46" customFormat="false" ht="15" hidden="false" customHeight="false" outlineLevel="0" collapsed="false">
      <c r="B46" s="19" t="s">
        <v>362</v>
      </c>
      <c r="C46" s="61" t="n">
        <f aca="false">Исх_данные!$I$195</f>
        <v>1</v>
      </c>
      <c r="D46" s="12" t="n">
        <f aca="false">Исх_данные!$I$196</f>
        <v>14268000</v>
      </c>
      <c r="E46" s="12" t="n">
        <f aca="false">IFERROR(F46/C46/12,0)</f>
        <v>1316.93068150193</v>
      </c>
      <c r="F46" s="12" t="n">
        <f aca="false">Исх_данные!$I$197</f>
        <v>15803.1681780231</v>
      </c>
      <c r="G46" s="12" t="n">
        <f aca="false">F46*Исх_данные!$E$17</f>
        <v>1896.38018136278</v>
      </c>
    </row>
    <row r="47" customFormat="false" ht="15" hidden="false" customHeight="false" outlineLevel="0" collapsed="false">
      <c r="B47" s="19" t="s">
        <v>363</v>
      </c>
      <c r="C47" s="61" t="n">
        <f aca="false">Исх_данные!$I$198</f>
        <v>2</v>
      </c>
      <c r="D47" s="12" t="n">
        <f aca="false">Исх_данные!$I$199</f>
        <v>7134000</v>
      </c>
      <c r="E47" s="12" t="n">
        <f aca="false">IFERROR(F47/C47/12,0)</f>
        <v>658.465340750964</v>
      </c>
      <c r="F47" s="12" t="n">
        <f aca="false">Исх_данные!$I$200</f>
        <v>15803.1681780231</v>
      </c>
      <c r="G47" s="12" t="n">
        <f aca="false">F47*Исх_данные!$E$17</f>
        <v>1896.38018136278</v>
      </c>
    </row>
    <row r="48" customFormat="false" ht="15" hidden="false" customHeight="false" outlineLevel="0" collapsed="false">
      <c r="B48" s="19" t="s">
        <v>364</v>
      </c>
      <c r="C48" s="61" t="n">
        <f aca="false">Исх_данные!$I$201</f>
        <v>5</v>
      </c>
      <c r="D48" s="12" t="n">
        <f aca="false">Исх_данные!$I$202</f>
        <v>7134000</v>
      </c>
      <c r="E48" s="12" t="n">
        <f aca="false">IFERROR(F48/C48/12,0)</f>
        <v>658.465340750964</v>
      </c>
      <c r="F48" s="12" t="n">
        <f aca="false">Исх_данные!$I$203</f>
        <v>39507.9204450578</v>
      </c>
      <c r="G48" s="12" t="n">
        <f aca="false">F48*Исх_данные!$E$17</f>
        <v>4740.95045340694</v>
      </c>
    </row>
    <row r="49" customFormat="false" ht="15" hidden="false" customHeight="false" outlineLevel="0" collapsed="false">
      <c r="B49" s="19" t="s">
        <v>365</v>
      </c>
      <c r="C49" s="61" t="n">
        <f aca="false">Исх_данные!$I$204</f>
        <v>3</v>
      </c>
      <c r="D49" s="12" t="n">
        <f aca="false">Исх_данные!$I$205</f>
        <v>7134000</v>
      </c>
      <c r="E49" s="12" t="n">
        <f aca="false">IFERROR(F49/C49/12,0)</f>
        <v>658.465340750964</v>
      </c>
      <c r="F49" s="12" t="n">
        <f aca="false">Исх_данные!$I$206</f>
        <v>23704.7522670347</v>
      </c>
      <c r="G49" s="12" t="n">
        <f aca="false">F49*Исх_данные!$E$17</f>
        <v>2844.57027204416</v>
      </c>
    </row>
    <row r="50" customFormat="false" ht="15" hidden="false" customHeight="false" outlineLevel="0" collapsed="false">
      <c r="B50" s="26" t="s">
        <v>172</v>
      </c>
      <c r="C50" s="66" t="n">
        <f aca="false">SUM(C32:C49)</f>
        <v>28</v>
      </c>
      <c r="F50" s="22" t="n">
        <f aca="false">SUM(F32:F49)</f>
        <v>351620.491961015</v>
      </c>
      <c r="G50" s="22" t="n">
        <f aca="false">SUM(G32:G49)</f>
        <v>42194.4590353218</v>
      </c>
    </row>
    <row r="51" customFormat="false" ht="15" hidden="false" customHeight="false" outlineLevel="0" collapsed="false">
      <c r="B51" s="10" t="s">
        <v>346</v>
      </c>
      <c r="F51" s="48" t="n">
        <f aca="false">F50+G50</f>
        <v>393814.950996336</v>
      </c>
    </row>
    <row r="53" customFormat="false" ht="15" hidden="false" customHeight="false" outlineLevel="0" collapsed="false">
      <c r="B53" s="14" t="s">
        <v>366</v>
      </c>
      <c r="C53" s="67" t="n">
        <f aca="false">C28+C50</f>
        <v>138</v>
      </c>
      <c r="F53" s="15" t="n">
        <f aca="false">F29+F51</f>
        <v>2202118.80838026</v>
      </c>
    </row>
    <row r="54" customFormat="false" ht="15" hidden="false" customHeight="false" outlineLevel="0" collapsed="false">
      <c r="B54" s="3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1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368</v>
      </c>
      <c r="K2" s="51" t="s">
        <v>369</v>
      </c>
    </row>
    <row r="4" customFormat="false" ht="30" hidden="false" customHeight="true" outlineLevel="0" collapsed="false">
      <c r="B4" s="17" t="s">
        <v>42</v>
      </c>
      <c r="C4" s="18" t="s">
        <v>370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0" t="s">
        <v>371</v>
      </c>
      <c r="C6" s="60"/>
      <c r="D6" s="48" t="n">
        <f aca="false">SUM(D7:D11)</f>
        <v>354260.872426871</v>
      </c>
      <c r="E6" s="48" t="n">
        <f aca="false">SUM(E7:E11)</f>
        <v>741803.025124145</v>
      </c>
      <c r="F6" s="48" t="n">
        <f aca="false">SUM(F7:F11)</f>
        <v>736166.572957177</v>
      </c>
      <c r="G6" s="48" t="n">
        <f aca="false">SUM(G7:G11)</f>
        <v>730661.189531814</v>
      </c>
      <c r="H6" s="48" t="n">
        <f aca="false">SUM(H7:H11)</f>
        <v>725269.654544425</v>
      </c>
      <c r="I6" s="48" t="n">
        <f aca="false">SUM(I7:I11)</f>
        <v>719992.31514667</v>
      </c>
      <c r="J6" s="48" t="n">
        <f aca="false">SUM(J7:J11)</f>
        <v>714831.683641521</v>
      </c>
      <c r="K6" s="48" t="n">
        <f aca="false">SUM(K7:K11)</f>
        <v>4722985.31337262</v>
      </c>
    </row>
    <row r="7" customFormat="false" ht="15" hidden="false" customHeight="false" outlineLevel="0" collapsed="false">
      <c r="B7" s="19" t="s">
        <v>372</v>
      </c>
      <c r="C7" s="20" t="s">
        <v>373</v>
      </c>
      <c r="D7" s="12" t="n">
        <f aca="false">CostSold!D34</f>
        <v>131837.118272321</v>
      </c>
      <c r="E7" s="12" t="n">
        <f aca="false">CostSold!E34</f>
        <v>515884.375848214</v>
      </c>
      <c r="F7" s="12" t="n">
        <f aca="false">CostSold!F34</f>
        <v>505302.132241071</v>
      </c>
      <c r="G7" s="12" t="n">
        <f aca="false">CostSold!G34</f>
        <v>494719.888633929</v>
      </c>
      <c r="H7" s="12" t="n">
        <f aca="false">CostSold!H34</f>
        <v>484137.645026786</v>
      </c>
      <c r="I7" s="12" t="n">
        <f aca="false">CostSold!I34</f>
        <v>473555.401419643</v>
      </c>
      <c r="J7" s="12" t="n">
        <f aca="false">CostSold!J34</f>
        <v>462973.1578125</v>
      </c>
      <c r="K7" s="12" t="n">
        <f aca="false">SUM(D7:J7)</f>
        <v>3068409.71925446</v>
      </c>
    </row>
    <row r="8" customFormat="false" ht="15" hidden="false" customHeight="false" outlineLevel="0" collapsed="false">
      <c r="B8" s="19" t="s">
        <v>374</v>
      </c>
      <c r="C8" s="20"/>
      <c r="D8" s="12" t="n">
        <f aca="false">CostSold!D35</f>
        <v>0</v>
      </c>
      <c r="E8" s="12" t="n">
        <f aca="false">CostSold!E35</f>
        <v>0</v>
      </c>
      <c r="F8" s="12" t="n">
        <f aca="false">CostSold!F35</f>
        <v>0</v>
      </c>
      <c r="G8" s="12" t="n">
        <f aca="false">CostSold!G35</f>
        <v>0</v>
      </c>
      <c r="H8" s="12" t="n">
        <f aca="false">CostSold!H35</f>
        <v>0</v>
      </c>
      <c r="I8" s="12" t="n">
        <f aca="false">CostSold!I35</f>
        <v>0</v>
      </c>
      <c r="J8" s="12" t="n">
        <f aca="false">CostSold!J35</f>
        <v>0</v>
      </c>
      <c r="K8" s="12" t="n">
        <f aca="false">SUM(D8:J8)</f>
        <v>0</v>
      </c>
    </row>
    <row r="9" customFormat="false" ht="15" hidden="false" customHeight="false" outlineLevel="0" collapsed="false">
      <c r="B9" s="19" t="s">
        <v>375</v>
      </c>
      <c r="C9" s="20"/>
      <c r="D9" s="12" t="n">
        <f aca="false">CostSold!D36</f>
        <v>0</v>
      </c>
      <c r="E9" s="12" t="n">
        <f aca="false">CostSold!E36</f>
        <v>0</v>
      </c>
      <c r="F9" s="12" t="n">
        <f aca="false">CostSold!F36</f>
        <v>0</v>
      </c>
      <c r="G9" s="12" t="n">
        <f aca="false">CostSold!G36</f>
        <v>0</v>
      </c>
      <c r="H9" s="12" t="n">
        <f aca="false">CostSold!H36</f>
        <v>0</v>
      </c>
      <c r="I9" s="12" t="n">
        <f aca="false">CostSold!I36</f>
        <v>0</v>
      </c>
      <c r="J9" s="12" t="n">
        <f aca="false">CostSold!J36</f>
        <v>0</v>
      </c>
      <c r="K9" s="12" t="n">
        <f aca="false">SUM(D9:J9)</f>
        <v>0</v>
      </c>
    </row>
    <row r="10" customFormat="false" ht="15" hidden="false" customHeight="false" outlineLevel="0" collapsed="false">
      <c r="B10" s="19" t="s">
        <v>376</v>
      </c>
      <c r="C10" s="20"/>
      <c r="D10" s="12" t="n">
        <f aca="false">CostSold!D19</f>
        <v>0</v>
      </c>
      <c r="E10" s="12" t="n">
        <f aca="false">CostSold!E19</f>
        <v>0</v>
      </c>
      <c r="F10" s="12" t="n">
        <f aca="false">CostSold!F19</f>
        <v>0</v>
      </c>
      <c r="G10" s="12" t="n">
        <f aca="false">CostSold!G19</f>
        <v>0</v>
      </c>
      <c r="H10" s="12" t="n">
        <f aca="false">CostSold!H19</f>
        <v>0</v>
      </c>
      <c r="I10" s="12" t="n">
        <f aca="false">CostSold!I19</f>
        <v>0</v>
      </c>
      <c r="J10" s="12" t="n">
        <f aca="false">CostSold!J19</f>
        <v>0</v>
      </c>
      <c r="K10" s="12" t="n">
        <f aca="false">SUM(D10:J10)</f>
        <v>0</v>
      </c>
    </row>
    <row r="11" customFormat="false" ht="23.85" hidden="false" customHeight="false" outlineLevel="0" collapsed="false">
      <c r="B11" s="19" t="s">
        <v>377</v>
      </c>
      <c r="C11" s="20" t="s">
        <v>378</v>
      </c>
      <c r="D11" s="12" t="n">
        <f aca="false">Исх_данные!$F$77+Исх_данные!$F$85-(Исх_данные!$F$155+Исх_данные!$F$158+Исх_данные!$F$161+Исх_данные!$F$164+Исх_данные!$F$167+Исх_данные!$F$170+Исх_данные!$F$173+Исх_данные!$F$176+Исх_данные!$F$179+Исх_данные!$F$182+Исх_данные!$F$185+Исх_данные!$F$188+Исх_данные!$F$191+Исх_данные!$F$194+Исх_данные!$F$197+Исх_данные!$F$200+Исх_данные!$F$203+Исх_данные!$F$206)</f>
        <v>222423.754154549</v>
      </c>
      <c r="E11" s="12" t="n">
        <f aca="false">Исх_данные!$G$77+Исх_данные!$G$85-(Исх_данные!$G$155+Исх_данные!$G$158+Исх_данные!$G$161+Исх_данные!$G$164+Исх_данные!$G$167+Исх_данные!$G$170+Исх_данные!$G$173+Исх_данные!$G$176+Исх_данные!$G$179+Исх_данные!$G$182+Исх_данные!$G$185+Исх_данные!$G$188+Исх_данные!$G$191+Исх_данные!$G$194+Исх_данные!$G$197+Исх_данные!$G$200+Исх_данные!$G$203+Исх_данные!$G$206)</f>
        <v>225918.649275931</v>
      </c>
      <c r="F11" s="12" t="n">
        <f aca="false">Исх_данные!$H$77+Исх_данные!$H$85-(Исх_данные!$H$155+Исх_данные!$H$158+Исх_данные!$H$161+Исх_данные!$H$164+Исх_данные!$H$167+Исх_данные!$H$170+Исх_данные!$H$173+Исх_данные!$H$176+Исх_данные!$H$179+Исх_данные!$H$182+Исх_данные!$H$185+Исх_данные!$H$188+Исх_данные!$H$191+Исх_данные!$H$194+Исх_данные!$H$197+Исх_данные!$H$200+Исх_данные!$H$203+Исх_данные!$H$206)</f>
        <v>230864.440716106</v>
      </c>
      <c r="G11" s="12" t="n">
        <f aca="false">Исх_данные!$I$77+Исх_данные!$I$85-(Исх_данные!$I$155+Исх_данные!$I$158+Исх_данные!$I$161+Исх_данные!$I$164+Исх_данные!$I$167+Исх_данные!$I$170+Исх_данные!$I$173+Исх_данные!$I$176+Исх_данные!$I$179+Исх_данные!$I$182+Исх_данные!$I$185+Исх_данные!$I$188+Исх_данные!$I$191+Исх_данные!$I$194+Исх_данные!$I$197+Исх_данные!$I$200+Исх_данные!$I$203+Исх_данные!$I$206)</f>
        <v>235941.300897885</v>
      </c>
      <c r="H11" s="12" t="n">
        <f aca="false">Исх_данные!$J$77+Исх_данные!$J$85-(Исх_данные!$J$155+Исх_данные!$J$158+Исх_данные!$J$161+Исх_данные!$J$164+Исх_данные!$J$167+Исх_данные!$J$170+Исх_данные!$J$173+Исх_данные!$J$176+Исх_данные!$J$179+Исх_данные!$J$182+Исх_данные!$J$185+Исх_данные!$J$188+Исх_данные!$J$191+Исх_данные!$J$194+Исх_данные!$J$197+Исх_данные!$J$200+Исх_данные!$J$203+Исх_данные!$J$206)</f>
        <v>241132.009517639</v>
      </c>
      <c r="I11" s="12" t="n">
        <f aca="false">Исх_данные!$K$77+Исх_данные!$K$85-(Исх_данные!$K$155+Исх_данные!$K$158+Исх_данные!$K$161+Исх_данные!$K$164+Исх_данные!$K$167+Исх_данные!$K$170+Исх_данные!$K$173+Исх_данные!$K$176+Исх_данные!$K$179+Исх_данные!$K$182+Исх_данные!$K$185+Исх_данные!$K$188+Исх_данные!$K$191+Исх_данные!$K$194+Исх_данные!$K$197+Исх_данные!$K$200+Исх_данные!$K$203+Исх_данные!$K$206)</f>
        <v>246436.913727027</v>
      </c>
      <c r="J11" s="12" t="n">
        <f aca="false">Исх_данные!$L$77+Исх_данные!$L$85-(Исх_данные!$L$155+Исх_данные!$L$158+Исх_данные!$L$161+Исх_данные!$L$164+Исх_данные!$L$167+Исх_данные!$L$170+Исх_данные!$L$173+Исх_данные!$L$176+Исх_данные!$L$179+Исх_данные!$L$182+Исх_данные!$L$185+Исх_данные!$L$188+Исх_данные!$L$191+Исх_данные!$L$194+Исх_данные!$L$197+Исх_данные!$L$200+Исх_данные!$L$203+Исх_данные!$L$206)</f>
        <v>251858.525829021</v>
      </c>
      <c r="K11" s="12" t="n">
        <f aca="false">SUM(D11:J11)</f>
        <v>1654575.59411816</v>
      </c>
    </row>
    <row r="13" customFormat="false" ht="15" hidden="false" customHeight="false" outlineLevel="0" collapsed="false">
      <c r="B13" s="10" t="s">
        <v>379</v>
      </c>
      <c r="C13" s="60"/>
      <c r="D13" s="48" t="n">
        <f aca="false">D14+D15</f>
        <v>9625.47122569705</v>
      </c>
      <c r="E13" s="48" t="n">
        <f aca="false">E14+E15</f>
        <v>2710960.61014048</v>
      </c>
      <c r="F13" s="48" t="n">
        <f aca="false">F14+F15</f>
        <v>4100997.14494886</v>
      </c>
      <c r="G13" s="48" t="n">
        <f aca="false">G14+G15</f>
        <v>5247832.29073644</v>
      </c>
      <c r="H13" s="48" t="n">
        <f aca="false">H14+H15</f>
        <v>5429451.98460088</v>
      </c>
      <c r="I13" s="48" t="n">
        <f aca="false">I14+I15</f>
        <v>5587437.81092003</v>
      </c>
      <c r="J13" s="48" t="n">
        <f aca="false">J14+J15</f>
        <v>5748675.07884806</v>
      </c>
      <c r="K13" s="48" t="n">
        <f aca="false">K14+K15</f>
        <v>28834980.3914204</v>
      </c>
    </row>
    <row r="14" customFormat="false" ht="15" hidden="false" customHeight="false" outlineLevel="0" collapsed="false">
      <c r="B14" s="19" t="s">
        <v>380</v>
      </c>
      <c r="C14" s="20" t="s">
        <v>381</v>
      </c>
      <c r="D14" s="12" t="n">
        <f aca="false">ProfLoss!D21</f>
        <v>9625.47122569705</v>
      </c>
      <c r="E14" s="12" t="n">
        <f aca="false">ProfLoss!E21</f>
        <v>2710960.61014048</v>
      </c>
      <c r="F14" s="12" t="n">
        <f aca="false">ProfLoss!F21</f>
        <v>4100997.14494886</v>
      </c>
      <c r="G14" s="12" t="n">
        <f aca="false">ProfLoss!G21</f>
        <v>5247832.29073644</v>
      </c>
      <c r="H14" s="12" t="n">
        <f aca="false">ProfLoss!H21</f>
        <v>5429451.98460088</v>
      </c>
      <c r="I14" s="12" t="n">
        <f aca="false">ProfLoss!I21</f>
        <v>5587437.81092003</v>
      </c>
      <c r="J14" s="12" t="n">
        <f aca="false">ProfLoss!J21</f>
        <v>5748675.07884806</v>
      </c>
      <c r="K14" s="12" t="n">
        <f aca="false">SUM(D14:J14)</f>
        <v>28834980.3914204</v>
      </c>
    </row>
    <row r="15" customFormat="false" ht="23.85" hidden="false" customHeight="false" outlineLevel="0" collapsed="false">
      <c r="B15" s="19" t="s">
        <v>382</v>
      </c>
      <c r="C15" s="20" t="s">
        <v>378</v>
      </c>
      <c r="D15" s="12" t="n">
        <f aca="false">MAX(0,D22)</f>
        <v>0</v>
      </c>
      <c r="E15" s="12" t="n">
        <f aca="false">MAX(0,E22)</f>
        <v>0</v>
      </c>
      <c r="F15" s="12" t="n">
        <f aca="false">MAX(0,F22)</f>
        <v>0</v>
      </c>
      <c r="G15" s="12" t="n">
        <f aca="false">MAX(0,G22)</f>
        <v>0</v>
      </c>
      <c r="H15" s="12" t="n">
        <f aca="false">MAX(0,H22)</f>
        <v>0</v>
      </c>
      <c r="I15" s="12" t="n">
        <f aca="false">MAX(0,I22)</f>
        <v>0</v>
      </c>
      <c r="J15" s="12" t="n">
        <f aca="false">MAX(0,J22)</f>
        <v>0</v>
      </c>
      <c r="K15" s="12" t="n">
        <f aca="false">SUM(D15:J15)</f>
        <v>0</v>
      </c>
    </row>
    <row r="16" customFormat="false" ht="15" hidden="false" customHeight="false" outlineLevel="0" collapsed="false">
      <c r="B16" s="38" t="s">
        <v>383</v>
      </c>
      <c r="C16" s="63"/>
      <c r="D16" s="15" t="n">
        <f aca="false">D6+D13</f>
        <v>363886.343652568</v>
      </c>
      <c r="E16" s="15" t="n">
        <f aca="false">E6+E13</f>
        <v>3452763.63526462</v>
      </c>
      <c r="F16" s="15" t="n">
        <f aca="false">F6+F13</f>
        <v>4837163.71790604</v>
      </c>
      <c r="G16" s="15" t="n">
        <f aca="false">G6+G13</f>
        <v>5978493.48026825</v>
      </c>
      <c r="H16" s="15" t="n">
        <f aca="false">H6+H13</f>
        <v>6154721.63914531</v>
      </c>
      <c r="I16" s="15" t="n">
        <f aca="false">I6+I13</f>
        <v>6307430.1260667</v>
      </c>
      <c r="J16" s="15" t="n">
        <f aca="false">J6+J13</f>
        <v>6463506.76248958</v>
      </c>
      <c r="K16" s="15" t="n">
        <f aca="false">SUM(D16:J16)</f>
        <v>33557965.7047931</v>
      </c>
    </row>
    <row r="18" customFormat="false" ht="15" hidden="false" customHeight="false" outlineLevel="0" collapsed="false">
      <c r="B18" s="33" t="s">
        <v>384</v>
      </c>
    </row>
    <row r="19" customFormat="false" ht="15" hidden="false" customHeight="false" outlineLevel="0" collapsed="false">
      <c r="B19" s="19" t="s">
        <v>385</v>
      </c>
      <c r="C19" s="20"/>
      <c r="D19" s="12" t="n">
        <f aca="false">Исх_данные!$F$93</f>
        <v>0</v>
      </c>
      <c r="E19" s="12" t="n">
        <f aca="false">Исх_данные!$G$93</f>
        <v>0</v>
      </c>
      <c r="F19" s="12" t="n">
        <f aca="false">Исх_данные!$H$93</f>
        <v>0</v>
      </c>
      <c r="G19" s="12" t="n">
        <f aca="false">Исх_данные!$I$93</f>
        <v>0</v>
      </c>
      <c r="H19" s="12" t="n">
        <f aca="false">Исх_данные!$J$93</f>
        <v>0</v>
      </c>
      <c r="I19" s="12" t="n">
        <f aca="false">Исх_данные!$K$93</f>
        <v>0</v>
      </c>
      <c r="J19" s="12" t="n">
        <f aca="false">Исх_данные!$L$93</f>
        <v>0</v>
      </c>
      <c r="K19" s="12" t="n">
        <f aca="false">SUM(D19:J19)</f>
        <v>0</v>
      </c>
    </row>
    <row r="20" customFormat="false" ht="15" hidden="false" customHeight="false" outlineLevel="0" collapsed="false">
      <c r="B20" s="19" t="s">
        <v>386</v>
      </c>
      <c r="C20" s="20"/>
      <c r="D20" s="12" t="n">
        <f aca="false">Исх_данные!$F$94</f>
        <v>867145.917641968</v>
      </c>
      <c r="E20" s="12" t="n">
        <f aca="false">Исх_данные!$G$94</f>
        <v>2710683.35828531</v>
      </c>
      <c r="F20" s="12" t="n">
        <f aca="false">Исх_данные!$H$94</f>
        <v>3505443.87401274</v>
      </c>
      <c r="G20" s="12" t="n">
        <f aca="false">Исх_данные!$I$94</f>
        <v>4146349.51599736</v>
      </c>
      <c r="H20" s="12" t="n">
        <f aca="false">Исх_данные!$J$94</f>
        <v>4237863.1505301</v>
      </c>
      <c r="I20" s="12" t="n">
        <f aca="false">Исх_данные!$K$94</f>
        <v>4331096.13984176</v>
      </c>
      <c r="J20" s="12" t="n">
        <f aca="false">Исх_данные!$L$94</f>
        <v>4426380.25491828</v>
      </c>
      <c r="K20" s="12" t="n">
        <f aca="false">SUM(D20:J20)</f>
        <v>24224962.2112275</v>
      </c>
    </row>
    <row r="21" customFormat="false" ht="15" hidden="false" customHeight="false" outlineLevel="0" collapsed="false">
      <c r="B21" s="19" t="s">
        <v>387</v>
      </c>
      <c r="C21" s="20"/>
      <c r="D21" s="12" t="n">
        <f aca="false">Исх_данные!$F$95+Исх_данные!$E$95</f>
        <v>6491364.67039286</v>
      </c>
      <c r="E21" s="12" t="n">
        <f aca="false">Исх_данные!$G$95</f>
        <v>64751.7672857143</v>
      </c>
      <c r="F21" s="12" t="n">
        <f aca="false">Исх_данные!$H$95</f>
        <v>64751.7672857143</v>
      </c>
      <c r="G21" s="12" t="n">
        <f aca="false">Исх_данные!$I$95</f>
        <v>64751.7672857143</v>
      </c>
      <c r="H21" s="12" t="n">
        <f aca="false">Исх_данные!$J$95</f>
        <v>64751.7672857143</v>
      </c>
      <c r="I21" s="12" t="n">
        <f aca="false">Исх_данные!$K$95</f>
        <v>64751.7672857143</v>
      </c>
      <c r="J21" s="12" t="n">
        <f aca="false">Исх_данные!$L$95</f>
        <v>64751.7672857143</v>
      </c>
      <c r="K21" s="12" t="n">
        <f aca="false">SUM(D21:J21)</f>
        <v>6879875.27410714</v>
      </c>
    </row>
    <row r="22" customFormat="false" ht="15" hidden="false" customHeight="false" outlineLevel="0" collapsed="false">
      <c r="B22" s="62" t="s">
        <v>388</v>
      </c>
      <c r="C22" s="20"/>
      <c r="D22" s="22" t="n">
        <f aca="false">D19-D20-D21</f>
        <v>-7358510.58803482</v>
      </c>
      <c r="E22" s="22" t="n">
        <f aca="false">E19-E20-E21</f>
        <v>-2775435.12557102</v>
      </c>
      <c r="F22" s="22" t="n">
        <f aca="false">F19-F20-F21</f>
        <v>-3570195.64129845</v>
      </c>
      <c r="G22" s="22" t="n">
        <f aca="false">G19-G20-G21</f>
        <v>-4211101.28328307</v>
      </c>
      <c r="H22" s="22" t="n">
        <f aca="false">H19-H20-H21</f>
        <v>-4302614.91781581</v>
      </c>
      <c r="I22" s="22" t="n">
        <f aca="false">I19-I20-I21</f>
        <v>-4395847.90712747</v>
      </c>
      <c r="J22" s="22" t="n">
        <f aca="false">J19-J20-J21</f>
        <v>-4491132.02220399</v>
      </c>
      <c r="K22" s="22" t="n">
        <f aca="false">SUM(D22:J22)</f>
        <v>-31104837.4853347</v>
      </c>
    </row>
    <row r="24" customFormat="false" ht="15" hidden="false" customHeight="false" outlineLevel="0" collapsed="false">
      <c r="B24" s="33" t="s">
        <v>389</v>
      </c>
    </row>
    <row r="25" customFormat="false" ht="15" hidden="false" customHeight="false" outlineLevel="0" collapsed="false">
      <c r="B25" s="19" t="s">
        <v>390</v>
      </c>
      <c r="C25" s="20"/>
      <c r="D25" s="12" t="n">
        <f aca="false">Исх_данные!$F$62</f>
        <v>-547741.791044698</v>
      </c>
      <c r="E25" s="12" t="n">
        <f aca="false">Исх_данные!$G$62</f>
        <v>17002140.823224</v>
      </c>
      <c r="F25" s="12" t="n">
        <f aca="false">Исх_данные!$H$62</f>
        <v>26449035.5787465</v>
      </c>
      <c r="G25" s="12" t="n">
        <f aca="false">Исх_данные!$I$62</f>
        <v>34314317.5696241</v>
      </c>
      <c r="H25" s="12" t="n">
        <f aca="false">Исх_данные!$J$62</f>
        <v>35744829.8810141</v>
      </c>
      <c r="I25" s="12" t="n">
        <f aca="false">Исх_данные!$K$62</f>
        <v>37018913.0453617</v>
      </c>
      <c r="J25" s="12" t="n">
        <f aca="false">Исх_данные!$L$62</f>
        <v>38258050.056058</v>
      </c>
      <c r="K25" s="12" t="n">
        <f aca="false">SUM(D25:J25)</f>
        <v>188239545.162984</v>
      </c>
    </row>
    <row r="26" customFormat="false" ht="23.85" hidden="false" customHeight="false" outlineLevel="0" collapsed="false">
      <c r="B26" s="19" t="s">
        <v>391</v>
      </c>
      <c r="C26" s="20"/>
      <c r="D26" s="12" t="n">
        <f aca="false">Исх_данные!$F$63</f>
        <v>-82161.2686567048</v>
      </c>
      <c r="E26" s="12" t="n">
        <f aca="false">Исх_данные!$G$63</f>
        <v>2550321.1234836</v>
      </c>
      <c r="F26" s="12" t="n">
        <f aca="false">Исх_данные!$H$63</f>
        <v>3967355.33681198</v>
      </c>
      <c r="G26" s="12" t="n">
        <f aca="false">Исх_данные!$I$63</f>
        <v>5147147.63544362</v>
      </c>
      <c r="H26" s="12" t="n">
        <f aca="false">Исх_данные!$J$63</f>
        <v>5361724.48215212</v>
      </c>
      <c r="I26" s="12" t="n">
        <f aca="false">Исх_данные!$K$63</f>
        <v>5552836.95680425</v>
      </c>
      <c r="J26" s="12" t="n">
        <f aca="false">Исх_данные!$L$63</f>
        <v>5738707.5084087</v>
      </c>
      <c r="K26" s="12" t="n">
        <f aca="false">SUM(D26:J26)</f>
        <v>28235931.7744476</v>
      </c>
    </row>
    <row r="27" customFormat="false" ht="15" hidden="false" customHeight="false" outlineLevel="0" collapsed="false">
      <c r="B27" s="19" t="s">
        <v>392</v>
      </c>
      <c r="C27" s="20"/>
      <c r="D27" s="12" t="n">
        <f aca="false">ProfLoss!D20</f>
        <v>64169.8081713149</v>
      </c>
      <c r="E27" s="12" t="n">
        <f aca="false">ProfLoss!E20</f>
        <v>18073070.7342698</v>
      </c>
      <c r="F27" s="12" t="n">
        <f aca="false">ProfLoss!F20</f>
        <v>27339980.9663258</v>
      </c>
      <c r="G27" s="12" t="n">
        <f aca="false">ProfLoss!G20</f>
        <v>34985548.6049096</v>
      </c>
      <c r="H27" s="12" t="n">
        <f aca="false">ProfLoss!H20</f>
        <v>36196346.5640059</v>
      </c>
      <c r="I27" s="12" t="n">
        <f aca="false">ProfLoss!I20</f>
        <v>37249585.4061336</v>
      </c>
      <c r="J27" s="12" t="n">
        <f aca="false">ProfLoss!J20</f>
        <v>38324500.5256537</v>
      </c>
      <c r="K27" s="12" t="n">
        <f aca="false">SUM(D27:J27)</f>
        <v>192233202.60947</v>
      </c>
    </row>
    <row r="28" customFormat="false" ht="15" hidden="false" customHeight="false" outlineLevel="0" collapsed="false">
      <c r="B28" s="19" t="s">
        <v>393</v>
      </c>
      <c r="C28" s="20" t="s">
        <v>262</v>
      </c>
      <c r="D28" s="13" t="n">
        <f aca="false">Исх_данные!$F$25</f>
        <v>0.15</v>
      </c>
      <c r="E28" s="13" t="n">
        <f aca="false">Исх_данные!$G$25</f>
        <v>0.15</v>
      </c>
      <c r="F28" s="13" t="n">
        <f aca="false">Исх_данные!$H$25</f>
        <v>0.15</v>
      </c>
      <c r="G28" s="13" t="n">
        <f aca="false">Исх_данные!$I$25</f>
        <v>0.15</v>
      </c>
      <c r="H28" s="13" t="n">
        <f aca="false">Исх_данные!$J$25</f>
        <v>0.15</v>
      </c>
      <c r="I28" s="13" t="n">
        <f aca="false">Исх_данные!$K$25</f>
        <v>0.15</v>
      </c>
      <c r="J28" s="13" t="n">
        <f aca="false">Исх_данные!$L$25</f>
        <v>0.15</v>
      </c>
    </row>
    <row r="29" customFormat="false" ht="23.85" hidden="false" customHeight="false" outlineLevel="0" collapsed="false">
      <c r="B29" s="62" t="s">
        <v>394</v>
      </c>
      <c r="C29" s="20"/>
      <c r="D29" s="22" t="n">
        <f aca="false">D26+D28*(D27-D25)</f>
        <v>9625.47122569705</v>
      </c>
      <c r="E29" s="22" t="n">
        <f aca="false">E26+E28*(E27-E25)</f>
        <v>2710960.61014048</v>
      </c>
      <c r="F29" s="22" t="n">
        <f aca="false">F26+F28*(F27-F25)</f>
        <v>4100997.14494886</v>
      </c>
      <c r="G29" s="22" t="n">
        <f aca="false">G26+G28*(G27-G25)</f>
        <v>5247832.29073644</v>
      </c>
      <c r="H29" s="22" t="n">
        <f aca="false">H26+H28*(H27-H25)</f>
        <v>5429451.98460088</v>
      </c>
      <c r="I29" s="22" t="n">
        <f aca="false">I26+I28*(I27-I25)</f>
        <v>5587437.81092003</v>
      </c>
      <c r="J29" s="22" t="n">
        <f aca="false">J26+J28*(J27-J25)</f>
        <v>5748675.07884806</v>
      </c>
      <c r="K29" s="22" t="n">
        <f aca="false">SUM(D29:J29)</f>
        <v>28834980.3914204</v>
      </c>
    </row>
    <row r="30" customFormat="false" ht="15" hidden="false" customHeight="false" outlineLevel="0" collapsed="false">
      <c r="B30" s="3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7" min="6" style="0" width="16"/>
    <col collapsed="false" customWidth="true" hidden="false" outlineLevel="0" max="8" min="8" style="0" width="12"/>
  </cols>
  <sheetData>
    <row r="2" customFormat="false" ht="15" hidden="false" customHeight="false" outlineLevel="0" collapsed="false">
      <c r="B2" s="2" t="s">
        <v>396</v>
      </c>
      <c r="H2" s="51" t="s">
        <v>397</v>
      </c>
    </row>
    <row r="3" customFormat="false" ht="15" hidden="false" customHeight="false" outlineLevel="0" collapsed="false">
      <c r="B3" s="52" t="s">
        <v>398</v>
      </c>
    </row>
    <row r="5" customFormat="false" ht="42" hidden="false" customHeight="true" outlineLevel="0" collapsed="false">
      <c r="B5" s="18" t="s">
        <v>399</v>
      </c>
      <c r="C5" s="18" t="s">
        <v>400</v>
      </c>
      <c r="D5" s="18" t="s">
        <v>401</v>
      </c>
      <c r="E5" s="18" t="s">
        <v>402</v>
      </c>
      <c r="F5" s="18" t="s">
        <v>403</v>
      </c>
      <c r="G5" s="18" t="s">
        <v>404</v>
      </c>
    </row>
    <row r="6" customFormat="false" ht="15" hidden="false" customHeight="false" outlineLevel="0" collapsed="false">
      <c r="B6" s="26" t="s">
        <v>405</v>
      </c>
      <c r="C6" s="22" t="n">
        <f aca="false">C7+C8</f>
        <v>27336361.0312552</v>
      </c>
      <c r="D6" s="23" t="n">
        <f aca="false">IFERROR(F6/C6,0)</f>
        <v>0</v>
      </c>
      <c r="E6" s="23" t="n">
        <f aca="false">IFERROR(G6/C6,0)</f>
        <v>1</v>
      </c>
      <c r="F6" s="22" t="n">
        <f aca="false">F7+F8</f>
        <v>0</v>
      </c>
      <c r="G6" s="22" t="n">
        <f aca="false">G7+G8</f>
        <v>27336361.0312552</v>
      </c>
    </row>
    <row r="7" customFormat="false" ht="15" hidden="false" customHeight="false" outlineLevel="0" collapsed="false">
      <c r="B7" s="6" t="s">
        <v>406</v>
      </c>
      <c r="C7" s="12" t="n">
        <f aca="false">F7+G7</f>
        <v>579085.838300916</v>
      </c>
      <c r="D7" s="13" t="n">
        <f aca="false">IFERROR(F7/C7,0)</f>
        <v>0</v>
      </c>
      <c r="E7" s="13" t="n">
        <f aca="false">IFERROR(G7/C7,0)</f>
        <v>1</v>
      </c>
      <c r="F7" s="12" t="s">
        <v>407</v>
      </c>
      <c r="G7" s="12" t="n">
        <f aca="false">Исх_данные!$I$141+Исх_данные!$I$147</f>
        <v>579085.838300916</v>
      </c>
    </row>
    <row r="8" customFormat="false" ht="15" hidden="false" customHeight="false" outlineLevel="0" collapsed="false">
      <c r="B8" s="6" t="s">
        <v>408</v>
      </c>
      <c r="C8" s="12" t="n">
        <f aca="false">F8+G8</f>
        <v>26757275.1929543</v>
      </c>
      <c r="D8" s="13" t="n">
        <f aca="false">IFERROR(F8/C8,0)</f>
        <v>0</v>
      </c>
      <c r="E8" s="13" t="n">
        <f aca="false">IFERROR(G8/C8,0)</f>
        <v>1</v>
      </c>
      <c r="F8" s="12" t="n">
        <f aca="false">(Исх_данные!$I$71+Исх_данные!$I$72)-(Исх_данные!$I$133)-(Исх_данные!$I$135+Исх_данные!$I$137+Исх_данные!$I$139+Исх_данные!$I$141+Исх_данные!$I$143+Исх_данные!$I$145+Исх_данные!$I$147)</f>
        <v>0</v>
      </c>
      <c r="G8" s="12" t="n">
        <f aca="false">Исх_данные!$I$133+Исх_данные!$I$135+Исх_данные!$I$137+Исх_данные!$I$139+Исх_данные!$I$143+Исх_данные!$I$145</f>
        <v>26757275.1929543</v>
      </c>
    </row>
    <row r="9" customFormat="false" ht="15" hidden="false" customHeight="false" outlineLevel="0" collapsed="false">
      <c r="B9" s="26" t="s">
        <v>409</v>
      </c>
      <c r="C9" s="12" t="n">
        <f aca="false">F9+G9</f>
        <v>1618616.16219</v>
      </c>
      <c r="D9" s="13" t="n">
        <f aca="false">IFERROR(F9/C9,0)</f>
        <v>0.200349366008217</v>
      </c>
      <c r="E9" s="13" t="n">
        <f aca="false">IFERROR(G9/C9,0)</f>
        <v>0.799650633991783</v>
      </c>
      <c r="F9" s="12" t="n">
        <f aca="false">(Исх_данные!$I$73+Исх_данные!$I$74+Исх_данные!$I$75)-(Исх_данные!$I$149+Исх_данные!$I$151)</f>
        <v>324288.721905421</v>
      </c>
      <c r="G9" s="12" t="n">
        <f aca="false">Исх_данные!$I$149+Исх_данные!$I$151</f>
        <v>1294327.44028458</v>
      </c>
    </row>
    <row r="10" customFormat="false" ht="15" hidden="false" customHeight="false" outlineLevel="0" collapsed="false">
      <c r="B10" s="26" t="s">
        <v>410</v>
      </c>
      <c r="C10" s="12" t="n">
        <f aca="false">F10+G10</f>
        <v>1808303.85738393</v>
      </c>
      <c r="D10" s="13" t="n">
        <f aca="false">IFERROR(F10/C10,0)</f>
        <v>1</v>
      </c>
      <c r="E10" s="13" t="n">
        <f aca="false">IFERROR(G10/C10,0)</f>
        <v>0</v>
      </c>
      <c r="F10" s="12" t="n">
        <f aca="false">Исх_данные!$I$76+Исх_данные!$I$77</f>
        <v>1808303.85738393</v>
      </c>
      <c r="G10" s="12" t="s">
        <v>407</v>
      </c>
    </row>
    <row r="11" customFormat="false" ht="15" hidden="false" customHeight="false" outlineLevel="0" collapsed="false">
      <c r="B11" s="26" t="s">
        <v>411</v>
      </c>
      <c r="C11" s="12" t="n">
        <f aca="false">F11+G11</f>
        <v>393814.950996336</v>
      </c>
      <c r="D11" s="13" t="n">
        <f aca="false">IFERROR(F11/C11,0)</f>
        <v>1</v>
      </c>
      <c r="E11" s="13" t="n">
        <f aca="false">IFERROR(G11/C11,0)</f>
        <v>0</v>
      </c>
      <c r="F11" s="12" t="n">
        <f aca="false">Исх_данные!$I$85</f>
        <v>393814.950996336</v>
      </c>
      <c r="G11" s="12" t="s">
        <v>407</v>
      </c>
    </row>
    <row r="12" customFormat="false" ht="15" hidden="false" customHeight="false" outlineLevel="0" collapsed="false">
      <c r="B12" s="26" t="s">
        <v>412</v>
      </c>
      <c r="C12" s="12" t="n">
        <f aca="false">F12+G12</f>
        <v>1018194.0197046</v>
      </c>
      <c r="D12" s="13" t="n">
        <f aca="false">IFERROR(F12/C12,0)</f>
        <v>1</v>
      </c>
      <c r="E12" s="13" t="n">
        <f aca="false">IFERROR(G12/C12,0)</f>
        <v>0</v>
      </c>
      <c r="F12" s="12" t="n">
        <f aca="false">Исх_данные!$I$79-(0)</f>
        <v>1018194.0197046</v>
      </c>
      <c r="G12" s="12" t="s">
        <v>407</v>
      </c>
    </row>
    <row r="13" customFormat="false" ht="15" hidden="false" customHeight="false" outlineLevel="0" collapsed="false">
      <c r="B13" s="26" t="s">
        <v>413</v>
      </c>
      <c r="C13" s="12" t="n">
        <f aca="false">F13+G13</f>
        <v>94026.7687233843</v>
      </c>
      <c r="D13" s="13" t="n">
        <f aca="false">IFERROR(F13/C13,0)</f>
        <v>1</v>
      </c>
      <c r="E13" s="13" t="n">
        <f aca="false">IFERROR(G13/C13,0)</f>
        <v>0</v>
      </c>
      <c r="F13" s="12" t="n">
        <f aca="false">Исх_данные!$I$80-(0)-Исх_данные!$I$82</f>
        <v>94026.7687233843</v>
      </c>
      <c r="G13" s="12" t="s">
        <v>407</v>
      </c>
    </row>
    <row r="14" customFormat="false" ht="15" hidden="false" customHeight="false" outlineLevel="0" collapsed="false">
      <c r="B14" s="26" t="s">
        <v>316</v>
      </c>
      <c r="C14" s="12" t="n">
        <f aca="false">F14+G14</f>
        <v>0</v>
      </c>
      <c r="D14" s="13" t="n">
        <f aca="false">IFERROR(F14/C14,0)</f>
        <v>0</v>
      </c>
      <c r="E14" s="13" t="n">
        <f aca="false">IFERROR(G14/C14,0)</f>
        <v>0</v>
      </c>
      <c r="F14" s="12" t="s">
        <v>407</v>
      </c>
      <c r="G14" s="12" t="n">
        <f aca="false">Исх_данные!$I$82</f>
        <v>0</v>
      </c>
    </row>
    <row r="15" customFormat="false" ht="15" hidden="false" customHeight="false" outlineLevel="0" collapsed="false">
      <c r="B15" s="26" t="s">
        <v>414</v>
      </c>
      <c r="C15" s="12" t="n">
        <f aca="false">F15+G15</f>
        <v>4104621.33974245</v>
      </c>
      <c r="D15" s="13" t="n">
        <f aca="false">IFERROR(F15/C15,0)</f>
        <v>0.689369623154986</v>
      </c>
      <c r="E15" s="13" t="n">
        <f aca="false">IFERROR(G15/C15,0)</f>
        <v>0.310630376845015</v>
      </c>
      <c r="F15" s="12" t="n">
        <f aca="false">Исх_данные!$I$86</f>
        <v>2829601.26617216</v>
      </c>
      <c r="G15" s="12" t="n">
        <f aca="false">Исх_данные!$I$87-Исх_данные!$I$56</f>
        <v>1275020.07357029</v>
      </c>
    </row>
    <row r="16" customFormat="false" ht="15" hidden="false" customHeight="false" outlineLevel="0" collapsed="false">
      <c r="B16" s="26" t="s">
        <v>415</v>
      </c>
      <c r="C16" s="12" t="n">
        <f aca="false">F16+G16</f>
        <v>381093.311695676</v>
      </c>
      <c r="D16" s="13" t="n">
        <f aca="false">IFERROR(F16/C16,0)</f>
        <v>0</v>
      </c>
      <c r="E16" s="13" t="n">
        <f aca="false">IFERROR(G16/C16,0)</f>
        <v>1</v>
      </c>
      <c r="F16" s="12" t="s">
        <v>407</v>
      </c>
      <c r="G16" s="12" t="n">
        <f aca="false">Исх_данные!$I$56</f>
        <v>381093.311695676</v>
      </c>
    </row>
    <row r="17" customFormat="false" ht="15" hidden="false" customHeight="false" outlineLevel="0" collapsed="false">
      <c r="B17" s="26" t="s">
        <v>416</v>
      </c>
      <c r="C17" s="12" t="n">
        <f aca="false">F17+G17</f>
        <v>494719.888633929</v>
      </c>
      <c r="D17" s="13" t="n">
        <f aca="false">IFERROR(F17/C17,0)</f>
        <v>1</v>
      </c>
      <c r="E17" s="13" t="n">
        <f aca="false">IFERROR(G17/C17,0)</f>
        <v>0</v>
      </c>
      <c r="F17" s="12" t="n">
        <f aca="false">Исх_данные!$I$90+Исх_данные!$I$91</f>
        <v>494719.888633929</v>
      </c>
      <c r="G17" s="12" t="s">
        <v>407</v>
      </c>
    </row>
    <row r="18" customFormat="false" ht="15" hidden="false" customHeight="false" outlineLevel="0" collapsed="false">
      <c r="B18" s="26" t="s">
        <v>417</v>
      </c>
      <c r="C18" s="12" t="n">
        <f aca="false">F18+G18</f>
        <v>0</v>
      </c>
      <c r="D18" s="13" t="n">
        <f aca="false">IFERROR(F18/C18,0)</f>
        <v>0</v>
      </c>
      <c r="E18" s="13" t="n">
        <f aca="false">IFERROR(G18/C18,0)</f>
        <v>0</v>
      </c>
      <c r="F18" s="12" t="s">
        <v>407</v>
      </c>
      <c r="G18" s="12" t="n">
        <f aca="false">Исх_данные!$I$92</f>
        <v>0</v>
      </c>
    </row>
    <row r="19" customFormat="false" ht="15" hidden="false" customHeight="false" outlineLevel="0" collapsed="false">
      <c r="B19" s="26" t="s">
        <v>418</v>
      </c>
      <c r="C19" s="12" t="n">
        <f aca="false">F19+G19</f>
        <v>735100.628833832</v>
      </c>
      <c r="D19" s="13" t="n">
        <f aca="false">IFERROR(F19/C19,0)</f>
        <v>0</v>
      </c>
      <c r="E19" s="13" t="n">
        <f aca="false">IFERROR(G19/C19,0)</f>
        <v>1</v>
      </c>
      <c r="F19" s="12" t="s">
        <v>407</v>
      </c>
      <c r="G19" s="12" t="n">
        <f aca="false">Исх_данные!$I$89</f>
        <v>735100.628833832</v>
      </c>
    </row>
    <row r="20" customFormat="false" ht="15" hidden="false" customHeight="false" outlineLevel="0" collapsed="false">
      <c r="B20" s="26" t="s">
        <v>419</v>
      </c>
      <c r="C20" s="12" t="n">
        <f aca="false">F20+G20</f>
        <v>0</v>
      </c>
      <c r="D20" s="13" t="n">
        <f aca="false">IFERROR(F20/C20,0)</f>
        <v>0</v>
      </c>
      <c r="E20" s="13" t="n">
        <f aca="false">IFERROR(G20/C20,0)</f>
        <v>0</v>
      </c>
      <c r="F20" s="12" t="n">
        <f aca="false">Исх_данные!$I$59-Исх_данные!$I$58-Исх_данные!$I$90-Исх_данные!$I$91-Исх_данные!$I$92-Исх_данные!$I$89</f>
        <v>0</v>
      </c>
      <c r="G20" s="12" t="s">
        <v>407</v>
      </c>
    </row>
    <row r="21" customFormat="false" ht="15" hidden="false" customHeight="false" outlineLevel="0" collapsed="false">
      <c r="B21" s="26" t="s">
        <v>420</v>
      </c>
      <c r="C21" s="12" t="n">
        <f aca="false">F21+G21</f>
        <v>2835492.57919845</v>
      </c>
      <c r="D21" s="13" t="n">
        <f aca="false">IFERROR(F21/C21,0)</f>
        <v>1</v>
      </c>
      <c r="E21" s="13" t="n">
        <f aca="false">IFERROR(G21/C21,0)</f>
        <v>0</v>
      </c>
      <c r="F21" s="12" t="n">
        <f aca="false">Depreciate!J18</f>
        <v>2835492.57919845</v>
      </c>
      <c r="G21" s="12" t="s">
        <v>407</v>
      </c>
    </row>
    <row r="22" customFormat="false" ht="15" hidden="false" customHeight="false" outlineLevel="0" collapsed="false">
      <c r="B22" s="14" t="s">
        <v>421</v>
      </c>
      <c r="C22" s="15" t="n">
        <f aca="false">SUM(C6:C21)-C6</f>
        <v>40820344.5383578</v>
      </c>
      <c r="D22" s="16" t="n">
        <f aca="false">IFERROR(F22/C22,0)</f>
        <v>0.240038200645535</v>
      </c>
      <c r="E22" s="16" t="n">
        <f aca="false">IFERROR(G22/C22,0)</f>
        <v>0.759961799354465</v>
      </c>
      <c r="F22" s="15" t="n">
        <f aca="false">SUM(F6:F21)-F6</f>
        <v>9798442.05271821</v>
      </c>
      <c r="G22" s="15" t="n">
        <f aca="false">SUM(G6:G21)-G6</f>
        <v>31021902.4856396</v>
      </c>
    </row>
    <row r="23" customFormat="false" ht="15" hidden="false" customHeight="false" outlineLevel="0" collapsed="false">
      <c r="B23" s="6" t="s">
        <v>422</v>
      </c>
      <c r="C23" s="12" t="n">
        <f aca="false">C22-C24</f>
        <v>39234760.7000569</v>
      </c>
    </row>
    <row r="24" customFormat="false" ht="15" hidden="false" customHeight="false" outlineLevel="0" collapsed="false">
      <c r="B24" s="6" t="s">
        <v>423</v>
      </c>
      <c r="C24" s="12" t="n">
        <f aca="false">Исх_данные!$I$68</f>
        <v>1585583.83830092</v>
      </c>
    </row>
    <row r="26" customFormat="false" ht="15" hidden="false" customHeight="false" outlineLevel="0" collapsed="false">
      <c r="B26" s="6" t="s">
        <v>424</v>
      </c>
      <c r="C26" s="12" t="n">
        <f aca="false">SalePlan!G18</f>
        <v>76218662.3391351</v>
      </c>
    </row>
    <row r="27" customFormat="false" ht="15" hidden="false" customHeight="false" outlineLevel="0" collapsed="false">
      <c r="B27" s="6" t="s">
        <v>425</v>
      </c>
      <c r="C27" s="68" t="n">
        <f aca="false">IFERROR(C22/C26,0)</f>
        <v>0.535568891995606</v>
      </c>
    </row>
    <row r="28" customFormat="false" ht="15" hidden="false" customHeight="false" outlineLevel="0" collapsed="false">
      <c r="B28" s="6" t="s">
        <v>426</v>
      </c>
      <c r="C28" s="12" t="n">
        <f aca="false">IFERROR(C22/ProdPlan!G17,0)</f>
        <v>20584.419379224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427</v>
      </c>
      <c r="K2" s="51" t="s">
        <v>428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9" t="s">
        <v>429</v>
      </c>
      <c r="C6" s="20" t="s">
        <v>262</v>
      </c>
      <c r="D6" s="13" t="n">
        <f aca="false">ProdPlan!D13</f>
        <v>0.15</v>
      </c>
      <c r="E6" s="13" t="n">
        <f aca="false">ProdPlan!E13</f>
        <v>0.65</v>
      </c>
      <c r="F6" s="13" t="n">
        <f aca="false">ProdPlan!F13</f>
        <v>0.85</v>
      </c>
      <c r="G6" s="13" t="n">
        <f aca="false">ProdPlan!G13</f>
        <v>1</v>
      </c>
      <c r="H6" s="13" t="n">
        <f aca="false">ProdPlan!H13</f>
        <v>1</v>
      </c>
      <c r="I6" s="13" t="n">
        <f aca="false">ProdPlan!I13</f>
        <v>1</v>
      </c>
      <c r="J6" s="13" t="n">
        <f aca="false">ProdPlan!J13</f>
        <v>1</v>
      </c>
      <c r="K6" s="13" t="n">
        <f aca="false">AVERAGE(D6:J6)</f>
        <v>0.807142857142857</v>
      </c>
    </row>
    <row r="8" customFormat="false" ht="15" hidden="false" customHeight="false" outlineLevel="0" collapsed="false">
      <c r="B8" s="33" t="s">
        <v>430</v>
      </c>
    </row>
    <row r="9" customFormat="false" ht="15" hidden="false" customHeight="false" outlineLevel="0" collapsed="false">
      <c r="B9" s="19" t="s">
        <v>431</v>
      </c>
      <c r="C9" s="20" t="s">
        <v>32</v>
      </c>
      <c r="D9" s="12" t="n">
        <f aca="false">Исх_данные!$F$71</f>
        <v>3497193.11069234</v>
      </c>
      <c r="E9" s="12" t="n">
        <f aca="false">Исх_данные!$G$71</f>
        <v>15362010.073546</v>
      </c>
      <c r="F9" s="12" t="n">
        <f aca="false">Исх_данные!$H$71</f>
        <v>20530735.6167529</v>
      </c>
      <c r="G9" s="12" t="n">
        <f aca="false">Исх_данные!$I$71</f>
        <v>24685190.3533194</v>
      </c>
      <c r="H9" s="12" t="n">
        <f aca="false">Исх_данные!$J$71</f>
        <v>25228264.5410924</v>
      </c>
      <c r="I9" s="12" t="n">
        <f aca="false">Исх_данные!$K$71</f>
        <v>25783286.3609964</v>
      </c>
      <c r="J9" s="12" t="n">
        <f aca="false">Исх_данные!$L$71</f>
        <v>26350518.6609384</v>
      </c>
      <c r="K9" s="12" t="n">
        <f aca="false">SUM(D9:J9)</f>
        <v>141437198.717338</v>
      </c>
    </row>
    <row r="10" customFormat="false" ht="15" hidden="false" customHeight="false" outlineLevel="0" collapsed="false">
      <c r="B10" s="19" t="s">
        <v>432</v>
      </c>
      <c r="C10" s="20" t="s">
        <v>32</v>
      </c>
      <c r="D10" s="12" t="n">
        <f aca="false">Исх_данные!$F$72</f>
        <v>375595.881475553</v>
      </c>
      <c r="E10" s="12" t="n">
        <f aca="false">Исх_данные!$G$72</f>
        <v>1649868.20349407</v>
      </c>
      <c r="F10" s="12" t="n">
        <f aca="false">Исх_данные!$H$72</f>
        <v>2204985.39750046</v>
      </c>
      <c r="G10" s="12" t="n">
        <f aca="false">Исх_данные!$I$72</f>
        <v>2651170.67793585</v>
      </c>
      <c r="H10" s="12" t="n">
        <f aca="false">Исх_данные!$J$72</f>
        <v>2709496.43285044</v>
      </c>
      <c r="I10" s="12" t="n">
        <f aca="false">Исх_данные!$K$72</f>
        <v>2769105.35437315</v>
      </c>
      <c r="J10" s="12" t="n">
        <f aca="false">Исх_данные!$L$72</f>
        <v>2830025.67216936</v>
      </c>
      <c r="K10" s="12" t="n">
        <f aca="false">SUM(D10:J10)</f>
        <v>15190247.6197989</v>
      </c>
    </row>
    <row r="11" customFormat="false" ht="15" hidden="false" customHeight="false" outlineLevel="0" collapsed="false">
      <c r="B11" s="19" t="s">
        <v>433</v>
      </c>
      <c r="C11" s="20" t="s">
        <v>32</v>
      </c>
      <c r="D11" s="12" t="n">
        <f aca="false">Исх_данные!$F$73</f>
        <v>187583.888966231</v>
      </c>
      <c r="E11" s="12" t="n">
        <f aca="false">Исх_данные!$G$73</f>
        <v>798120.722992851</v>
      </c>
      <c r="F11" s="12" t="n">
        <f aca="false">Исх_данные!$H$73</f>
        <v>969024.434846021</v>
      </c>
      <c r="G11" s="12" t="n">
        <f aca="false">Исх_данные!$I$73</f>
        <v>1107881.95779626</v>
      </c>
      <c r="H11" s="12" t="n">
        <f aca="false">Исх_данные!$J$73</f>
        <v>1132255.36086778</v>
      </c>
      <c r="I11" s="12" t="n">
        <f aca="false">Исх_данные!$K$73</f>
        <v>1157164.97880687</v>
      </c>
      <c r="J11" s="12" t="n">
        <f aca="false">Исх_данные!$L$73</f>
        <v>1182622.60834062</v>
      </c>
      <c r="K11" s="12" t="n">
        <f aca="false">SUM(D11:J11)</f>
        <v>6534653.95261662</v>
      </c>
    </row>
    <row r="12" customFormat="false" ht="15" hidden="false" customHeight="false" outlineLevel="0" collapsed="false">
      <c r="B12" s="19" t="s">
        <v>434</v>
      </c>
      <c r="C12" s="20" t="s">
        <v>32</v>
      </c>
      <c r="D12" s="12" t="n">
        <f aca="false">Исх_данные!$F$74</f>
        <v>72356.5877125413</v>
      </c>
      <c r="E12" s="12" t="n">
        <f aca="false">Исх_данные!$G$74</f>
        <v>317838.504808052</v>
      </c>
      <c r="F12" s="12" t="n">
        <f aca="false">Исх_данные!$H$74</f>
        <v>424778.937118084</v>
      </c>
      <c r="G12" s="12" t="n">
        <f aca="false">Исх_данные!$I$74</f>
        <v>510734.204393743</v>
      </c>
      <c r="H12" s="12" t="n">
        <f aca="false">Исх_данные!$J$74</f>
        <v>521970.356890405</v>
      </c>
      <c r="I12" s="12" t="n">
        <f aca="false">Исх_данные!$K$74</f>
        <v>533453.704741994</v>
      </c>
      <c r="J12" s="12" t="n">
        <f aca="false">Исх_данные!$L$74</f>
        <v>545189.686246318</v>
      </c>
      <c r="K12" s="12" t="n">
        <f aca="false">SUM(D12:J12)</f>
        <v>2926321.98191114</v>
      </c>
    </row>
    <row r="13" customFormat="false" ht="15" hidden="false" customHeight="false" outlineLevel="0" collapsed="false">
      <c r="B13" s="19" t="s">
        <v>435</v>
      </c>
      <c r="C13" s="20" t="s">
        <v>32</v>
      </c>
      <c r="D13" s="12" t="n">
        <f aca="false">Исх_данные!$F$75</f>
        <v>0</v>
      </c>
      <c r="E13" s="12" t="n">
        <f aca="false">Исх_данные!$G$75</f>
        <v>0</v>
      </c>
      <c r="F13" s="12" t="n">
        <f aca="false">Исх_данные!$H$75</f>
        <v>0</v>
      </c>
      <c r="G13" s="12" t="n">
        <f aca="false">Исх_данные!$I$75</f>
        <v>0</v>
      </c>
      <c r="H13" s="12" t="n">
        <f aca="false">Исх_данные!$J$75</f>
        <v>0</v>
      </c>
      <c r="I13" s="12" t="n">
        <f aca="false">Исх_данные!$K$75</f>
        <v>0</v>
      </c>
      <c r="J13" s="12" t="n">
        <f aca="false">Исх_данные!$L$75</f>
        <v>0</v>
      </c>
      <c r="K13" s="12" t="n">
        <f aca="false">SUM(D13:J13)</f>
        <v>0</v>
      </c>
    </row>
    <row r="14" customFormat="false" ht="15" hidden="false" customHeight="false" outlineLevel="0" collapsed="false">
      <c r="B14" s="19" t="s">
        <v>436</v>
      </c>
      <c r="C14" s="20" t="s">
        <v>32</v>
      </c>
      <c r="D14" s="12" t="n">
        <f aca="false">Исх_данные!$F$76</f>
        <v>1522055.83050613</v>
      </c>
      <c r="E14" s="12" t="n">
        <f aca="false">Исх_данные!$G$76</f>
        <v>1545971.55621953</v>
      </c>
      <c r="F14" s="12" t="n">
        <f aca="false">Исх_данные!$H$76</f>
        <v>1579815.83120086</v>
      </c>
      <c r="G14" s="12" t="n">
        <f aca="false">Исх_данные!$I$76</f>
        <v>1614557.01552136</v>
      </c>
      <c r="H14" s="12" t="n">
        <f aca="false">Исх_данные!$J$76</f>
        <v>1650077.26986283</v>
      </c>
      <c r="I14" s="12" t="n">
        <f aca="false">Исх_данные!$K$76</f>
        <v>1686378.96979982</v>
      </c>
      <c r="J14" s="12" t="n">
        <f aca="false">Исх_данные!$L$76</f>
        <v>1723479.30713541</v>
      </c>
      <c r="K14" s="12" t="n">
        <f aca="false">SUM(D14:J14)</f>
        <v>11322335.7802459</v>
      </c>
    </row>
    <row r="15" customFormat="false" ht="15" hidden="false" customHeight="false" outlineLevel="0" collapsed="false">
      <c r="B15" s="19" t="s">
        <v>437</v>
      </c>
      <c r="C15" s="20" t="s">
        <v>32</v>
      </c>
      <c r="D15" s="12" t="n">
        <f aca="false">Исх_данные!$F$77</f>
        <v>182646.699660735</v>
      </c>
      <c r="E15" s="12" t="n">
        <f aca="false">Исх_данные!$G$77</f>
        <v>185516.586746344</v>
      </c>
      <c r="F15" s="12" t="n">
        <f aca="false">Исх_данные!$H$77</f>
        <v>189577.899744103</v>
      </c>
      <c r="G15" s="12" t="n">
        <f aca="false">Исх_данные!$I$77</f>
        <v>193746.841862564</v>
      </c>
      <c r="H15" s="12" t="n">
        <f aca="false">Исх_данные!$J$77</f>
        <v>198009.27238354</v>
      </c>
      <c r="I15" s="12" t="n">
        <f aca="false">Исх_данные!$K$77</f>
        <v>202365.476375978</v>
      </c>
      <c r="J15" s="12" t="n">
        <f aca="false">Исх_данные!$L$77</f>
        <v>206817.516856249</v>
      </c>
      <c r="K15" s="12" t="n">
        <f aca="false">SUM(D15:J15)</f>
        <v>1358680.29362951</v>
      </c>
    </row>
    <row r="16" customFormat="false" ht="15" hidden="false" customHeight="false" outlineLevel="0" collapsed="false">
      <c r="B16" s="19" t="s">
        <v>438</v>
      </c>
      <c r="C16" s="20" t="s">
        <v>32</v>
      </c>
      <c r="D16" s="12" t="n">
        <f aca="false">Depreciate!$G$19</f>
        <v>566139.040861337</v>
      </c>
      <c r="E16" s="12" t="n">
        <f aca="false">Depreciate!$H$19</f>
        <v>2323012.62002273</v>
      </c>
      <c r="F16" s="12" t="n">
        <f aca="false">Depreciate!$I$19</f>
        <v>2376972.42609416</v>
      </c>
      <c r="G16" s="12" t="n">
        <f aca="false">Depreciate!$J$19</f>
        <v>2430932.23216559</v>
      </c>
      <c r="H16" s="12" t="n">
        <f aca="false">Depreciate!$K$19</f>
        <v>2484892.03823702</v>
      </c>
      <c r="I16" s="12" t="n">
        <f aca="false">Depreciate!$L$19</f>
        <v>2538851.84430845</v>
      </c>
      <c r="J16" s="12" t="n">
        <f aca="false">Depreciate!$M$19</f>
        <v>2592811.65037987</v>
      </c>
      <c r="K16" s="12" t="n">
        <f aca="false">SUM(D16:J16)</f>
        <v>15313611.8520692</v>
      </c>
    </row>
    <row r="17" customFormat="false" ht="15" hidden="false" customHeight="false" outlineLevel="0" collapsed="false">
      <c r="B17" s="19" t="s">
        <v>439</v>
      </c>
      <c r="C17" s="20" t="s">
        <v>32</v>
      </c>
      <c r="D17" s="12" t="n">
        <f aca="false">Исх_данные!$F$79</f>
        <v>144249.287126937</v>
      </c>
      <c r="E17" s="12" t="n">
        <f aca="false">Исх_данные!$G$79</f>
        <v>633639.302093656</v>
      </c>
      <c r="F17" s="12" t="n">
        <f aca="false">Исх_данные!$H$79</f>
        <v>846834.556505783</v>
      </c>
      <c r="G17" s="12" t="n">
        <f aca="false">Исх_данные!$I$79</f>
        <v>1018194.0197046</v>
      </c>
      <c r="H17" s="12" t="n">
        <f aca="false">Исх_данные!$J$79</f>
        <v>1040594.2881381</v>
      </c>
      <c r="I17" s="12" t="n">
        <f aca="false">Исх_данные!$K$79</f>
        <v>1063487.36247714</v>
      </c>
      <c r="J17" s="12" t="n">
        <f aca="false">Исх_данные!$L$79</f>
        <v>1086884.08445164</v>
      </c>
      <c r="K17" s="12" t="n">
        <f aca="false">SUM(D17:J17)</f>
        <v>5833882.90049786</v>
      </c>
    </row>
    <row r="18" customFormat="false" ht="15" hidden="false" customHeight="false" outlineLevel="0" collapsed="false">
      <c r="B18" s="19" t="s">
        <v>440</v>
      </c>
      <c r="C18" s="20" t="s">
        <v>32</v>
      </c>
      <c r="D18" s="12" t="n">
        <f aca="false">Исх_данные!$F$80-Исх_данные!$F$82</f>
        <v>13320.9330409666</v>
      </c>
      <c r="E18" s="12" t="n">
        <f aca="false">Исх_данные!$G$80-Исх_данные!$G$82</f>
        <v>58514.44317979</v>
      </c>
      <c r="F18" s="12" t="n">
        <f aca="false">Исх_данные!$H$80-Исх_данные!$H$82</f>
        <v>78202.3027542824</v>
      </c>
      <c r="G18" s="12" t="n">
        <f aca="false">Исх_данные!$I$80-Исх_данные!$I$82</f>
        <v>94026.7687233843</v>
      </c>
      <c r="H18" s="12" t="n">
        <f aca="false">Исх_данные!$J$80-Исх_данные!$J$82</f>
        <v>96095.3576352987</v>
      </c>
      <c r="I18" s="12" t="n">
        <f aca="false">Исх_данные!$K$80-Исх_данные!$K$82</f>
        <v>98209.4555032753</v>
      </c>
      <c r="J18" s="12" t="n">
        <f aca="false">Исх_данные!$L$80-Исх_данные!$L$82</f>
        <v>100370.063524347</v>
      </c>
      <c r="K18" s="12" t="n">
        <f aca="false">SUM(D18:J18)</f>
        <v>538739.324361345</v>
      </c>
    </row>
    <row r="19" customFormat="false" ht="15" hidden="false" customHeight="false" outlineLevel="0" collapsed="false">
      <c r="B19" s="19" t="s">
        <v>441</v>
      </c>
      <c r="C19" s="20" t="s">
        <v>32</v>
      </c>
      <c r="D19" s="12" t="n">
        <f aca="false">Исх_данные!$F$82</f>
        <v>0</v>
      </c>
      <c r="E19" s="12" t="n">
        <f aca="false">Исх_данные!$G$82</f>
        <v>0</v>
      </c>
      <c r="F19" s="12" t="n">
        <f aca="false">Исх_данные!$H$82</f>
        <v>0</v>
      </c>
      <c r="G19" s="12" t="n">
        <f aca="false">Исх_данные!$I$82</f>
        <v>0</v>
      </c>
      <c r="H19" s="12" t="n">
        <f aca="false">Исх_данные!$J$82</f>
        <v>0</v>
      </c>
      <c r="I19" s="12" t="n">
        <f aca="false">Исх_данные!$K$82</f>
        <v>0</v>
      </c>
      <c r="J19" s="12" t="n">
        <f aca="false">Исх_данные!$L$82</f>
        <v>0</v>
      </c>
      <c r="K19" s="12" t="n">
        <f aca="false">SUM(D19:J19)</f>
        <v>0</v>
      </c>
    </row>
    <row r="20" customFormat="false" ht="15" hidden="false" customHeight="false" outlineLevel="0" collapsed="false">
      <c r="B20" s="69" t="s">
        <v>442</v>
      </c>
      <c r="C20" s="59" t="s">
        <v>32</v>
      </c>
      <c r="D20" s="48" t="n">
        <f aca="false">SUM(D9:D19)</f>
        <v>6561141.26004277</v>
      </c>
      <c r="E20" s="48" t="n">
        <f aca="false">SUM(E9:E19)</f>
        <v>22874492.013103</v>
      </c>
      <c r="F20" s="48" t="n">
        <f aca="false">SUM(F9:F19)</f>
        <v>29200927.4025167</v>
      </c>
      <c r="G20" s="48" t="n">
        <f aca="false">SUM(G9:G19)</f>
        <v>34306434.0714227</v>
      </c>
      <c r="H20" s="48" t="n">
        <f aca="false">SUM(H9:H19)</f>
        <v>35061654.9179578</v>
      </c>
      <c r="I20" s="48" t="n">
        <f aca="false">SUM(I9:I19)</f>
        <v>35832303.5073831</v>
      </c>
      <c r="J20" s="48" t="n">
        <f aca="false">SUM(J9:J19)</f>
        <v>36618719.2500422</v>
      </c>
      <c r="K20" s="48" t="n">
        <f aca="false">SUM(D20:J20)</f>
        <v>200455672.422468</v>
      </c>
    </row>
    <row r="21" customFormat="false" ht="15" hidden="false" customHeight="false" outlineLevel="0" collapsed="false">
      <c r="B21" s="19" t="s">
        <v>443</v>
      </c>
      <c r="C21" s="20" t="s">
        <v>32</v>
      </c>
      <c r="D21" s="12" t="n">
        <f aca="false">Исх_данные!$F$54-Исх_данные!$F$81-Исх_данные!$F$67</f>
        <v>-2578055.91234709</v>
      </c>
      <c r="E21" s="12" t="n">
        <f aca="false">Исх_данные!$G$54-Исх_данные!$G$81-Исх_данные!$G$67</f>
        <v>-126098.785214834</v>
      </c>
      <c r="F21" s="12" t="n">
        <f aca="false">Исх_данные!$H$54-Исх_данные!$H$81-Исх_данные!$H$67</f>
        <v>-433201.795424889</v>
      </c>
      <c r="G21" s="12" t="n">
        <f aca="false">Исх_данные!$I$54-Исх_данные!$I$81-Исх_данные!$I$67</f>
        <v>-348879.663472022</v>
      </c>
      <c r="H21" s="12" t="n">
        <f aca="false">Исх_данные!$J$54-Исх_данные!$J$81-Исх_данные!$J$67</f>
        <v>-48431.8412649143</v>
      </c>
      <c r="I21" s="12" t="n">
        <f aca="false">Исх_данные!$K$54-Исх_данные!$K$81-Исх_данные!$K$67</f>
        <v>-49497.341772731</v>
      </c>
      <c r="J21" s="12" t="n">
        <f aca="false">Исх_данные!$L$54-Исх_данные!$L$81-Исх_данные!$L$67</f>
        <v>-50586.2832917306</v>
      </c>
      <c r="K21" s="12" t="n">
        <f aca="false">SUM(D21:J21)</f>
        <v>-3634751.62278821</v>
      </c>
    </row>
    <row r="22" customFormat="false" ht="15" hidden="false" customHeight="false" outlineLevel="0" collapsed="false">
      <c r="B22" s="69" t="s">
        <v>444</v>
      </c>
      <c r="C22" s="59" t="s">
        <v>32</v>
      </c>
      <c r="D22" s="48" t="n">
        <f aca="false">D20+D21</f>
        <v>3983085.34769568</v>
      </c>
      <c r="E22" s="48" t="n">
        <f aca="false">E20+E21</f>
        <v>22748393.2278882</v>
      </c>
      <c r="F22" s="48" t="n">
        <f aca="false">F20+F21</f>
        <v>28767725.6070918</v>
      </c>
      <c r="G22" s="48" t="n">
        <f aca="false">G20+G21</f>
        <v>33957554.4079507</v>
      </c>
      <c r="H22" s="48" t="n">
        <f aca="false">H20+H21</f>
        <v>35013223.0766929</v>
      </c>
      <c r="I22" s="48" t="n">
        <f aca="false">I20+I21</f>
        <v>35782806.1656104</v>
      </c>
      <c r="J22" s="48" t="n">
        <f aca="false">J20+J21</f>
        <v>36568132.9667505</v>
      </c>
      <c r="K22" s="48" t="n">
        <f aca="false">SUM(D22:J22)</f>
        <v>196820920.79968</v>
      </c>
    </row>
    <row r="23" customFormat="false" ht="15" hidden="false" customHeight="false" outlineLevel="0" collapsed="false">
      <c r="B23" s="19" t="s">
        <v>445</v>
      </c>
      <c r="C23" s="20" t="s">
        <v>32</v>
      </c>
      <c r="D23" s="12" t="n">
        <f aca="false">D22*MIN(1,IFERROR(Исх_данные!$F$68/(D20-D16),0))</f>
        <v>154815.248459948</v>
      </c>
      <c r="E23" s="12" t="n">
        <f aca="false">E22*MIN(1,IFERROR(Исх_данные!$G$68/(E20-E16),0))</f>
        <v>1123057.22606462</v>
      </c>
      <c r="F23" s="12" t="n">
        <f aca="false">F22*MIN(1,IFERROR(Исх_данные!$H$68/(F20-F16),0))</f>
        <v>1434045.71414757</v>
      </c>
      <c r="G23" s="12" t="n">
        <f aca="false">G22*MIN(1,IFERROR(Исх_данные!$I$68/(G20-G16),0))</f>
        <v>1689151.42823444</v>
      </c>
      <c r="H23" s="12" t="n">
        <f aca="false">H22*MIN(1,IFERROR(Исх_данные!$J$68/(H20-H16),0))</f>
        <v>1717864.5220173</v>
      </c>
      <c r="I23" s="12" t="n">
        <f aca="false">I22*MIN(1,IFERROR(Исх_данные!$K$68/(I20-I16),0))</f>
        <v>1731824.22667559</v>
      </c>
      <c r="J23" s="12" t="n">
        <f aca="false">J22*MIN(1,IFERROR(Исх_данные!$L$68/(J20-J16),0))</f>
        <v>1746035.29446564</v>
      </c>
      <c r="K23" s="12" t="n">
        <f aca="false">SUM(D23:J23)</f>
        <v>9596793.66006511</v>
      </c>
    </row>
    <row r="24" customFormat="false" ht="15" hidden="false" customHeight="false" outlineLevel="0" collapsed="false">
      <c r="B24" s="19" t="s">
        <v>446</v>
      </c>
      <c r="C24" s="20" t="s">
        <v>32</v>
      </c>
      <c r="D24" s="12" t="n">
        <f aca="false">D22-D23</f>
        <v>3828270.09923573</v>
      </c>
      <c r="E24" s="12" t="n">
        <f aca="false">E22-E23</f>
        <v>21625336.0018236</v>
      </c>
      <c r="F24" s="12" t="n">
        <f aca="false">F22-F23</f>
        <v>27333679.8929442</v>
      </c>
      <c r="G24" s="12" t="n">
        <f aca="false">G22-G23</f>
        <v>32268402.9797163</v>
      </c>
      <c r="H24" s="12" t="n">
        <f aca="false">H22-H23</f>
        <v>33295358.5546756</v>
      </c>
      <c r="I24" s="12" t="n">
        <f aca="false">I22-I23</f>
        <v>34050981.9389348</v>
      </c>
      <c r="J24" s="12" t="n">
        <f aca="false">J22-J23</f>
        <v>34822097.6722848</v>
      </c>
      <c r="K24" s="12" t="n">
        <f aca="false">SUM(D24:J24)</f>
        <v>187224127.139615</v>
      </c>
    </row>
    <row r="26" customFormat="false" ht="15" hidden="false" customHeight="false" outlineLevel="0" collapsed="false">
      <c r="B26" s="33" t="s">
        <v>447</v>
      </c>
    </row>
    <row r="27" customFormat="false" ht="15" hidden="false" customHeight="false" outlineLevel="0" collapsed="false">
      <c r="B27" s="19" t="s">
        <v>448</v>
      </c>
      <c r="C27" s="20" t="s">
        <v>32</v>
      </c>
      <c r="D27" s="12" t="n">
        <f aca="false">Исх_данные!$F$85</f>
        <v>371252.508608933</v>
      </c>
      <c r="E27" s="12" t="n">
        <f aca="false">Исх_данные!$G$85</f>
        <v>377085.916942813</v>
      </c>
      <c r="F27" s="12" t="n">
        <f aca="false">Исх_данные!$H$85</f>
        <v>385341.049072027</v>
      </c>
      <c r="G27" s="12" t="n">
        <f aca="false">Исх_данные!$I$85</f>
        <v>393814.950996336</v>
      </c>
      <c r="H27" s="12" t="n">
        <f aca="false">Исх_данные!$J$85</f>
        <v>402478.879918256</v>
      </c>
      <c r="I27" s="12" t="n">
        <f aca="false">Исх_данные!$K$85</f>
        <v>411333.415276458</v>
      </c>
      <c r="J27" s="12" t="n">
        <f aca="false">Исх_данные!$L$85</f>
        <v>420382.75041254</v>
      </c>
      <c r="K27" s="12" t="n">
        <f aca="false">SUM(D27:J27)</f>
        <v>2761689.47122736</v>
      </c>
    </row>
    <row r="28" customFormat="false" ht="15" hidden="false" customHeight="false" outlineLevel="0" collapsed="false">
      <c r="B28" s="19" t="s">
        <v>449</v>
      </c>
      <c r="C28" s="20" t="s">
        <v>32</v>
      </c>
      <c r="D28" s="12" t="n">
        <f aca="false">Depreciate!$G$20</f>
        <v>101140.086758214</v>
      </c>
      <c r="E28" s="12" t="n">
        <f aca="false">Depreciate!$H$20</f>
        <v>404560.347032858</v>
      </c>
      <c r="F28" s="12" t="n">
        <f aca="false">Depreciate!$I$20</f>
        <v>404560.347032858</v>
      </c>
      <c r="G28" s="12" t="n">
        <f aca="false">Depreciate!$J$20</f>
        <v>404560.347032858</v>
      </c>
      <c r="H28" s="12" t="n">
        <f aca="false">Depreciate!$K$20</f>
        <v>404560.347032858</v>
      </c>
      <c r="I28" s="12" t="n">
        <f aca="false">Depreciate!$L$20</f>
        <v>404560.347032858</v>
      </c>
      <c r="J28" s="12" t="n">
        <f aca="false">Depreciate!$M$20</f>
        <v>404560.347032858</v>
      </c>
      <c r="K28" s="12" t="n">
        <f aca="false">SUM(D28:J28)</f>
        <v>2528502.16895536</v>
      </c>
    </row>
    <row r="29" customFormat="false" ht="23.85" hidden="false" customHeight="false" outlineLevel="0" collapsed="false">
      <c r="B29" s="19" t="s">
        <v>450</v>
      </c>
      <c r="C29" s="20" t="s">
        <v>32</v>
      </c>
      <c r="D29" s="12" t="n">
        <f aca="false">Исх_данные!$F$57-Исх_данные!$F$85-Исх_данные!$F$88</f>
        <v>2890625.12429786</v>
      </c>
      <c r="E29" s="12" t="n">
        <f aca="false">Исх_данные!$G$57-Исх_данные!$G$85-Исх_данные!$G$88</f>
        <v>3531149.27779482</v>
      </c>
      <c r="F29" s="12" t="n">
        <f aca="false">Исх_данные!$H$57-Исх_данные!$H$85-Исх_данные!$H$88</f>
        <v>3841648.28337409</v>
      </c>
      <c r="G29" s="12" t="n">
        <f aca="false">Исх_данные!$I$57-Исх_данные!$I$85-Исх_данные!$I$88</f>
        <v>4104621.33974245</v>
      </c>
      <c r="H29" s="12" t="n">
        <f aca="false">Исх_данные!$J$57-Исх_данные!$J$85-Исх_данные!$J$88</f>
        <v>4194923.00921678</v>
      </c>
      <c r="I29" s="12" t="n">
        <f aca="false">Исх_данные!$K$57-Исх_данные!$K$85-Исх_данные!$K$88</f>
        <v>4287211.31541955</v>
      </c>
      <c r="J29" s="12" t="n">
        <f aca="false">Исх_данные!$L$57-Исх_данные!$L$85-Исх_данные!$L$88</f>
        <v>4381529.96435878</v>
      </c>
      <c r="K29" s="12" t="n">
        <f aca="false">SUM(D29:J29)</f>
        <v>27231708.3142043</v>
      </c>
    </row>
    <row r="30" customFormat="false" ht="15" hidden="false" customHeight="false" outlineLevel="0" collapsed="false">
      <c r="B30" s="19" t="s">
        <v>451</v>
      </c>
      <c r="C30" s="20" t="s">
        <v>32</v>
      </c>
      <c r="D30" s="12" t="n">
        <f aca="false">Исх_данные!$F$56</f>
        <v>45291.1670373016</v>
      </c>
      <c r="E30" s="12" t="n">
        <f aca="false">Исх_данные!$G$56</f>
        <v>237887.457801689</v>
      </c>
      <c r="F30" s="12" t="n">
        <f aca="false">Исх_данные!$H$56</f>
        <v>315822.754587857</v>
      </c>
      <c r="G30" s="12" t="n">
        <f aca="false">Исх_данные!$I$56</f>
        <v>381093.311695676</v>
      </c>
      <c r="H30" s="12" t="n">
        <f aca="false">Исх_данные!$J$56</f>
        <v>391926.90772627</v>
      </c>
      <c r="I30" s="12" t="n">
        <f aca="false">Исх_данные!$K$56</f>
        <v>400549.299696248</v>
      </c>
      <c r="J30" s="12" t="n">
        <f aca="false">Исх_данные!$L$56</f>
        <v>409361.384289565</v>
      </c>
      <c r="K30" s="12" t="n">
        <f aca="false">SUM(D30:J30)</f>
        <v>2181932.28283461</v>
      </c>
    </row>
    <row r="31" customFormat="false" ht="15" hidden="false" customHeight="false" outlineLevel="0" collapsed="false">
      <c r="B31" s="69" t="s">
        <v>452</v>
      </c>
      <c r="C31" s="59" t="s">
        <v>32</v>
      </c>
      <c r="D31" s="48" t="n">
        <f aca="false">SUM(D27:D30)</f>
        <v>3408308.88670231</v>
      </c>
      <c r="E31" s="48" t="n">
        <f aca="false">SUM(E27:E30)</f>
        <v>4550682.99957218</v>
      </c>
      <c r="F31" s="48" t="n">
        <f aca="false">SUM(F27:F30)</f>
        <v>4947372.43406683</v>
      </c>
      <c r="G31" s="48" t="n">
        <f aca="false">SUM(G27:G30)</f>
        <v>5284089.94946732</v>
      </c>
      <c r="H31" s="48" t="n">
        <f aca="false">SUM(H27:H30)</f>
        <v>5393889.14389417</v>
      </c>
      <c r="I31" s="48" t="n">
        <f aca="false">SUM(I27:I30)</f>
        <v>5503654.37742512</v>
      </c>
      <c r="J31" s="48" t="n">
        <f aca="false">SUM(J27:J30)</f>
        <v>5615834.44609375</v>
      </c>
      <c r="K31" s="48" t="n">
        <f aca="false">SUM(D31:J31)</f>
        <v>34703832.2372217</v>
      </c>
    </row>
    <row r="33" customFormat="false" ht="15" hidden="false" customHeight="false" outlineLevel="0" collapsed="false">
      <c r="B33" s="33" t="s">
        <v>453</v>
      </c>
    </row>
    <row r="34" customFormat="false" ht="15" hidden="false" customHeight="false" outlineLevel="0" collapsed="false">
      <c r="B34" s="19" t="s">
        <v>372</v>
      </c>
      <c r="C34" s="20" t="s">
        <v>32</v>
      </c>
      <c r="D34" s="12" t="n">
        <f aca="false">Исх_данные!$F$90</f>
        <v>131837.118272321</v>
      </c>
      <c r="E34" s="12" t="n">
        <f aca="false">Исх_данные!$G$90</f>
        <v>515884.375848214</v>
      </c>
      <c r="F34" s="12" t="n">
        <f aca="false">Исх_данные!$H$90</f>
        <v>505302.132241071</v>
      </c>
      <c r="G34" s="12" t="n">
        <f aca="false">Исх_данные!$I$90</f>
        <v>494719.888633929</v>
      </c>
      <c r="H34" s="12" t="n">
        <f aca="false">Исх_данные!$J$90</f>
        <v>484137.645026786</v>
      </c>
      <c r="I34" s="12" t="n">
        <f aca="false">Исх_данные!$K$90</f>
        <v>473555.401419643</v>
      </c>
      <c r="J34" s="12" t="n">
        <f aca="false">Исх_данные!$L$90</f>
        <v>462973.1578125</v>
      </c>
      <c r="K34" s="12" t="n">
        <f aca="false">SUM(D34:J34)</f>
        <v>3068409.71925446</v>
      </c>
    </row>
    <row r="35" customFormat="false" ht="15" hidden="false" customHeight="false" outlineLevel="0" collapsed="false">
      <c r="B35" s="19" t="s">
        <v>374</v>
      </c>
      <c r="C35" s="20" t="s">
        <v>32</v>
      </c>
      <c r="D35" s="12" t="n">
        <f aca="false">Исх_данные!$F$91</f>
        <v>0</v>
      </c>
      <c r="E35" s="12" t="n">
        <f aca="false">Исх_данные!$G$91</f>
        <v>0</v>
      </c>
      <c r="F35" s="12" t="n">
        <f aca="false">Исх_данные!$H$91</f>
        <v>0</v>
      </c>
      <c r="G35" s="12" t="n">
        <f aca="false">Исх_данные!$I$91</f>
        <v>0</v>
      </c>
      <c r="H35" s="12" t="n">
        <f aca="false">Исх_данные!$J$91</f>
        <v>0</v>
      </c>
      <c r="I35" s="12" t="n">
        <f aca="false">Исх_данные!$K$91</f>
        <v>0</v>
      </c>
      <c r="J35" s="12" t="n">
        <f aca="false">Исх_данные!$L$91</f>
        <v>0</v>
      </c>
      <c r="K35" s="12" t="n">
        <f aca="false">SUM(D35:J35)</f>
        <v>0</v>
      </c>
    </row>
    <row r="36" customFormat="false" ht="15" hidden="false" customHeight="false" outlineLevel="0" collapsed="false">
      <c r="B36" s="19" t="s">
        <v>375</v>
      </c>
      <c r="C36" s="20" t="s">
        <v>32</v>
      </c>
      <c r="D36" s="12" t="n">
        <f aca="false">Исх_данные!$F$92</f>
        <v>0</v>
      </c>
      <c r="E36" s="12" t="n">
        <f aca="false">Исх_данные!$G$92</f>
        <v>0</v>
      </c>
      <c r="F36" s="12" t="n">
        <f aca="false">Исх_данные!$H$92</f>
        <v>0</v>
      </c>
      <c r="G36" s="12" t="n">
        <f aca="false">Исх_данные!$I$92</f>
        <v>0</v>
      </c>
      <c r="H36" s="12" t="n">
        <f aca="false">Исх_данные!$J$92</f>
        <v>0</v>
      </c>
      <c r="I36" s="12" t="n">
        <f aca="false">Исх_данные!$K$92</f>
        <v>0</v>
      </c>
      <c r="J36" s="12" t="n">
        <f aca="false">Исх_данные!$L$92</f>
        <v>0</v>
      </c>
      <c r="K36" s="12" t="n">
        <f aca="false">SUM(D36:J36)</f>
        <v>0</v>
      </c>
    </row>
    <row r="37" customFormat="false" ht="15" hidden="false" customHeight="false" outlineLevel="0" collapsed="false">
      <c r="B37" s="19" t="s">
        <v>454</v>
      </c>
      <c r="C37" s="20" t="s">
        <v>32</v>
      </c>
      <c r="D37" s="12" t="n">
        <f aca="false">Исх_данные!$F$89</f>
        <v>186043.420382511</v>
      </c>
      <c r="E37" s="12" t="n">
        <f aca="false">Исх_данные!$G$89</f>
        <v>493952.040912392</v>
      </c>
      <c r="F37" s="12" t="n">
        <f aca="false">Исх_данные!$H$89</f>
        <v>627335.341269129</v>
      </c>
      <c r="G37" s="12" t="n">
        <f aca="false">Исх_данные!$I$89</f>
        <v>735100.628833832</v>
      </c>
      <c r="H37" s="12" t="n">
        <f aca="false">Исх_данные!$J$89</f>
        <v>751321.833531642</v>
      </c>
      <c r="I37" s="12" t="n">
        <f aca="false">Исх_данные!$K$89</f>
        <v>767850.913869338</v>
      </c>
      <c r="J37" s="12" t="n">
        <f aca="false">Исх_данные!$L$89</f>
        <v>784743.633974464</v>
      </c>
      <c r="K37" s="12" t="n">
        <f aca="false">SUM(D37:J37)</f>
        <v>4346347.81277331</v>
      </c>
    </row>
    <row r="38" customFormat="false" ht="15" hidden="false" customHeight="false" outlineLevel="0" collapsed="false">
      <c r="B38" s="19" t="s">
        <v>455</v>
      </c>
      <c r="C38" s="20" t="s">
        <v>32</v>
      </c>
      <c r="D38" s="12" t="n">
        <f aca="false">Исх_данные!$F$59-Исх_данные!$F$58-D34-D35-D36-D37</f>
        <v>1284788.82623617</v>
      </c>
      <c r="E38" s="12" t="n">
        <f aca="false">Исх_данные!$G$59-Исх_данные!$G$58-E34-E35-E36-E37</f>
        <v>0</v>
      </c>
      <c r="F38" s="12" t="n">
        <f aca="false">Исх_данные!$H$59-Исх_данные!$H$58-F34-F35-F36-F37</f>
        <v>0</v>
      </c>
      <c r="G38" s="12" t="n">
        <f aca="false">Исх_данные!$I$59-Исх_данные!$I$58-G34-G35-G36-G37</f>
        <v>0</v>
      </c>
      <c r="H38" s="12" t="n">
        <f aca="false">Исх_данные!$J$59-Исх_данные!$J$58-H34-H35-H36-H37</f>
        <v>0</v>
      </c>
      <c r="I38" s="12" t="n">
        <f aca="false">Исх_данные!$K$59-Исх_данные!$K$58-I34-I35-I36-I37</f>
        <v>0</v>
      </c>
      <c r="J38" s="12" t="n">
        <f aca="false">Исх_данные!$L$59-Исх_данные!$L$58-J34-J35-J36-J37</f>
        <v>0</v>
      </c>
      <c r="K38" s="12" t="n">
        <f aca="false">SUM(D38:J38)</f>
        <v>1284788.82623617</v>
      </c>
    </row>
    <row r="39" customFormat="false" ht="15" hidden="false" customHeight="false" outlineLevel="0" collapsed="false">
      <c r="B39" s="69" t="s">
        <v>456</v>
      </c>
      <c r="C39" s="59" t="s">
        <v>32</v>
      </c>
      <c r="D39" s="48" t="n">
        <f aca="false">SUM(D34:D38)</f>
        <v>1602669.36489101</v>
      </c>
      <c r="E39" s="48" t="n">
        <f aca="false">SUM(E34:E38)</f>
        <v>1009836.41676061</v>
      </c>
      <c r="F39" s="48" t="n">
        <f aca="false">SUM(F34:F38)</f>
        <v>1132637.4735102</v>
      </c>
      <c r="G39" s="48" t="n">
        <f aca="false">SUM(G34:G38)</f>
        <v>1229820.51746776</v>
      </c>
      <c r="H39" s="48" t="n">
        <f aca="false">SUM(H34:H38)</f>
        <v>1235459.47855843</v>
      </c>
      <c r="I39" s="48" t="n">
        <f aca="false">SUM(I34:I38)</f>
        <v>1241406.31528898</v>
      </c>
      <c r="J39" s="48" t="n">
        <f aca="false">SUM(J34:J38)</f>
        <v>1247716.79178696</v>
      </c>
      <c r="K39" s="48" t="n">
        <f aca="false">SUM(D39:J39)</f>
        <v>8699546.35826395</v>
      </c>
    </row>
    <row r="41" customFormat="false" ht="15" hidden="false" customHeight="false" outlineLevel="0" collapsed="false">
      <c r="B41" s="33" t="s">
        <v>457</v>
      </c>
    </row>
    <row r="42" customFormat="false" ht="23.85" hidden="false" customHeight="false" outlineLevel="0" collapsed="false">
      <c r="B42" s="19" t="s">
        <v>458</v>
      </c>
      <c r="C42" s="20" t="s">
        <v>32</v>
      </c>
      <c r="D42" s="12" t="n">
        <f aca="false">0</f>
        <v>0</v>
      </c>
      <c r="E42" s="12" t="n">
        <f aca="false">LOANS!$D$106</f>
        <v>1195508.18184696</v>
      </c>
      <c r="F42" s="12" t="n">
        <f aca="false">LOANS!$E$106</f>
        <v>976834.436576932</v>
      </c>
      <c r="G42" s="12" t="n">
        <f aca="false">LOANS!$F$106</f>
        <v>761648.859339746</v>
      </c>
      <c r="H42" s="12" t="n">
        <f aca="false">LOANS!$G$106</f>
        <v>546463.282102561</v>
      </c>
      <c r="I42" s="12" t="n">
        <f aca="false">LOANS!$H$106</f>
        <v>332407.674791507</v>
      </c>
      <c r="J42" s="12" t="n">
        <f aca="false">LOANS!$I$106</f>
        <v>116092.12762819</v>
      </c>
      <c r="K42" s="12" t="n">
        <f aca="false">SUM(D42:J42)</f>
        <v>3928954.56228589</v>
      </c>
    </row>
    <row r="44" customFormat="false" ht="15" hidden="false" customHeight="false" outlineLevel="0" collapsed="false">
      <c r="B44" s="38" t="s">
        <v>459</v>
      </c>
      <c r="C44" s="63" t="s">
        <v>32</v>
      </c>
      <c r="D44" s="15" t="n">
        <f aca="false">D22+D31+D39+D42</f>
        <v>8994063.599289</v>
      </c>
      <c r="E44" s="15" t="n">
        <f aca="false">E22+E31+E39+E42</f>
        <v>29504420.8260679</v>
      </c>
      <c r="F44" s="15" t="n">
        <f aca="false">F22+F31+F39+F42</f>
        <v>35824569.9512457</v>
      </c>
      <c r="G44" s="15" t="n">
        <f aca="false">G22+G31+G39+G42</f>
        <v>41233113.7342255</v>
      </c>
      <c r="H44" s="15" t="n">
        <f aca="false">H22+H31+H39+H42</f>
        <v>42189034.9812481</v>
      </c>
      <c r="I44" s="15" t="n">
        <f aca="false">I22+I31+I39+I42</f>
        <v>42860274.533116</v>
      </c>
      <c r="J44" s="15" t="n">
        <f aca="false">J22+J31+J39+J42</f>
        <v>43547776.3322594</v>
      </c>
      <c r="K44" s="15" t="n">
        <f aca="false">SUM(D44:J44)</f>
        <v>244153253.957452</v>
      </c>
    </row>
    <row r="45" customFormat="false" ht="15" hidden="false" customHeight="false" outlineLevel="0" collapsed="false">
      <c r="B45" s="19" t="s">
        <v>460</v>
      </c>
      <c r="C45" s="20" t="s">
        <v>273</v>
      </c>
      <c r="D45" s="12" t="n">
        <f aca="false">IFERROR(D44/(ProdPlan!D21+ProdPlan!D22),0)</f>
        <v>36283.3933216235</v>
      </c>
      <c r="E45" s="12" t="n">
        <f aca="false">IFERROR(E44/(ProdPlan!E21+ProdPlan!E22),0)</f>
        <v>22963.0672460912</v>
      </c>
      <c r="F45" s="12" t="n">
        <f aca="false">IFERROR(F44/(ProdPlan!F21+ProdPlan!F22),0)</f>
        <v>21463.6122207631</v>
      </c>
      <c r="G45" s="12" t="n">
        <f aca="false">IFERROR(G44/(ProdPlan!G21+ProdPlan!G22),0)</f>
        <v>20923.3367927306</v>
      </c>
      <c r="H45" s="12" t="n">
        <f aca="false">IFERROR(H44/(ProdPlan!H21+ProdPlan!H22),0)</f>
        <v>21274.6070392109</v>
      </c>
      <c r="I45" s="12" t="n">
        <f aca="false">IFERROR(I44/(ProdPlan!I21+ProdPlan!I22),0)</f>
        <v>21613.0920911092</v>
      </c>
      <c r="J45" s="12" t="n">
        <f aca="false">IFERROR(J44/(ProdPlan!J21+ProdPlan!J22),0)</f>
        <v>21959.7776842267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8" min="3" style="0" width="16"/>
    <col collapsed="false" customWidth="true" hidden="false" outlineLevel="0" max="10" min="9" style="0" width="8"/>
    <col collapsed="false" customWidth="true" hidden="false" outlineLevel="0" max="12" min="11" style="0" width="3"/>
  </cols>
  <sheetData>
    <row r="2" customFormat="false" ht="15" hidden="false" customHeight="false" outlineLevel="0" collapsed="false">
      <c r="B2" s="2" t="s">
        <v>461</v>
      </c>
      <c r="H2" s="51" t="s">
        <v>462</v>
      </c>
    </row>
    <row r="5" customFormat="false" ht="15" hidden="false" customHeight="false" outlineLevel="0" collapsed="false">
      <c r="B5" s="6" t="s">
        <v>23</v>
      </c>
      <c r="C5" s="58" t="n">
        <f aca="false">ИНФОРМАЦИЯ!$C$28</f>
        <v>84</v>
      </c>
      <c r="D5" s="70" t="s">
        <v>463</v>
      </c>
    </row>
    <row r="6" customFormat="false" ht="15" hidden="false" customHeight="false" outlineLevel="0" collapsed="false">
      <c r="B6" s="6" t="s">
        <v>464</v>
      </c>
      <c r="C6" s="58" t="n">
        <f aca="false">ИНФОРМАЦИЯ!$C$29</f>
        <v>12</v>
      </c>
      <c r="D6" s="70" t="s">
        <v>463</v>
      </c>
    </row>
    <row r="7" customFormat="false" ht="15" hidden="false" customHeight="false" outlineLevel="0" collapsed="false">
      <c r="B7" s="6" t="s">
        <v>465</v>
      </c>
      <c r="C7" s="58" t="n">
        <f aca="false">ИНФОРМАЦИЯ!$C$30</f>
        <v>12</v>
      </c>
      <c r="D7" s="70" t="s">
        <v>463</v>
      </c>
    </row>
    <row r="8" customFormat="false" ht="15" hidden="false" customHeight="false" outlineLevel="0" collapsed="false">
      <c r="B8" s="6" t="s">
        <v>22</v>
      </c>
      <c r="C8" s="13" t="n">
        <f aca="false">ИНФОРМАЦИЯ!$C$27</f>
        <v>0.07</v>
      </c>
      <c r="D8" s="70" t="s">
        <v>466</v>
      </c>
    </row>
    <row r="9" customFormat="false" ht="15" hidden="false" customHeight="false" outlineLevel="0" collapsed="false">
      <c r="B9" s="6" t="s">
        <v>467</v>
      </c>
      <c r="C9" s="12" t="n">
        <f aca="false">ИНФОРМАЦИЯ!$C$26</f>
        <v>18191813.9660399</v>
      </c>
      <c r="D9" s="70" t="s">
        <v>32</v>
      </c>
    </row>
    <row r="10" customFormat="false" ht="15" hidden="false" customHeight="false" outlineLevel="0" collapsed="false">
      <c r="B10" s="6" t="s">
        <v>468</v>
      </c>
      <c r="C10" s="71" t="n">
        <f aca="false">ИНФОРМАЦИЯ!$C$31</f>
        <v>46388</v>
      </c>
      <c r="D10" s="70"/>
    </row>
    <row r="11" customFormat="false" ht="15" hidden="false" customHeight="false" outlineLevel="0" collapsed="false">
      <c r="B11" s="6" t="s">
        <v>469</v>
      </c>
      <c r="C11" s="58" t="n">
        <f aca="false">ИНФОРМАЦИЯ!$C$32</f>
        <v>360</v>
      </c>
      <c r="D11" s="70" t="s">
        <v>470</v>
      </c>
    </row>
    <row r="12" customFormat="false" ht="15" hidden="false" customHeight="false" outlineLevel="0" collapsed="false">
      <c r="B12" s="6" t="s">
        <v>471</v>
      </c>
      <c r="C12" s="58" t="n">
        <f aca="false">C5-C6</f>
        <v>72</v>
      </c>
      <c r="D12" s="70" t="s">
        <v>472</v>
      </c>
    </row>
    <row r="13" customFormat="false" ht="15" hidden="false" customHeight="false" outlineLevel="0" collapsed="false">
      <c r="B13" s="6" t="s">
        <v>473</v>
      </c>
      <c r="C13" s="29" t="n">
        <f aca="false">C9/C12</f>
        <v>252664.082861666</v>
      </c>
      <c r="D13" s="70" t="s">
        <v>32</v>
      </c>
    </row>
    <row r="15" customFormat="false" ht="30" hidden="false" customHeight="true" outlineLevel="0" collapsed="false">
      <c r="A15" s="18" t="s">
        <v>474</v>
      </c>
      <c r="B15" s="18" t="s">
        <v>475</v>
      </c>
      <c r="C15" s="18" t="s">
        <v>476</v>
      </c>
      <c r="D15" s="18" t="s">
        <v>138</v>
      </c>
      <c r="E15" s="18" t="s">
        <v>477</v>
      </c>
      <c r="F15" s="18" t="s">
        <v>478</v>
      </c>
      <c r="G15" s="18" t="s">
        <v>479</v>
      </c>
      <c r="H15" s="18" t="s">
        <v>480</v>
      </c>
      <c r="I15" s="18" t="s">
        <v>481</v>
      </c>
    </row>
    <row r="16" customFormat="false" ht="15" hidden="false" customHeight="false" outlineLevel="0" collapsed="false">
      <c r="A16" s="72" t="n">
        <v>1</v>
      </c>
      <c r="B16" s="73" t="n">
        <f aca="false">EOMONTH($C$10,0)</f>
        <v>46418</v>
      </c>
      <c r="C16" s="29" t="n">
        <f aca="false">$C$9</f>
        <v>18191813.9660399</v>
      </c>
      <c r="D16" s="29" t="n">
        <f aca="false">IF(A16&gt;$C$6,MIN(C16,$C$13),0)</f>
        <v>0</v>
      </c>
      <c r="E16" s="29" t="n">
        <f aca="false">C16*$C$8*DAY(B16)/$C$11</f>
        <v>109656.211961963</v>
      </c>
      <c r="F16" s="29" t="n">
        <f aca="false">D16+E16</f>
        <v>109656.211961963</v>
      </c>
      <c r="G16" s="29" t="n">
        <f aca="false">C16-D16</f>
        <v>18191813.9660399</v>
      </c>
      <c r="H16" s="72" t="n">
        <f aca="false">YEAR(B16)</f>
        <v>2027</v>
      </c>
      <c r="I16" s="72" t="n">
        <f aca="false">H16-2026</f>
        <v>1</v>
      </c>
    </row>
    <row r="17" customFormat="false" ht="15" hidden="false" customHeight="false" outlineLevel="0" collapsed="false">
      <c r="A17" s="72" t="n">
        <v>2</v>
      </c>
      <c r="B17" s="73" t="n">
        <f aca="false">EOMONTH($C$10,1)</f>
        <v>46446</v>
      </c>
      <c r="C17" s="29" t="n">
        <f aca="false">G16</f>
        <v>18191813.9660399</v>
      </c>
      <c r="D17" s="29" t="n">
        <f aca="false">IF(A17&gt;$C$6,MIN(C17,$C$13),0)</f>
        <v>0</v>
      </c>
      <c r="E17" s="29" t="n">
        <f aca="false">C17*$C$8*DAY(B17)/$C$11</f>
        <v>99044.3204817731</v>
      </c>
      <c r="F17" s="29" t="n">
        <f aca="false">D17+E17</f>
        <v>99044.3204817731</v>
      </c>
      <c r="G17" s="29" t="n">
        <f aca="false">C17-D17</f>
        <v>18191813.9660399</v>
      </c>
      <c r="H17" s="72" t="n">
        <f aca="false">YEAR(B17)</f>
        <v>2027</v>
      </c>
      <c r="I17" s="72" t="n">
        <f aca="false">H17-2026</f>
        <v>1</v>
      </c>
    </row>
    <row r="18" customFormat="false" ht="15" hidden="false" customHeight="false" outlineLevel="0" collapsed="false">
      <c r="A18" s="72" t="n">
        <v>3</v>
      </c>
      <c r="B18" s="73" t="n">
        <f aca="false">EOMONTH($C$10,2)</f>
        <v>46477</v>
      </c>
      <c r="C18" s="29" t="n">
        <f aca="false">G17</f>
        <v>18191813.9660399</v>
      </c>
      <c r="D18" s="29" t="n">
        <f aca="false">IF(A18&gt;$C$6,MIN(C18,$C$13),0)</f>
        <v>0</v>
      </c>
      <c r="E18" s="29" t="n">
        <f aca="false">C18*$C$8*DAY(B18)/$C$11</f>
        <v>109656.211961963</v>
      </c>
      <c r="F18" s="29" t="n">
        <f aca="false">D18+E18</f>
        <v>109656.211961963</v>
      </c>
      <c r="G18" s="29" t="n">
        <f aca="false">C18-D18</f>
        <v>18191813.9660399</v>
      </c>
      <c r="H18" s="72" t="n">
        <f aca="false">YEAR(B18)</f>
        <v>2027</v>
      </c>
      <c r="I18" s="72" t="n">
        <f aca="false">H18-2026</f>
        <v>1</v>
      </c>
    </row>
    <row r="19" customFormat="false" ht="15" hidden="false" customHeight="false" outlineLevel="0" collapsed="false">
      <c r="A19" s="72" t="n">
        <v>4</v>
      </c>
      <c r="B19" s="73" t="n">
        <f aca="false">EOMONTH($C$10,3)</f>
        <v>46507</v>
      </c>
      <c r="C19" s="29" t="n">
        <f aca="false">G18</f>
        <v>18191813.9660399</v>
      </c>
      <c r="D19" s="29" t="n">
        <f aca="false">IF(A19&gt;$C$6,MIN(C19,$C$13),0)</f>
        <v>0</v>
      </c>
      <c r="E19" s="29" t="n">
        <f aca="false">C19*$C$8*DAY(B19)/$C$11</f>
        <v>106118.9148019</v>
      </c>
      <c r="F19" s="29" t="n">
        <f aca="false">D19+E19</f>
        <v>106118.9148019</v>
      </c>
      <c r="G19" s="29" t="n">
        <f aca="false">C19-D19</f>
        <v>18191813.9660399</v>
      </c>
      <c r="H19" s="72" t="n">
        <f aca="false">YEAR(B19)</f>
        <v>2027</v>
      </c>
      <c r="I19" s="72" t="n">
        <f aca="false">H19-2026</f>
        <v>1</v>
      </c>
    </row>
    <row r="20" customFormat="false" ht="15" hidden="false" customHeight="false" outlineLevel="0" collapsed="false">
      <c r="A20" s="72" t="n">
        <v>5</v>
      </c>
      <c r="B20" s="73" t="n">
        <f aca="false">EOMONTH($C$10,4)</f>
        <v>46538</v>
      </c>
      <c r="C20" s="29" t="n">
        <f aca="false">G19</f>
        <v>18191813.9660399</v>
      </c>
      <c r="D20" s="29" t="n">
        <f aca="false">IF(A20&gt;$C$6,MIN(C20,$C$13),0)</f>
        <v>0</v>
      </c>
      <c r="E20" s="29" t="n">
        <f aca="false">C20*$C$8*DAY(B20)/$C$11</f>
        <v>109656.211961963</v>
      </c>
      <c r="F20" s="29" t="n">
        <f aca="false">D20+E20</f>
        <v>109656.211961963</v>
      </c>
      <c r="G20" s="29" t="n">
        <f aca="false">C20-D20</f>
        <v>18191813.9660399</v>
      </c>
      <c r="H20" s="72" t="n">
        <f aca="false">YEAR(B20)</f>
        <v>2027</v>
      </c>
      <c r="I20" s="72" t="n">
        <f aca="false">H20-2026</f>
        <v>1</v>
      </c>
    </row>
    <row r="21" customFormat="false" ht="15" hidden="false" customHeight="false" outlineLevel="0" collapsed="false">
      <c r="A21" s="72" t="n">
        <v>6</v>
      </c>
      <c r="B21" s="73" t="n">
        <f aca="false">EOMONTH($C$10,5)</f>
        <v>46568</v>
      </c>
      <c r="C21" s="29" t="n">
        <f aca="false">G20</f>
        <v>18191813.9660399</v>
      </c>
      <c r="D21" s="29" t="n">
        <f aca="false">IF(A21&gt;$C$6,MIN(C21,$C$13),0)</f>
        <v>0</v>
      </c>
      <c r="E21" s="29" t="n">
        <f aca="false">C21*$C$8*DAY(B21)/$C$11</f>
        <v>106118.9148019</v>
      </c>
      <c r="F21" s="29" t="n">
        <f aca="false">D21+E21</f>
        <v>106118.9148019</v>
      </c>
      <c r="G21" s="29" t="n">
        <f aca="false">C21-D21</f>
        <v>18191813.9660399</v>
      </c>
      <c r="H21" s="72" t="n">
        <f aca="false">YEAR(B21)</f>
        <v>2027</v>
      </c>
      <c r="I21" s="72" t="n">
        <f aca="false">H21-2026</f>
        <v>1</v>
      </c>
    </row>
    <row r="22" customFormat="false" ht="15" hidden="false" customHeight="false" outlineLevel="0" collapsed="false">
      <c r="A22" s="72" t="n">
        <v>7</v>
      </c>
      <c r="B22" s="73" t="n">
        <f aca="false">EOMONTH($C$10,6)</f>
        <v>46599</v>
      </c>
      <c r="C22" s="29" t="n">
        <f aca="false">G21</f>
        <v>18191813.9660399</v>
      </c>
      <c r="D22" s="29" t="n">
        <f aca="false">IF(A22&gt;$C$6,MIN(C22,$C$13),0)</f>
        <v>0</v>
      </c>
      <c r="E22" s="29" t="n">
        <f aca="false">C22*$C$8*DAY(B22)/$C$11</f>
        <v>109656.211961963</v>
      </c>
      <c r="F22" s="29" t="n">
        <f aca="false">D22+E22</f>
        <v>109656.211961963</v>
      </c>
      <c r="G22" s="29" t="n">
        <f aca="false">C22-D22</f>
        <v>18191813.9660399</v>
      </c>
      <c r="H22" s="72" t="n">
        <f aca="false">YEAR(B22)</f>
        <v>2027</v>
      </c>
      <c r="I22" s="72" t="n">
        <f aca="false">H22-2026</f>
        <v>1</v>
      </c>
    </row>
    <row r="23" customFormat="false" ht="15" hidden="false" customHeight="false" outlineLevel="0" collapsed="false">
      <c r="A23" s="72" t="n">
        <v>8</v>
      </c>
      <c r="B23" s="73" t="n">
        <f aca="false">EOMONTH($C$10,7)</f>
        <v>46630</v>
      </c>
      <c r="C23" s="29" t="n">
        <f aca="false">G22</f>
        <v>18191813.9660399</v>
      </c>
      <c r="D23" s="29" t="n">
        <f aca="false">IF(A23&gt;$C$6,MIN(C23,$C$13),0)</f>
        <v>0</v>
      </c>
      <c r="E23" s="29" t="n">
        <f aca="false">C23*$C$8*DAY(B23)/$C$11</f>
        <v>109656.211961963</v>
      </c>
      <c r="F23" s="29" t="n">
        <f aca="false">D23+E23</f>
        <v>109656.211961963</v>
      </c>
      <c r="G23" s="29" t="n">
        <f aca="false">C23-D23</f>
        <v>18191813.9660399</v>
      </c>
      <c r="H23" s="72" t="n">
        <f aca="false">YEAR(B23)</f>
        <v>2027</v>
      </c>
      <c r="I23" s="72" t="n">
        <f aca="false">H23-2026</f>
        <v>1</v>
      </c>
    </row>
    <row r="24" customFormat="false" ht="15" hidden="false" customHeight="false" outlineLevel="0" collapsed="false">
      <c r="A24" s="72" t="n">
        <v>9</v>
      </c>
      <c r="B24" s="73" t="n">
        <f aca="false">EOMONTH($C$10,8)</f>
        <v>46660</v>
      </c>
      <c r="C24" s="29" t="n">
        <f aca="false">G23</f>
        <v>18191813.9660399</v>
      </c>
      <c r="D24" s="29" t="n">
        <f aca="false">IF(A24&gt;$C$6,MIN(C24,$C$13),0)</f>
        <v>0</v>
      </c>
      <c r="E24" s="29" t="n">
        <f aca="false">C24*$C$8*DAY(B24)/$C$11</f>
        <v>106118.9148019</v>
      </c>
      <c r="F24" s="29" t="n">
        <f aca="false">D24+E24</f>
        <v>106118.9148019</v>
      </c>
      <c r="G24" s="29" t="n">
        <f aca="false">C24-D24</f>
        <v>18191813.9660399</v>
      </c>
      <c r="H24" s="72" t="n">
        <f aca="false">YEAR(B24)</f>
        <v>2027</v>
      </c>
      <c r="I24" s="72" t="n">
        <f aca="false">H24-2026</f>
        <v>1</v>
      </c>
    </row>
    <row r="25" customFormat="false" ht="15" hidden="false" customHeight="false" outlineLevel="0" collapsed="false">
      <c r="A25" s="72" t="n">
        <v>10</v>
      </c>
      <c r="B25" s="73" t="n">
        <f aca="false">EOMONTH($C$10,9)</f>
        <v>46691</v>
      </c>
      <c r="C25" s="29" t="n">
        <f aca="false">G24</f>
        <v>18191813.9660399</v>
      </c>
      <c r="D25" s="29" t="n">
        <f aca="false">IF(A25&gt;$C$6,MIN(C25,$C$13),0)</f>
        <v>0</v>
      </c>
      <c r="E25" s="29" t="n">
        <f aca="false">C25*$C$8*DAY(B25)/$C$11</f>
        <v>109656.211961963</v>
      </c>
      <c r="F25" s="29" t="n">
        <f aca="false">D25+E25</f>
        <v>109656.211961963</v>
      </c>
      <c r="G25" s="29" t="n">
        <f aca="false">C25-D25</f>
        <v>18191813.9660399</v>
      </c>
      <c r="H25" s="72" t="n">
        <f aca="false">YEAR(B25)</f>
        <v>2027</v>
      </c>
      <c r="I25" s="72" t="n">
        <f aca="false">H25-2026</f>
        <v>1</v>
      </c>
    </row>
    <row r="26" customFormat="false" ht="15" hidden="false" customHeight="false" outlineLevel="0" collapsed="false">
      <c r="A26" s="72" t="n">
        <v>11</v>
      </c>
      <c r="B26" s="73" t="n">
        <f aca="false">EOMONTH($C$10,10)</f>
        <v>46721</v>
      </c>
      <c r="C26" s="29" t="n">
        <f aca="false">G25</f>
        <v>18191813.9660399</v>
      </c>
      <c r="D26" s="29" t="n">
        <f aca="false">IF(A26&gt;$C$6,MIN(C26,$C$13),0)</f>
        <v>0</v>
      </c>
      <c r="E26" s="29" t="n">
        <f aca="false">C26*$C$8*DAY(B26)/$C$11</f>
        <v>106118.9148019</v>
      </c>
      <c r="F26" s="29" t="n">
        <f aca="false">D26+E26</f>
        <v>106118.9148019</v>
      </c>
      <c r="G26" s="29" t="n">
        <f aca="false">C26-D26</f>
        <v>18191813.9660399</v>
      </c>
      <c r="H26" s="72" t="n">
        <f aca="false">YEAR(B26)</f>
        <v>2027</v>
      </c>
      <c r="I26" s="72" t="n">
        <f aca="false">H26-2026</f>
        <v>1</v>
      </c>
    </row>
    <row r="27" customFormat="false" ht="15" hidden="false" customHeight="false" outlineLevel="0" collapsed="false">
      <c r="A27" s="72" t="n">
        <v>12</v>
      </c>
      <c r="B27" s="73" t="n">
        <f aca="false">EOMONTH($C$10,11)</f>
        <v>46752</v>
      </c>
      <c r="C27" s="29" t="n">
        <f aca="false">G26</f>
        <v>18191813.9660399</v>
      </c>
      <c r="D27" s="29" t="n">
        <f aca="false">IF(A27&gt;$C$6,MIN(C27,$C$13),0)</f>
        <v>0</v>
      </c>
      <c r="E27" s="29" t="n">
        <f aca="false">C27*$C$8*DAY(B27)/$C$11</f>
        <v>109656.211961963</v>
      </c>
      <c r="F27" s="29" t="n">
        <f aca="false">D27+E27</f>
        <v>109656.211961963</v>
      </c>
      <c r="G27" s="29" t="n">
        <f aca="false">C27-D27</f>
        <v>18191813.9660399</v>
      </c>
      <c r="H27" s="72" t="n">
        <f aca="false">YEAR(B27)</f>
        <v>2027</v>
      </c>
      <c r="I27" s="72" t="n">
        <f aca="false">H27-2026</f>
        <v>1</v>
      </c>
    </row>
    <row r="28" customFormat="false" ht="15" hidden="false" customHeight="false" outlineLevel="0" collapsed="false">
      <c r="A28" s="72" t="n">
        <v>13</v>
      </c>
      <c r="B28" s="73" t="n">
        <f aca="false">EOMONTH($C$10,12)</f>
        <v>46783</v>
      </c>
      <c r="C28" s="29" t="n">
        <f aca="false">G27</f>
        <v>18191813.9660399</v>
      </c>
      <c r="D28" s="29" t="n">
        <f aca="false">IF(A28&gt;$C$6,MIN(C28,$C$13),0)</f>
        <v>252664.082861666</v>
      </c>
      <c r="E28" s="29" t="n">
        <f aca="false">C28*$C$8*DAY(B28)/$C$11</f>
        <v>109656.211961963</v>
      </c>
      <c r="F28" s="29" t="n">
        <f aca="false">D28+E28</f>
        <v>362320.294823629</v>
      </c>
      <c r="G28" s="29" t="n">
        <f aca="false">C28-D28</f>
        <v>17939149.8831783</v>
      </c>
      <c r="H28" s="72" t="n">
        <f aca="false">YEAR(B28)</f>
        <v>2028</v>
      </c>
      <c r="I28" s="72" t="n">
        <f aca="false">H28-2026</f>
        <v>2</v>
      </c>
    </row>
    <row r="29" customFormat="false" ht="15" hidden="false" customHeight="false" outlineLevel="0" collapsed="false">
      <c r="A29" s="72" t="n">
        <v>14</v>
      </c>
      <c r="B29" s="73" t="n">
        <f aca="false">EOMONTH($C$10,13)</f>
        <v>46812</v>
      </c>
      <c r="C29" s="29" t="n">
        <f aca="false">G28</f>
        <v>17939149.8831783</v>
      </c>
      <c r="D29" s="29" t="n">
        <f aca="false">IF(A29&gt;$C$6,MIN(C29,$C$13),0)</f>
        <v>252664.082861666</v>
      </c>
      <c r="E29" s="29" t="n">
        <f aca="false">C29*$C$8*DAY(B29)/$C$11</f>
        <v>101156.872952366</v>
      </c>
      <c r="F29" s="29" t="n">
        <f aca="false">D29+E29</f>
        <v>353820.955814032</v>
      </c>
      <c r="G29" s="29" t="n">
        <f aca="false">C29-D29</f>
        <v>17686485.8003166</v>
      </c>
      <c r="H29" s="72" t="n">
        <f aca="false">YEAR(B29)</f>
        <v>2028</v>
      </c>
      <c r="I29" s="72" t="n">
        <f aca="false">H29-2026</f>
        <v>2</v>
      </c>
    </row>
    <row r="30" customFormat="false" ht="15" hidden="false" customHeight="false" outlineLevel="0" collapsed="false">
      <c r="A30" s="72" t="n">
        <v>15</v>
      </c>
      <c r="B30" s="73" t="n">
        <f aca="false">EOMONTH($C$10,14)</f>
        <v>46843</v>
      </c>
      <c r="C30" s="29" t="n">
        <f aca="false">G29</f>
        <v>17686485.8003166</v>
      </c>
      <c r="D30" s="29" t="n">
        <f aca="false">IF(A30&gt;$C$6,MIN(C30,$C$13),0)</f>
        <v>252664.082861666</v>
      </c>
      <c r="E30" s="29" t="n">
        <f aca="false">C30*$C$8*DAY(B30)/$C$11</f>
        <v>106610.206074131</v>
      </c>
      <c r="F30" s="29" t="n">
        <f aca="false">D30+E30</f>
        <v>359274.288935797</v>
      </c>
      <c r="G30" s="29" t="n">
        <f aca="false">C30-D30</f>
        <v>17433821.7174549</v>
      </c>
      <c r="H30" s="72" t="n">
        <f aca="false">YEAR(B30)</f>
        <v>2028</v>
      </c>
      <c r="I30" s="72" t="n">
        <f aca="false">H30-2026</f>
        <v>2</v>
      </c>
    </row>
    <row r="31" customFormat="false" ht="15" hidden="false" customHeight="false" outlineLevel="0" collapsed="false">
      <c r="A31" s="72" t="n">
        <v>16</v>
      </c>
      <c r="B31" s="73" t="n">
        <f aca="false">EOMONTH($C$10,15)</f>
        <v>46873</v>
      </c>
      <c r="C31" s="29" t="n">
        <f aca="false">G30</f>
        <v>17433821.7174549</v>
      </c>
      <c r="D31" s="29" t="n">
        <f aca="false">IF(A31&gt;$C$6,MIN(C31,$C$13),0)</f>
        <v>252664.082861666</v>
      </c>
      <c r="E31" s="29" t="n">
        <f aca="false">C31*$C$8*DAY(B31)/$C$11</f>
        <v>101697.293351821</v>
      </c>
      <c r="F31" s="29" t="n">
        <f aca="false">D31+E31</f>
        <v>354361.376213486</v>
      </c>
      <c r="G31" s="29" t="n">
        <f aca="false">C31-D31</f>
        <v>17181157.6345933</v>
      </c>
      <c r="H31" s="72" t="n">
        <f aca="false">YEAR(B31)</f>
        <v>2028</v>
      </c>
      <c r="I31" s="72" t="n">
        <f aca="false">H31-2026</f>
        <v>2</v>
      </c>
    </row>
    <row r="32" customFormat="false" ht="15" hidden="false" customHeight="false" outlineLevel="0" collapsed="false">
      <c r="A32" s="72" t="n">
        <v>17</v>
      </c>
      <c r="B32" s="73" t="n">
        <f aca="false">EOMONTH($C$10,16)</f>
        <v>46904</v>
      </c>
      <c r="C32" s="29" t="n">
        <f aca="false">G31</f>
        <v>17181157.6345933</v>
      </c>
      <c r="D32" s="29" t="n">
        <f aca="false">IF(A32&gt;$C$6,MIN(C32,$C$13),0)</f>
        <v>252664.082861666</v>
      </c>
      <c r="E32" s="29" t="n">
        <f aca="false">C32*$C$8*DAY(B32)/$C$11</f>
        <v>103564.200186298</v>
      </c>
      <c r="F32" s="29" t="n">
        <f aca="false">D32+E32</f>
        <v>356228.283047964</v>
      </c>
      <c r="G32" s="29" t="n">
        <f aca="false">C32-D32</f>
        <v>16928493.5517316</v>
      </c>
      <c r="H32" s="72" t="n">
        <f aca="false">YEAR(B32)</f>
        <v>2028</v>
      </c>
      <c r="I32" s="72" t="n">
        <f aca="false">H32-2026</f>
        <v>2</v>
      </c>
    </row>
    <row r="33" customFormat="false" ht="15" hidden="false" customHeight="false" outlineLevel="0" collapsed="false">
      <c r="A33" s="72" t="n">
        <v>18</v>
      </c>
      <c r="B33" s="73" t="n">
        <f aca="false">EOMONTH($C$10,17)</f>
        <v>46934</v>
      </c>
      <c r="C33" s="29" t="n">
        <f aca="false">G32</f>
        <v>16928493.5517316</v>
      </c>
      <c r="D33" s="29" t="n">
        <f aca="false">IF(A33&gt;$C$6,MIN(C33,$C$13),0)</f>
        <v>252664.082861666</v>
      </c>
      <c r="E33" s="29" t="n">
        <f aca="false">C33*$C$8*DAY(B33)/$C$11</f>
        <v>98749.5457184344</v>
      </c>
      <c r="F33" s="29" t="n">
        <f aca="false">D33+E33</f>
        <v>351413.6285801</v>
      </c>
      <c r="G33" s="29" t="n">
        <f aca="false">C33-D33</f>
        <v>16675829.46887</v>
      </c>
      <c r="H33" s="72" t="n">
        <f aca="false">YEAR(B33)</f>
        <v>2028</v>
      </c>
      <c r="I33" s="72" t="n">
        <f aca="false">H33-2026</f>
        <v>2</v>
      </c>
    </row>
    <row r="34" customFormat="false" ht="15" hidden="false" customHeight="false" outlineLevel="0" collapsed="false">
      <c r="A34" s="72" t="n">
        <v>19</v>
      </c>
      <c r="B34" s="73" t="n">
        <f aca="false">EOMONTH($C$10,18)</f>
        <v>46965</v>
      </c>
      <c r="C34" s="29" t="n">
        <f aca="false">G33</f>
        <v>16675829.46887</v>
      </c>
      <c r="D34" s="29" t="n">
        <f aca="false">IF(A34&gt;$C$6,MIN(C34,$C$13),0)</f>
        <v>252664.082861666</v>
      </c>
      <c r="E34" s="29" t="n">
        <f aca="false">C34*$C$8*DAY(B34)/$C$11</f>
        <v>100518.194298466</v>
      </c>
      <c r="F34" s="29" t="n">
        <f aca="false">D34+E34</f>
        <v>353182.277160132</v>
      </c>
      <c r="G34" s="29" t="n">
        <f aca="false">C34-D34</f>
        <v>16423165.3860083</v>
      </c>
      <c r="H34" s="72" t="n">
        <f aca="false">YEAR(B34)</f>
        <v>2028</v>
      </c>
      <c r="I34" s="72" t="n">
        <f aca="false">H34-2026</f>
        <v>2</v>
      </c>
    </row>
    <row r="35" customFormat="false" ht="15" hidden="false" customHeight="false" outlineLevel="0" collapsed="false">
      <c r="A35" s="72" t="n">
        <v>20</v>
      </c>
      <c r="B35" s="73" t="n">
        <f aca="false">EOMONTH($C$10,19)</f>
        <v>46996</v>
      </c>
      <c r="C35" s="29" t="n">
        <f aca="false">G34</f>
        <v>16423165.3860083</v>
      </c>
      <c r="D35" s="29" t="n">
        <f aca="false">IF(A35&gt;$C$6,MIN(C35,$C$13),0)</f>
        <v>252664.082861666</v>
      </c>
      <c r="E35" s="29" t="n">
        <f aca="false">C35*$C$8*DAY(B35)/$C$11</f>
        <v>98995.1913545499</v>
      </c>
      <c r="F35" s="29" t="n">
        <f aca="false">D35+E35</f>
        <v>351659.274216216</v>
      </c>
      <c r="G35" s="29" t="n">
        <f aca="false">C35-D35</f>
        <v>16170501.3031466</v>
      </c>
      <c r="H35" s="72" t="n">
        <f aca="false">YEAR(B35)</f>
        <v>2028</v>
      </c>
      <c r="I35" s="72" t="n">
        <f aca="false">H35-2026</f>
        <v>2</v>
      </c>
    </row>
    <row r="36" customFormat="false" ht="15" hidden="false" customHeight="false" outlineLevel="0" collapsed="false">
      <c r="A36" s="72" t="n">
        <v>21</v>
      </c>
      <c r="B36" s="73" t="n">
        <f aca="false">EOMONTH($C$10,20)</f>
        <v>47026</v>
      </c>
      <c r="C36" s="29" t="n">
        <f aca="false">G35</f>
        <v>16170501.3031466</v>
      </c>
      <c r="D36" s="29" t="n">
        <f aca="false">IF(A36&gt;$C$6,MIN(C36,$C$13),0)</f>
        <v>252664.082861666</v>
      </c>
      <c r="E36" s="29" t="n">
        <f aca="false">C36*$C$8*DAY(B36)/$C$11</f>
        <v>94327.9242683553</v>
      </c>
      <c r="F36" s="29" t="n">
        <f aca="false">D36+E36</f>
        <v>346992.007130021</v>
      </c>
      <c r="G36" s="29" t="n">
        <f aca="false">C36-D36</f>
        <v>15917837.220285</v>
      </c>
      <c r="H36" s="72" t="n">
        <f aca="false">YEAR(B36)</f>
        <v>2028</v>
      </c>
      <c r="I36" s="72" t="n">
        <f aca="false">H36-2026</f>
        <v>2</v>
      </c>
    </row>
    <row r="37" customFormat="false" ht="15" hidden="false" customHeight="false" outlineLevel="0" collapsed="false">
      <c r="A37" s="72" t="n">
        <v>22</v>
      </c>
      <c r="B37" s="73" t="n">
        <f aca="false">EOMONTH($C$10,21)</f>
        <v>47057</v>
      </c>
      <c r="C37" s="29" t="n">
        <f aca="false">G36</f>
        <v>15917837.220285</v>
      </c>
      <c r="D37" s="29" t="n">
        <f aca="false">IF(A37&gt;$C$6,MIN(C37,$C$13),0)</f>
        <v>252664.082861666</v>
      </c>
      <c r="E37" s="29" t="n">
        <f aca="false">C37*$C$8*DAY(B37)/$C$11</f>
        <v>95949.1854667176</v>
      </c>
      <c r="F37" s="29" t="n">
        <f aca="false">D37+E37</f>
        <v>348613.268328384</v>
      </c>
      <c r="G37" s="29" t="n">
        <f aca="false">C37-D37</f>
        <v>15665173.1374233</v>
      </c>
      <c r="H37" s="72" t="n">
        <f aca="false">YEAR(B37)</f>
        <v>2028</v>
      </c>
      <c r="I37" s="72" t="n">
        <f aca="false">H37-2026</f>
        <v>2</v>
      </c>
    </row>
    <row r="38" customFormat="false" ht="15" hidden="false" customHeight="false" outlineLevel="0" collapsed="false">
      <c r="A38" s="72" t="n">
        <v>23</v>
      </c>
      <c r="B38" s="73" t="n">
        <f aca="false">EOMONTH($C$10,22)</f>
        <v>47087</v>
      </c>
      <c r="C38" s="29" t="n">
        <f aca="false">G37</f>
        <v>15665173.1374233</v>
      </c>
      <c r="D38" s="29" t="n">
        <f aca="false">IF(A38&gt;$C$6,MIN(C38,$C$13),0)</f>
        <v>252664.082861666</v>
      </c>
      <c r="E38" s="29" t="n">
        <f aca="false">C38*$C$8*DAY(B38)/$C$11</f>
        <v>91380.1766349692</v>
      </c>
      <c r="F38" s="29" t="n">
        <f aca="false">D38+E38</f>
        <v>344044.259496635</v>
      </c>
      <c r="G38" s="29" t="n">
        <f aca="false">C38-D38</f>
        <v>15412509.0545616</v>
      </c>
      <c r="H38" s="72" t="n">
        <f aca="false">YEAR(B38)</f>
        <v>2028</v>
      </c>
      <c r="I38" s="72" t="n">
        <f aca="false">H38-2026</f>
        <v>2</v>
      </c>
    </row>
    <row r="39" customFormat="false" ht="15" hidden="false" customHeight="false" outlineLevel="0" collapsed="false">
      <c r="A39" s="72" t="n">
        <v>24</v>
      </c>
      <c r="B39" s="73" t="n">
        <f aca="false">EOMONTH($C$10,23)</f>
        <v>47118</v>
      </c>
      <c r="C39" s="29" t="n">
        <f aca="false">G38</f>
        <v>15412509.0545616</v>
      </c>
      <c r="D39" s="29" t="n">
        <f aca="false">IF(A39&gt;$C$6,MIN(C39,$C$13),0)</f>
        <v>252664.082861666</v>
      </c>
      <c r="E39" s="29" t="n">
        <f aca="false">C39*$C$8*DAY(B39)/$C$11</f>
        <v>92903.1795788854</v>
      </c>
      <c r="F39" s="29" t="n">
        <f aca="false">D39+E39</f>
        <v>345567.262440551</v>
      </c>
      <c r="G39" s="29" t="n">
        <f aca="false">C39-D39</f>
        <v>15159844.9717</v>
      </c>
      <c r="H39" s="72" t="n">
        <f aca="false">YEAR(B39)</f>
        <v>2028</v>
      </c>
      <c r="I39" s="72" t="n">
        <f aca="false">H39-2026</f>
        <v>2</v>
      </c>
    </row>
    <row r="40" customFormat="false" ht="15" hidden="false" customHeight="false" outlineLevel="0" collapsed="false">
      <c r="A40" s="72" t="n">
        <v>25</v>
      </c>
      <c r="B40" s="73" t="n">
        <f aca="false">EOMONTH($C$10,24)</f>
        <v>47149</v>
      </c>
      <c r="C40" s="29" t="n">
        <f aca="false">G39</f>
        <v>15159844.9717</v>
      </c>
      <c r="D40" s="29" t="n">
        <f aca="false">IF(A40&gt;$C$6,MIN(C40,$C$13),0)</f>
        <v>252664.082861666</v>
      </c>
      <c r="E40" s="29" t="n">
        <f aca="false">C40*$C$8*DAY(B40)/$C$11</f>
        <v>91380.1766349692</v>
      </c>
      <c r="F40" s="29" t="n">
        <f aca="false">D40+E40</f>
        <v>344044.259496635</v>
      </c>
      <c r="G40" s="29" t="n">
        <f aca="false">C40-D40</f>
        <v>14907180.8888383</v>
      </c>
      <c r="H40" s="72" t="n">
        <f aca="false">YEAR(B40)</f>
        <v>2029</v>
      </c>
      <c r="I40" s="72" t="n">
        <f aca="false">H40-2026</f>
        <v>3</v>
      </c>
    </row>
    <row r="41" customFormat="false" ht="15" hidden="false" customHeight="false" outlineLevel="0" collapsed="false">
      <c r="A41" s="72" t="n">
        <v>26</v>
      </c>
      <c r="B41" s="73" t="n">
        <f aca="false">EOMONTH($C$10,25)</f>
        <v>47177</v>
      </c>
      <c r="C41" s="29" t="n">
        <f aca="false">G40</f>
        <v>14907180.8888383</v>
      </c>
      <c r="D41" s="29" t="n">
        <f aca="false">IF(A41&gt;$C$6,MIN(C41,$C$13),0)</f>
        <v>252664.082861666</v>
      </c>
      <c r="E41" s="29" t="n">
        <f aca="false">C41*$C$8*DAY(B41)/$C$11</f>
        <v>81161.318172564</v>
      </c>
      <c r="F41" s="29" t="n">
        <f aca="false">D41+E41</f>
        <v>333825.40103423</v>
      </c>
      <c r="G41" s="29" t="n">
        <f aca="false">C41-D41</f>
        <v>14654516.8059766</v>
      </c>
      <c r="H41" s="72" t="n">
        <f aca="false">YEAR(B41)</f>
        <v>2029</v>
      </c>
      <c r="I41" s="72" t="n">
        <f aca="false">H41-2026</f>
        <v>3</v>
      </c>
    </row>
    <row r="42" customFormat="false" ht="15" hidden="false" customHeight="false" outlineLevel="0" collapsed="false">
      <c r="A42" s="72" t="n">
        <v>27</v>
      </c>
      <c r="B42" s="73" t="n">
        <f aca="false">EOMONTH($C$10,26)</f>
        <v>47208</v>
      </c>
      <c r="C42" s="29" t="n">
        <f aca="false">G41</f>
        <v>14654516.8059766</v>
      </c>
      <c r="D42" s="29" t="n">
        <f aca="false">IF(A42&gt;$C$6,MIN(C42,$C$13),0)</f>
        <v>252664.082861666</v>
      </c>
      <c r="E42" s="29" t="n">
        <f aca="false">C42*$C$8*DAY(B42)/$C$11</f>
        <v>88334.1707471369</v>
      </c>
      <c r="F42" s="29" t="n">
        <f aca="false">D42+E42</f>
        <v>340998.253608803</v>
      </c>
      <c r="G42" s="29" t="n">
        <f aca="false">C42-D42</f>
        <v>14401852.723115</v>
      </c>
      <c r="H42" s="72" t="n">
        <f aca="false">YEAR(B42)</f>
        <v>2029</v>
      </c>
      <c r="I42" s="72" t="n">
        <f aca="false">H42-2026</f>
        <v>3</v>
      </c>
    </row>
    <row r="43" customFormat="false" ht="15" hidden="false" customHeight="false" outlineLevel="0" collapsed="false">
      <c r="A43" s="72" t="n">
        <v>28</v>
      </c>
      <c r="B43" s="73" t="n">
        <f aca="false">EOMONTH($C$10,27)</f>
        <v>47238</v>
      </c>
      <c r="C43" s="29" t="n">
        <f aca="false">G42</f>
        <v>14401852.723115</v>
      </c>
      <c r="D43" s="29" t="n">
        <f aca="false">IF(A43&gt;$C$6,MIN(C43,$C$13),0)</f>
        <v>252664.082861666</v>
      </c>
      <c r="E43" s="29" t="n">
        <f aca="false">C43*$C$8*DAY(B43)/$C$11</f>
        <v>84010.8075515039</v>
      </c>
      <c r="F43" s="29" t="n">
        <f aca="false">D43+E43</f>
        <v>336674.89041317</v>
      </c>
      <c r="G43" s="29" t="n">
        <f aca="false">C43-D43</f>
        <v>14149188.6402533</v>
      </c>
      <c r="H43" s="72" t="n">
        <f aca="false">YEAR(B43)</f>
        <v>2029</v>
      </c>
      <c r="I43" s="72" t="n">
        <f aca="false">H43-2026</f>
        <v>3</v>
      </c>
    </row>
    <row r="44" customFormat="false" ht="15" hidden="false" customHeight="false" outlineLevel="0" collapsed="false">
      <c r="A44" s="72" t="n">
        <v>29</v>
      </c>
      <c r="B44" s="73" t="n">
        <f aca="false">EOMONTH($C$10,28)</f>
        <v>47269</v>
      </c>
      <c r="C44" s="29" t="n">
        <f aca="false">G43</f>
        <v>14149188.6402533</v>
      </c>
      <c r="D44" s="29" t="n">
        <f aca="false">IF(A44&gt;$C$6,MIN(C44,$C$13),0)</f>
        <v>252664.082861666</v>
      </c>
      <c r="E44" s="29" t="n">
        <f aca="false">C44*$C$8*DAY(B44)/$C$11</f>
        <v>85288.1648593046</v>
      </c>
      <c r="F44" s="29" t="n">
        <f aca="false">D44+E44</f>
        <v>337952.247720971</v>
      </c>
      <c r="G44" s="29" t="n">
        <f aca="false">C44-D44</f>
        <v>13896524.5573916</v>
      </c>
      <c r="H44" s="72" t="n">
        <f aca="false">YEAR(B44)</f>
        <v>2029</v>
      </c>
      <c r="I44" s="72" t="n">
        <f aca="false">H44-2026</f>
        <v>3</v>
      </c>
    </row>
    <row r="45" customFormat="false" ht="15" hidden="false" customHeight="false" outlineLevel="0" collapsed="false">
      <c r="A45" s="72" t="n">
        <v>30</v>
      </c>
      <c r="B45" s="73" t="n">
        <f aca="false">EOMONTH($C$10,29)</f>
        <v>47299</v>
      </c>
      <c r="C45" s="29" t="n">
        <f aca="false">G44</f>
        <v>13896524.5573916</v>
      </c>
      <c r="D45" s="29" t="n">
        <f aca="false">IF(A45&gt;$C$6,MIN(C45,$C$13),0)</f>
        <v>252664.082861666</v>
      </c>
      <c r="E45" s="29" t="n">
        <f aca="false">C45*$C$8*DAY(B45)/$C$11</f>
        <v>81063.0599181178</v>
      </c>
      <c r="F45" s="29" t="n">
        <f aca="false">D45+E45</f>
        <v>333727.142779784</v>
      </c>
      <c r="G45" s="29" t="n">
        <f aca="false">C45-D45</f>
        <v>13643860.47453</v>
      </c>
      <c r="H45" s="72" t="n">
        <f aca="false">YEAR(B45)</f>
        <v>2029</v>
      </c>
      <c r="I45" s="72" t="n">
        <f aca="false">H45-2026</f>
        <v>3</v>
      </c>
    </row>
    <row r="46" customFormat="false" ht="15" hidden="false" customHeight="false" outlineLevel="0" collapsed="false">
      <c r="A46" s="72" t="n">
        <v>31</v>
      </c>
      <c r="B46" s="73" t="n">
        <f aca="false">EOMONTH($C$10,30)</f>
        <v>47330</v>
      </c>
      <c r="C46" s="29" t="n">
        <f aca="false">G45</f>
        <v>13643860.47453</v>
      </c>
      <c r="D46" s="29" t="n">
        <f aca="false">IF(A46&gt;$C$6,MIN(C46,$C$13),0)</f>
        <v>252664.082861666</v>
      </c>
      <c r="E46" s="29" t="n">
        <f aca="false">C46*$C$8*DAY(B46)/$C$11</f>
        <v>82242.1589714723</v>
      </c>
      <c r="F46" s="29" t="n">
        <f aca="false">D46+E46</f>
        <v>334906.241833138</v>
      </c>
      <c r="G46" s="29" t="n">
        <f aca="false">C46-D46</f>
        <v>13391196.3916683</v>
      </c>
      <c r="H46" s="72" t="n">
        <f aca="false">YEAR(B46)</f>
        <v>2029</v>
      </c>
      <c r="I46" s="72" t="n">
        <f aca="false">H46-2026</f>
        <v>3</v>
      </c>
    </row>
    <row r="47" customFormat="false" ht="15" hidden="false" customHeight="false" outlineLevel="0" collapsed="false">
      <c r="A47" s="72" t="n">
        <v>32</v>
      </c>
      <c r="B47" s="73" t="n">
        <f aca="false">EOMONTH($C$10,31)</f>
        <v>47361</v>
      </c>
      <c r="C47" s="29" t="n">
        <f aca="false">G46</f>
        <v>13391196.3916683</v>
      </c>
      <c r="D47" s="29" t="n">
        <f aca="false">IF(A47&gt;$C$6,MIN(C47,$C$13),0)</f>
        <v>252664.082861666</v>
      </c>
      <c r="E47" s="29" t="n">
        <f aca="false">C47*$C$8*DAY(B47)/$C$11</f>
        <v>80719.1560275561</v>
      </c>
      <c r="F47" s="29" t="n">
        <f aca="false">D47+E47</f>
        <v>333383.238889222</v>
      </c>
      <c r="G47" s="29" t="n">
        <f aca="false">C47-D47</f>
        <v>13138532.3088066</v>
      </c>
      <c r="H47" s="72" t="n">
        <f aca="false">YEAR(B47)</f>
        <v>2029</v>
      </c>
      <c r="I47" s="72" t="n">
        <f aca="false">H47-2026</f>
        <v>3</v>
      </c>
    </row>
    <row r="48" customFormat="false" ht="15" hidden="false" customHeight="false" outlineLevel="0" collapsed="false">
      <c r="A48" s="72" t="n">
        <v>33</v>
      </c>
      <c r="B48" s="73" t="n">
        <f aca="false">EOMONTH($C$10,32)</f>
        <v>47391</v>
      </c>
      <c r="C48" s="29" t="n">
        <f aca="false">G47</f>
        <v>13138532.3088066</v>
      </c>
      <c r="D48" s="29" t="n">
        <f aca="false">IF(A48&gt;$C$6,MIN(C48,$C$13),0)</f>
        <v>252664.082861666</v>
      </c>
      <c r="E48" s="29" t="n">
        <f aca="false">C48*$C$8*DAY(B48)/$C$11</f>
        <v>76641.4384680387</v>
      </c>
      <c r="F48" s="29" t="n">
        <f aca="false">D48+E48</f>
        <v>329305.521329705</v>
      </c>
      <c r="G48" s="29" t="n">
        <f aca="false">C48-D48</f>
        <v>12885868.225945</v>
      </c>
      <c r="H48" s="72" t="n">
        <f aca="false">YEAR(B48)</f>
        <v>2029</v>
      </c>
      <c r="I48" s="72" t="n">
        <f aca="false">H48-2026</f>
        <v>3</v>
      </c>
    </row>
    <row r="49" customFormat="false" ht="15" hidden="false" customHeight="false" outlineLevel="0" collapsed="false">
      <c r="A49" s="72" t="n">
        <v>34</v>
      </c>
      <c r="B49" s="73" t="n">
        <f aca="false">EOMONTH($C$10,33)</f>
        <v>47422</v>
      </c>
      <c r="C49" s="29" t="n">
        <f aca="false">G48</f>
        <v>12885868.225945</v>
      </c>
      <c r="D49" s="29" t="n">
        <f aca="false">IF(A49&gt;$C$6,MIN(C49,$C$13),0)</f>
        <v>252664.082861666</v>
      </c>
      <c r="E49" s="29" t="n">
        <f aca="false">C49*$C$8*DAY(B49)/$C$11</f>
        <v>77673.1501397238</v>
      </c>
      <c r="F49" s="29" t="n">
        <f aca="false">D49+E49</f>
        <v>330337.23300139</v>
      </c>
      <c r="G49" s="29" t="n">
        <f aca="false">C49-D49</f>
        <v>12633204.1430833</v>
      </c>
      <c r="H49" s="72" t="n">
        <f aca="false">YEAR(B49)</f>
        <v>2029</v>
      </c>
      <c r="I49" s="72" t="n">
        <f aca="false">H49-2026</f>
        <v>3</v>
      </c>
    </row>
    <row r="50" customFormat="false" ht="15" hidden="false" customHeight="false" outlineLevel="0" collapsed="false">
      <c r="A50" s="72" t="n">
        <v>35</v>
      </c>
      <c r="B50" s="73" t="n">
        <f aca="false">EOMONTH($C$10,34)</f>
        <v>47452</v>
      </c>
      <c r="C50" s="29" t="n">
        <f aca="false">G49</f>
        <v>12633204.1430833</v>
      </c>
      <c r="D50" s="29" t="n">
        <f aca="false">IF(A50&gt;$C$6,MIN(C50,$C$13),0)</f>
        <v>252664.082861666</v>
      </c>
      <c r="E50" s="29" t="n">
        <f aca="false">C50*$C$8*DAY(B50)/$C$11</f>
        <v>73693.6908346526</v>
      </c>
      <c r="F50" s="29" t="n">
        <f aca="false">D50+E50</f>
        <v>326357.773696319</v>
      </c>
      <c r="G50" s="29" t="n">
        <f aca="false">C50-D50</f>
        <v>12380540.0602216</v>
      </c>
      <c r="H50" s="72" t="n">
        <f aca="false">YEAR(B50)</f>
        <v>2029</v>
      </c>
      <c r="I50" s="72" t="n">
        <f aca="false">H50-2026</f>
        <v>3</v>
      </c>
    </row>
    <row r="51" customFormat="false" ht="15" hidden="false" customHeight="false" outlineLevel="0" collapsed="false">
      <c r="A51" s="72" t="n">
        <v>36</v>
      </c>
      <c r="B51" s="73" t="n">
        <f aca="false">EOMONTH($C$10,35)</f>
        <v>47483</v>
      </c>
      <c r="C51" s="29" t="n">
        <f aca="false">G50</f>
        <v>12380540.0602216</v>
      </c>
      <c r="D51" s="29" t="n">
        <f aca="false">IF(A51&gt;$C$6,MIN(C51,$C$13),0)</f>
        <v>252664.082861666</v>
      </c>
      <c r="E51" s="29" t="n">
        <f aca="false">C51*$C$8*DAY(B51)/$C$11</f>
        <v>74627.1442518915</v>
      </c>
      <c r="F51" s="29" t="n">
        <f aca="false">D51+E51</f>
        <v>327291.227113557</v>
      </c>
      <c r="G51" s="29" t="n">
        <f aca="false">C51-D51</f>
        <v>12127875.97736</v>
      </c>
      <c r="H51" s="72" t="n">
        <f aca="false">YEAR(B51)</f>
        <v>2029</v>
      </c>
      <c r="I51" s="72" t="n">
        <f aca="false">H51-2026</f>
        <v>3</v>
      </c>
    </row>
    <row r="52" customFormat="false" ht="15" hidden="false" customHeight="false" outlineLevel="0" collapsed="false">
      <c r="A52" s="72" t="n">
        <v>37</v>
      </c>
      <c r="B52" s="73" t="n">
        <f aca="false">EOMONTH($C$10,36)</f>
        <v>47514</v>
      </c>
      <c r="C52" s="29" t="n">
        <f aca="false">G51</f>
        <v>12127875.97736</v>
      </c>
      <c r="D52" s="29" t="n">
        <f aca="false">IF(A52&gt;$C$6,MIN(C52,$C$13),0)</f>
        <v>252664.082861666</v>
      </c>
      <c r="E52" s="29" t="n">
        <f aca="false">C52*$C$8*DAY(B52)/$C$11</f>
        <v>73104.1413079754</v>
      </c>
      <c r="F52" s="29" t="n">
        <f aca="false">D52+E52</f>
        <v>325768.224169641</v>
      </c>
      <c r="G52" s="29" t="n">
        <f aca="false">C52-D52</f>
        <v>11875211.8944983</v>
      </c>
      <c r="H52" s="72" t="n">
        <f aca="false">YEAR(B52)</f>
        <v>2030</v>
      </c>
      <c r="I52" s="72" t="n">
        <f aca="false">H52-2026</f>
        <v>4</v>
      </c>
    </row>
    <row r="53" customFormat="false" ht="15" hidden="false" customHeight="false" outlineLevel="0" collapsed="false">
      <c r="A53" s="72" t="n">
        <v>38</v>
      </c>
      <c r="B53" s="73" t="n">
        <f aca="false">EOMONTH($C$10,37)</f>
        <v>47542</v>
      </c>
      <c r="C53" s="29" t="n">
        <f aca="false">G52</f>
        <v>11875211.8944983</v>
      </c>
      <c r="D53" s="29" t="n">
        <f aca="false">IF(A53&gt;$C$6,MIN(C53,$C$13),0)</f>
        <v>252664.082861666</v>
      </c>
      <c r="E53" s="29" t="n">
        <f aca="false">C53*$C$8*DAY(B53)/$C$11</f>
        <v>64653.9314256019</v>
      </c>
      <c r="F53" s="29" t="n">
        <f aca="false">D53+E53</f>
        <v>317318.014287268</v>
      </c>
      <c r="G53" s="29" t="n">
        <f aca="false">C53-D53</f>
        <v>11622547.8116366</v>
      </c>
      <c r="H53" s="72" t="n">
        <f aca="false">YEAR(B53)</f>
        <v>2030</v>
      </c>
      <c r="I53" s="72" t="n">
        <f aca="false">H53-2026</f>
        <v>4</v>
      </c>
    </row>
    <row r="54" customFormat="false" ht="15" hidden="false" customHeight="false" outlineLevel="0" collapsed="false">
      <c r="A54" s="72" t="n">
        <v>39</v>
      </c>
      <c r="B54" s="73" t="n">
        <f aca="false">EOMONTH($C$10,38)</f>
        <v>47573</v>
      </c>
      <c r="C54" s="29" t="n">
        <f aca="false">G53</f>
        <v>11622547.8116366</v>
      </c>
      <c r="D54" s="29" t="n">
        <f aca="false">IF(A54&gt;$C$6,MIN(C54,$C$13),0)</f>
        <v>252664.082861666</v>
      </c>
      <c r="E54" s="29" t="n">
        <f aca="false">C54*$C$8*DAY(B54)/$C$11</f>
        <v>70058.1354201431</v>
      </c>
      <c r="F54" s="29" t="n">
        <f aca="false">D54+E54</f>
        <v>322722.218281809</v>
      </c>
      <c r="G54" s="29" t="n">
        <f aca="false">C54-D54</f>
        <v>11369883.728775</v>
      </c>
      <c r="H54" s="72" t="n">
        <f aca="false">YEAR(B54)</f>
        <v>2030</v>
      </c>
      <c r="I54" s="72" t="n">
        <f aca="false">H54-2026</f>
        <v>4</v>
      </c>
    </row>
    <row r="55" customFormat="false" ht="15" hidden="false" customHeight="false" outlineLevel="0" collapsed="false">
      <c r="A55" s="72" t="n">
        <v>40</v>
      </c>
      <c r="B55" s="73" t="n">
        <f aca="false">EOMONTH($C$10,39)</f>
        <v>47603</v>
      </c>
      <c r="C55" s="29" t="n">
        <f aca="false">G54</f>
        <v>11369883.728775</v>
      </c>
      <c r="D55" s="29" t="n">
        <f aca="false">IF(A55&gt;$C$6,MIN(C55,$C$13),0)</f>
        <v>252664.082861666</v>
      </c>
      <c r="E55" s="29" t="n">
        <f aca="false">C55*$C$8*DAY(B55)/$C$11</f>
        <v>66324.3217511873</v>
      </c>
      <c r="F55" s="29" t="n">
        <f aca="false">D55+E55</f>
        <v>318988.404612853</v>
      </c>
      <c r="G55" s="29" t="n">
        <f aca="false">C55-D55</f>
        <v>11117219.6459133</v>
      </c>
      <c r="H55" s="72" t="n">
        <f aca="false">YEAR(B55)</f>
        <v>2030</v>
      </c>
      <c r="I55" s="72" t="n">
        <f aca="false">H55-2026</f>
        <v>4</v>
      </c>
    </row>
    <row r="56" customFormat="false" ht="15" hidden="false" customHeight="false" outlineLevel="0" collapsed="false">
      <c r="A56" s="72" t="n">
        <v>41</v>
      </c>
      <c r="B56" s="73" t="n">
        <f aca="false">EOMONTH($C$10,40)</f>
        <v>47634</v>
      </c>
      <c r="C56" s="29" t="n">
        <f aca="false">G55</f>
        <v>11117219.6459133</v>
      </c>
      <c r="D56" s="29" t="n">
        <f aca="false">IF(A56&gt;$C$6,MIN(C56,$C$13),0)</f>
        <v>252664.082861666</v>
      </c>
      <c r="E56" s="29" t="n">
        <f aca="false">C56*$C$8*DAY(B56)/$C$11</f>
        <v>67012.1295323108</v>
      </c>
      <c r="F56" s="29" t="n">
        <f aca="false">D56+E56</f>
        <v>319676.212393977</v>
      </c>
      <c r="G56" s="29" t="n">
        <f aca="false">C56-D56</f>
        <v>10864555.5630516</v>
      </c>
      <c r="H56" s="72" t="n">
        <f aca="false">YEAR(B56)</f>
        <v>2030</v>
      </c>
      <c r="I56" s="72" t="n">
        <f aca="false">H56-2026</f>
        <v>4</v>
      </c>
    </row>
    <row r="57" customFormat="false" ht="15" hidden="false" customHeight="false" outlineLevel="0" collapsed="false">
      <c r="A57" s="72" t="n">
        <v>42</v>
      </c>
      <c r="B57" s="73" t="n">
        <f aca="false">EOMONTH($C$10,41)</f>
        <v>47664</v>
      </c>
      <c r="C57" s="29" t="n">
        <f aca="false">G56</f>
        <v>10864555.5630516</v>
      </c>
      <c r="D57" s="29" t="n">
        <f aca="false">IF(A57&gt;$C$6,MIN(C57,$C$13),0)</f>
        <v>252664.082861666</v>
      </c>
      <c r="E57" s="29" t="n">
        <f aca="false">C57*$C$8*DAY(B57)/$C$11</f>
        <v>63376.5741178013</v>
      </c>
      <c r="F57" s="29" t="n">
        <f aca="false">D57+E57</f>
        <v>316040.656979467</v>
      </c>
      <c r="G57" s="29" t="n">
        <f aca="false">C57-D57</f>
        <v>10611891.48019</v>
      </c>
      <c r="H57" s="72" t="n">
        <f aca="false">YEAR(B57)</f>
        <v>2030</v>
      </c>
      <c r="I57" s="72" t="n">
        <f aca="false">H57-2026</f>
        <v>4</v>
      </c>
    </row>
    <row r="58" customFormat="false" ht="15" hidden="false" customHeight="false" outlineLevel="0" collapsed="false">
      <c r="A58" s="72" t="n">
        <v>43</v>
      </c>
      <c r="B58" s="73" t="n">
        <f aca="false">EOMONTH($C$10,42)</f>
        <v>47695</v>
      </c>
      <c r="C58" s="29" t="n">
        <f aca="false">G57</f>
        <v>10611891.48019</v>
      </c>
      <c r="D58" s="29" t="n">
        <f aca="false">IF(A58&gt;$C$6,MIN(C58,$C$13),0)</f>
        <v>252664.082861666</v>
      </c>
      <c r="E58" s="29" t="n">
        <f aca="false">C58*$C$8*DAY(B58)/$C$11</f>
        <v>63966.1236444785</v>
      </c>
      <c r="F58" s="29" t="n">
        <f aca="false">D58+E58</f>
        <v>316630.206506144</v>
      </c>
      <c r="G58" s="29" t="n">
        <f aca="false">C58-D58</f>
        <v>10359227.3973283</v>
      </c>
      <c r="H58" s="72" t="n">
        <f aca="false">YEAR(B58)</f>
        <v>2030</v>
      </c>
      <c r="I58" s="72" t="n">
        <f aca="false">H58-2026</f>
        <v>4</v>
      </c>
    </row>
    <row r="59" customFormat="false" ht="15" hidden="false" customHeight="false" outlineLevel="0" collapsed="false">
      <c r="A59" s="72" t="n">
        <v>44</v>
      </c>
      <c r="B59" s="73" t="n">
        <f aca="false">EOMONTH($C$10,43)</f>
        <v>47726</v>
      </c>
      <c r="C59" s="29" t="n">
        <f aca="false">G58</f>
        <v>10359227.3973283</v>
      </c>
      <c r="D59" s="29" t="n">
        <f aca="false">IF(A59&gt;$C$6,MIN(C59,$C$13),0)</f>
        <v>252664.082861666</v>
      </c>
      <c r="E59" s="29" t="n">
        <f aca="false">C59*$C$8*DAY(B59)/$C$11</f>
        <v>62443.1207005623</v>
      </c>
      <c r="F59" s="29" t="n">
        <f aca="false">D59+E59</f>
        <v>315107.203562228</v>
      </c>
      <c r="G59" s="29" t="n">
        <f aca="false">C59-D59</f>
        <v>10106563.3144666</v>
      </c>
      <c r="H59" s="72" t="n">
        <f aca="false">YEAR(B59)</f>
        <v>2030</v>
      </c>
      <c r="I59" s="72" t="n">
        <f aca="false">H59-2026</f>
        <v>4</v>
      </c>
    </row>
    <row r="60" customFormat="false" ht="15" hidden="false" customHeight="false" outlineLevel="0" collapsed="false">
      <c r="A60" s="72" t="n">
        <v>45</v>
      </c>
      <c r="B60" s="73" t="n">
        <f aca="false">EOMONTH($C$10,44)</f>
        <v>47756</v>
      </c>
      <c r="C60" s="29" t="n">
        <f aca="false">G59</f>
        <v>10106563.3144666</v>
      </c>
      <c r="D60" s="29" t="n">
        <f aca="false">IF(A60&gt;$C$6,MIN(C60,$C$13),0)</f>
        <v>252664.082861666</v>
      </c>
      <c r="E60" s="29" t="n">
        <f aca="false">C60*$C$8*DAY(B60)/$C$11</f>
        <v>58954.9526677221</v>
      </c>
      <c r="F60" s="29" t="n">
        <f aca="false">D60+E60</f>
        <v>311619.035529388</v>
      </c>
      <c r="G60" s="29" t="n">
        <f aca="false">C60-D60</f>
        <v>9853899.23160498</v>
      </c>
      <c r="H60" s="72" t="n">
        <f aca="false">YEAR(B60)</f>
        <v>2030</v>
      </c>
      <c r="I60" s="72" t="n">
        <f aca="false">H60-2026</f>
        <v>4</v>
      </c>
    </row>
    <row r="61" customFormat="false" ht="15" hidden="false" customHeight="false" outlineLevel="0" collapsed="false">
      <c r="A61" s="72" t="n">
        <v>46</v>
      </c>
      <c r="B61" s="73" t="n">
        <f aca="false">EOMONTH($C$10,45)</f>
        <v>47787</v>
      </c>
      <c r="C61" s="29" t="n">
        <f aca="false">G60</f>
        <v>9853899.23160498</v>
      </c>
      <c r="D61" s="29" t="n">
        <f aca="false">IF(A61&gt;$C$6,MIN(C61,$C$13),0)</f>
        <v>252664.082861666</v>
      </c>
      <c r="E61" s="29" t="n">
        <f aca="false">C61*$C$8*DAY(B61)/$C$11</f>
        <v>59397.11481273</v>
      </c>
      <c r="F61" s="29" t="n">
        <f aca="false">D61+E61</f>
        <v>312061.197674396</v>
      </c>
      <c r="G61" s="29" t="n">
        <f aca="false">C61-D61</f>
        <v>9601235.14874331</v>
      </c>
      <c r="H61" s="72" t="n">
        <f aca="false">YEAR(B61)</f>
        <v>2030</v>
      </c>
      <c r="I61" s="72" t="n">
        <f aca="false">H61-2026</f>
        <v>4</v>
      </c>
    </row>
    <row r="62" customFormat="false" ht="15" hidden="false" customHeight="false" outlineLevel="0" collapsed="false">
      <c r="A62" s="72" t="n">
        <v>47</v>
      </c>
      <c r="B62" s="73" t="n">
        <f aca="false">EOMONTH($C$10,46)</f>
        <v>47817</v>
      </c>
      <c r="C62" s="29" t="n">
        <f aca="false">G61</f>
        <v>9601235.14874331</v>
      </c>
      <c r="D62" s="29" t="n">
        <f aca="false">IF(A62&gt;$C$6,MIN(C62,$C$13),0)</f>
        <v>252664.082861666</v>
      </c>
      <c r="E62" s="29" t="n">
        <f aca="false">C62*$C$8*DAY(B62)/$C$11</f>
        <v>56007.205034336</v>
      </c>
      <c r="F62" s="29" t="n">
        <f aca="false">D62+E62</f>
        <v>308671.287896002</v>
      </c>
      <c r="G62" s="29" t="n">
        <f aca="false">C62-D62</f>
        <v>9348571.06588165</v>
      </c>
      <c r="H62" s="72" t="n">
        <f aca="false">YEAR(B62)</f>
        <v>2030</v>
      </c>
      <c r="I62" s="72" t="n">
        <f aca="false">H62-2026</f>
        <v>4</v>
      </c>
    </row>
    <row r="63" customFormat="false" ht="15" hidden="false" customHeight="false" outlineLevel="0" collapsed="false">
      <c r="A63" s="72" t="n">
        <v>48</v>
      </c>
      <c r="B63" s="73" t="n">
        <f aca="false">EOMONTH($C$10,47)</f>
        <v>47848</v>
      </c>
      <c r="C63" s="29" t="n">
        <f aca="false">G62</f>
        <v>9348571.06588165</v>
      </c>
      <c r="D63" s="29" t="n">
        <f aca="false">IF(A63&gt;$C$6,MIN(C63,$C$13),0)</f>
        <v>252664.082861666</v>
      </c>
      <c r="E63" s="29" t="n">
        <f aca="false">C63*$C$8*DAY(B63)/$C$11</f>
        <v>56351.1089248977</v>
      </c>
      <c r="F63" s="29" t="n">
        <f aca="false">D63+E63</f>
        <v>309015.191786564</v>
      </c>
      <c r="G63" s="29" t="n">
        <f aca="false">C63-D63</f>
        <v>9095906.98301998</v>
      </c>
      <c r="H63" s="72" t="n">
        <f aca="false">YEAR(B63)</f>
        <v>2030</v>
      </c>
      <c r="I63" s="72" t="n">
        <f aca="false">H63-2026</f>
        <v>4</v>
      </c>
    </row>
    <row r="64" customFormat="false" ht="15" hidden="false" customHeight="false" outlineLevel="0" collapsed="false">
      <c r="A64" s="72" t="n">
        <v>49</v>
      </c>
      <c r="B64" s="73" t="n">
        <f aca="false">EOMONTH($C$10,48)</f>
        <v>47879</v>
      </c>
      <c r="C64" s="29" t="n">
        <f aca="false">G63</f>
        <v>9095906.98301998</v>
      </c>
      <c r="D64" s="29" t="n">
        <f aca="false">IF(A64&gt;$C$6,MIN(C64,$C$13),0)</f>
        <v>252664.082861666</v>
      </c>
      <c r="E64" s="29" t="n">
        <f aca="false">C64*$C$8*DAY(B64)/$C$11</f>
        <v>54828.1059809816</v>
      </c>
      <c r="F64" s="29" t="n">
        <f aca="false">D64+E64</f>
        <v>307492.188842648</v>
      </c>
      <c r="G64" s="29" t="n">
        <f aca="false">C64-D64</f>
        <v>8843242.90015832</v>
      </c>
      <c r="H64" s="72" t="n">
        <f aca="false">YEAR(B64)</f>
        <v>2031</v>
      </c>
      <c r="I64" s="72" t="n">
        <f aca="false">H64-2026</f>
        <v>5</v>
      </c>
    </row>
    <row r="65" customFormat="false" ht="15" hidden="false" customHeight="false" outlineLevel="0" collapsed="false">
      <c r="A65" s="72" t="n">
        <v>50</v>
      </c>
      <c r="B65" s="73" t="n">
        <f aca="false">EOMONTH($C$10,49)</f>
        <v>47907</v>
      </c>
      <c r="C65" s="29" t="n">
        <f aca="false">G64</f>
        <v>8843242.90015832</v>
      </c>
      <c r="D65" s="29" t="n">
        <f aca="false">IF(A65&gt;$C$6,MIN(C65,$C$13),0)</f>
        <v>252664.082861666</v>
      </c>
      <c r="E65" s="29" t="n">
        <f aca="false">C65*$C$8*DAY(B65)/$C$11</f>
        <v>48146.5446786397</v>
      </c>
      <c r="F65" s="29" t="n">
        <f aca="false">D65+E65</f>
        <v>300810.627540306</v>
      </c>
      <c r="G65" s="29" t="n">
        <f aca="false">C65-D65</f>
        <v>8590578.81729665</v>
      </c>
      <c r="H65" s="72" t="n">
        <f aca="false">YEAR(B65)</f>
        <v>2031</v>
      </c>
      <c r="I65" s="72" t="n">
        <f aca="false">H65-2026</f>
        <v>5</v>
      </c>
    </row>
    <row r="66" customFormat="false" ht="15" hidden="false" customHeight="false" outlineLevel="0" collapsed="false">
      <c r="A66" s="72" t="n">
        <v>51</v>
      </c>
      <c r="B66" s="73" t="n">
        <f aca="false">EOMONTH($C$10,50)</f>
        <v>47938</v>
      </c>
      <c r="C66" s="29" t="n">
        <f aca="false">G65</f>
        <v>8590578.81729665</v>
      </c>
      <c r="D66" s="29" t="n">
        <f aca="false">IF(A66&gt;$C$6,MIN(C66,$C$13),0)</f>
        <v>252664.082861666</v>
      </c>
      <c r="E66" s="29" t="n">
        <f aca="false">C66*$C$8*DAY(B66)/$C$11</f>
        <v>51782.1000931493</v>
      </c>
      <c r="F66" s="29" t="n">
        <f aca="false">D66+E66</f>
        <v>304446.182954815</v>
      </c>
      <c r="G66" s="29" t="n">
        <f aca="false">C66-D66</f>
        <v>8337914.73443499</v>
      </c>
      <c r="H66" s="72" t="n">
        <f aca="false">YEAR(B66)</f>
        <v>2031</v>
      </c>
      <c r="I66" s="72" t="n">
        <f aca="false">H66-2026</f>
        <v>5</v>
      </c>
    </row>
    <row r="67" customFormat="false" ht="15" hidden="false" customHeight="false" outlineLevel="0" collapsed="false">
      <c r="A67" s="72" t="n">
        <v>52</v>
      </c>
      <c r="B67" s="73" t="n">
        <f aca="false">EOMONTH($C$10,51)</f>
        <v>47968</v>
      </c>
      <c r="C67" s="29" t="n">
        <f aca="false">G66</f>
        <v>8337914.73443499</v>
      </c>
      <c r="D67" s="29" t="n">
        <f aca="false">IF(A67&gt;$C$6,MIN(C67,$C$13),0)</f>
        <v>252664.082861666</v>
      </c>
      <c r="E67" s="29" t="n">
        <f aca="false">C67*$C$8*DAY(B67)/$C$11</f>
        <v>48637.8359508708</v>
      </c>
      <c r="F67" s="29" t="n">
        <f aca="false">D67+E67</f>
        <v>301301.918812537</v>
      </c>
      <c r="G67" s="29" t="n">
        <f aca="false">C67-D67</f>
        <v>8085250.65157332</v>
      </c>
      <c r="H67" s="72" t="n">
        <f aca="false">YEAR(B67)</f>
        <v>2031</v>
      </c>
      <c r="I67" s="72" t="n">
        <f aca="false">H67-2026</f>
        <v>5</v>
      </c>
    </row>
    <row r="68" customFormat="false" ht="15" hidden="false" customHeight="false" outlineLevel="0" collapsed="false">
      <c r="A68" s="72" t="n">
        <v>53</v>
      </c>
      <c r="B68" s="73" t="n">
        <f aca="false">EOMONTH($C$10,52)</f>
        <v>47999</v>
      </c>
      <c r="C68" s="29" t="n">
        <f aca="false">G67</f>
        <v>8085250.65157332</v>
      </c>
      <c r="D68" s="29" t="n">
        <f aca="false">IF(A68&gt;$C$6,MIN(C68,$C$13),0)</f>
        <v>252664.082861666</v>
      </c>
      <c r="E68" s="29" t="n">
        <f aca="false">C68*$C$8*DAY(B68)/$C$11</f>
        <v>48736.094205317</v>
      </c>
      <c r="F68" s="29" t="n">
        <f aca="false">D68+E68</f>
        <v>301400.177066983</v>
      </c>
      <c r="G68" s="29" t="n">
        <f aca="false">C68-D68</f>
        <v>7832586.56871165</v>
      </c>
      <c r="H68" s="72" t="n">
        <f aca="false">YEAR(B68)</f>
        <v>2031</v>
      </c>
      <c r="I68" s="72" t="n">
        <f aca="false">H68-2026</f>
        <v>5</v>
      </c>
    </row>
    <row r="69" customFormat="false" ht="15" hidden="false" customHeight="false" outlineLevel="0" collapsed="false">
      <c r="A69" s="72" t="n">
        <v>54</v>
      </c>
      <c r="B69" s="73" t="n">
        <f aca="false">EOMONTH($C$10,53)</f>
        <v>48029</v>
      </c>
      <c r="C69" s="29" t="n">
        <f aca="false">G68</f>
        <v>7832586.56871165</v>
      </c>
      <c r="D69" s="29" t="n">
        <f aca="false">IF(A69&gt;$C$6,MIN(C69,$C$13),0)</f>
        <v>252664.082861666</v>
      </c>
      <c r="E69" s="29" t="n">
        <f aca="false">C69*$C$8*DAY(B69)/$C$11</f>
        <v>45690.0883174847</v>
      </c>
      <c r="F69" s="29" t="n">
        <f aca="false">D69+E69</f>
        <v>298354.171179151</v>
      </c>
      <c r="G69" s="29" t="n">
        <f aca="false">C69-D69</f>
        <v>7579922.48584999</v>
      </c>
      <c r="H69" s="72" t="n">
        <f aca="false">YEAR(B69)</f>
        <v>2031</v>
      </c>
      <c r="I69" s="72" t="n">
        <f aca="false">H69-2026</f>
        <v>5</v>
      </c>
    </row>
    <row r="70" customFormat="false" ht="15" hidden="false" customHeight="false" outlineLevel="0" collapsed="false">
      <c r="A70" s="72" t="n">
        <v>55</v>
      </c>
      <c r="B70" s="73" t="n">
        <f aca="false">EOMONTH($C$10,54)</f>
        <v>48060</v>
      </c>
      <c r="C70" s="29" t="n">
        <f aca="false">G69</f>
        <v>7579922.48584999</v>
      </c>
      <c r="D70" s="29" t="n">
        <f aca="false">IF(A70&gt;$C$6,MIN(C70,$C$13),0)</f>
        <v>252664.082861666</v>
      </c>
      <c r="E70" s="29" t="n">
        <f aca="false">C70*$C$8*DAY(B70)/$C$11</f>
        <v>45690.0883174847</v>
      </c>
      <c r="F70" s="29" t="n">
        <f aca="false">D70+E70</f>
        <v>298354.171179151</v>
      </c>
      <c r="G70" s="29" t="n">
        <f aca="false">C70-D70</f>
        <v>7327258.40298832</v>
      </c>
      <c r="H70" s="72" t="n">
        <f aca="false">YEAR(B70)</f>
        <v>2031</v>
      </c>
      <c r="I70" s="72" t="n">
        <f aca="false">H70-2026</f>
        <v>5</v>
      </c>
    </row>
    <row r="71" customFormat="false" ht="15" hidden="false" customHeight="false" outlineLevel="0" collapsed="false">
      <c r="A71" s="72" t="n">
        <v>56</v>
      </c>
      <c r="B71" s="73" t="n">
        <f aca="false">EOMONTH($C$10,55)</f>
        <v>48091</v>
      </c>
      <c r="C71" s="29" t="n">
        <f aca="false">G70</f>
        <v>7327258.40298832</v>
      </c>
      <c r="D71" s="29" t="n">
        <f aca="false">IF(A71&gt;$C$6,MIN(C71,$C$13),0)</f>
        <v>252664.082861666</v>
      </c>
      <c r="E71" s="29" t="n">
        <f aca="false">C71*$C$8*DAY(B71)/$C$11</f>
        <v>44167.0853735685</v>
      </c>
      <c r="F71" s="29" t="n">
        <f aca="false">D71+E71</f>
        <v>296831.168235234</v>
      </c>
      <c r="G71" s="29" t="n">
        <f aca="false">C71-D71</f>
        <v>7074594.32012666</v>
      </c>
      <c r="H71" s="72" t="n">
        <f aca="false">YEAR(B71)</f>
        <v>2031</v>
      </c>
      <c r="I71" s="72" t="n">
        <f aca="false">H71-2026</f>
        <v>5</v>
      </c>
    </row>
    <row r="72" customFormat="false" ht="15" hidden="false" customHeight="false" outlineLevel="0" collapsed="false">
      <c r="A72" s="72" t="n">
        <v>57</v>
      </c>
      <c r="B72" s="73" t="n">
        <f aca="false">EOMONTH($C$10,56)</f>
        <v>48121</v>
      </c>
      <c r="C72" s="29" t="n">
        <f aca="false">G71</f>
        <v>7074594.32012666</v>
      </c>
      <c r="D72" s="29" t="n">
        <f aca="false">IF(A72&gt;$C$6,MIN(C72,$C$13),0)</f>
        <v>252664.082861666</v>
      </c>
      <c r="E72" s="29" t="n">
        <f aca="false">C72*$C$8*DAY(B72)/$C$11</f>
        <v>41268.4668674055</v>
      </c>
      <c r="F72" s="29" t="n">
        <f aca="false">D72+E72</f>
        <v>293932.549729071</v>
      </c>
      <c r="G72" s="29" t="n">
        <f aca="false">C72-D72</f>
        <v>6821930.23726499</v>
      </c>
      <c r="H72" s="72" t="n">
        <f aca="false">YEAR(B72)</f>
        <v>2031</v>
      </c>
      <c r="I72" s="72" t="n">
        <f aca="false">H72-2026</f>
        <v>5</v>
      </c>
    </row>
    <row r="73" customFormat="false" ht="15" hidden="false" customHeight="false" outlineLevel="0" collapsed="false">
      <c r="A73" s="72" t="n">
        <v>58</v>
      </c>
      <c r="B73" s="73" t="n">
        <f aca="false">EOMONTH($C$10,57)</f>
        <v>48152</v>
      </c>
      <c r="C73" s="29" t="n">
        <f aca="false">G72</f>
        <v>6821930.23726499</v>
      </c>
      <c r="D73" s="29" t="n">
        <f aca="false">IF(A73&gt;$C$6,MIN(C73,$C$13),0)</f>
        <v>252664.082861666</v>
      </c>
      <c r="E73" s="29" t="n">
        <f aca="false">C73*$C$8*DAY(B73)/$C$11</f>
        <v>41121.0794857362</v>
      </c>
      <c r="F73" s="29" t="n">
        <f aca="false">D73+E73</f>
        <v>293785.162347402</v>
      </c>
      <c r="G73" s="29" t="n">
        <f aca="false">C73-D73</f>
        <v>6569266.15440333</v>
      </c>
      <c r="H73" s="72" t="n">
        <f aca="false">YEAR(B73)</f>
        <v>2031</v>
      </c>
      <c r="I73" s="72" t="n">
        <f aca="false">H73-2026</f>
        <v>5</v>
      </c>
    </row>
    <row r="74" customFormat="false" ht="15" hidden="false" customHeight="false" outlineLevel="0" collapsed="false">
      <c r="A74" s="72" t="n">
        <v>59</v>
      </c>
      <c r="B74" s="73" t="n">
        <f aca="false">EOMONTH($C$10,58)</f>
        <v>48182</v>
      </c>
      <c r="C74" s="29" t="n">
        <f aca="false">G73</f>
        <v>6569266.15440333</v>
      </c>
      <c r="D74" s="29" t="n">
        <f aca="false">IF(A74&gt;$C$6,MIN(C74,$C$13),0)</f>
        <v>252664.082861666</v>
      </c>
      <c r="E74" s="29" t="n">
        <f aca="false">C74*$C$8*DAY(B74)/$C$11</f>
        <v>38320.7192340194</v>
      </c>
      <c r="F74" s="29" t="n">
        <f aca="false">D74+E74</f>
        <v>290984.802095685</v>
      </c>
      <c r="G74" s="29" t="n">
        <f aca="false">C74-D74</f>
        <v>6316602.07154166</v>
      </c>
      <c r="H74" s="72" t="n">
        <f aca="false">YEAR(B74)</f>
        <v>2031</v>
      </c>
      <c r="I74" s="72" t="n">
        <f aca="false">H74-2026</f>
        <v>5</v>
      </c>
    </row>
    <row r="75" customFormat="false" ht="15" hidden="false" customHeight="false" outlineLevel="0" collapsed="false">
      <c r="A75" s="72" t="n">
        <v>60</v>
      </c>
      <c r="B75" s="73" t="n">
        <f aca="false">EOMONTH($C$10,59)</f>
        <v>48213</v>
      </c>
      <c r="C75" s="29" t="n">
        <f aca="false">G74</f>
        <v>6316602.07154166</v>
      </c>
      <c r="D75" s="29" t="n">
        <f aca="false">IF(A75&gt;$C$6,MIN(C75,$C$13),0)</f>
        <v>252664.082861666</v>
      </c>
      <c r="E75" s="29" t="n">
        <f aca="false">C75*$C$8*DAY(B75)/$C$11</f>
        <v>38075.0735979039</v>
      </c>
      <c r="F75" s="29" t="n">
        <f aca="false">D75+E75</f>
        <v>290739.15645957</v>
      </c>
      <c r="G75" s="29" t="n">
        <f aca="false">C75-D75</f>
        <v>6063937.98867999</v>
      </c>
      <c r="H75" s="72" t="n">
        <f aca="false">YEAR(B75)</f>
        <v>2031</v>
      </c>
      <c r="I75" s="72" t="n">
        <f aca="false">H75-2026</f>
        <v>5</v>
      </c>
    </row>
    <row r="76" customFormat="false" ht="15" hidden="false" customHeight="false" outlineLevel="0" collapsed="false">
      <c r="A76" s="72" t="n">
        <v>61</v>
      </c>
      <c r="B76" s="73" t="n">
        <f aca="false">EOMONTH($C$10,60)</f>
        <v>48244</v>
      </c>
      <c r="C76" s="29" t="n">
        <f aca="false">G75</f>
        <v>6063937.98867999</v>
      </c>
      <c r="D76" s="29" t="n">
        <f aca="false">IF(A76&gt;$C$6,MIN(C76,$C$13),0)</f>
        <v>252664.082861666</v>
      </c>
      <c r="E76" s="29" t="n">
        <f aca="false">C76*$C$8*DAY(B76)/$C$11</f>
        <v>36552.0706539877</v>
      </c>
      <c r="F76" s="29" t="n">
        <f aca="false">D76+E76</f>
        <v>289216.153515654</v>
      </c>
      <c r="G76" s="29" t="n">
        <f aca="false">C76-D76</f>
        <v>5811273.90581833</v>
      </c>
      <c r="H76" s="72" t="n">
        <f aca="false">YEAR(B76)</f>
        <v>2032</v>
      </c>
      <c r="I76" s="72" t="n">
        <f aca="false">H76-2026</f>
        <v>6</v>
      </c>
    </row>
    <row r="77" customFormat="false" ht="15" hidden="false" customHeight="false" outlineLevel="0" collapsed="false">
      <c r="A77" s="72" t="n">
        <v>62</v>
      </c>
      <c r="B77" s="73" t="n">
        <f aca="false">EOMONTH($C$10,61)</f>
        <v>48273</v>
      </c>
      <c r="C77" s="29" t="n">
        <f aca="false">G76</f>
        <v>5811273.90581833</v>
      </c>
      <c r="D77" s="29" t="n">
        <f aca="false">IF(A77&gt;$C$6,MIN(C77,$C$13),0)</f>
        <v>252664.082861666</v>
      </c>
      <c r="E77" s="29" t="n">
        <f aca="false">C77*$C$8*DAY(B77)/$C$11</f>
        <v>32769.1278578089</v>
      </c>
      <c r="F77" s="29" t="n">
        <f aca="false">D77+E77</f>
        <v>285433.210719475</v>
      </c>
      <c r="G77" s="29" t="n">
        <f aca="false">C77-D77</f>
        <v>5558609.82295666</v>
      </c>
      <c r="H77" s="72" t="n">
        <f aca="false">YEAR(B77)</f>
        <v>2032</v>
      </c>
      <c r="I77" s="72" t="n">
        <f aca="false">H77-2026</f>
        <v>6</v>
      </c>
    </row>
    <row r="78" customFormat="false" ht="15" hidden="false" customHeight="false" outlineLevel="0" collapsed="false">
      <c r="A78" s="72" t="n">
        <v>63</v>
      </c>
      <c r="B78" s="73" t="n">
        <f aca="false">EOMONTH($C$10,62)</f>
        <v>48304</v>
      </c>
      <c r="C78" s="29" t="n">
        <f aca="false">G77</f>
        <v>5558609.82295666</v>
      </c>
      <c r="D78" s="29" t="n">
        <f aca="false">IF(A78&gt;$C$6,MIN(C78,$C$13),0)</f>
        <v>252664.082861666</v>
      </c>
      <c r="E78" s="29" t="n">
        <f aca="false">C78*$C$8*DAY(B78)/$C$11</f>
        <v>33506.0647661554</v>
      </c>
      <c r="F78" s="29" t="n">
        <f aca="false">D78+E78</f>
        <v>286170.147627821</v>
      </c>
      <c r="G78" s="29" t="n">
        <f aca="false">C78-D78</f>
        <v>5305945.740095</v>
      </c>
      <c r="H78" s="72" t="n">
        <f aca="false">YEAR(B78)</f>
        <v>2032</v>
      </c>
      <c r="I78" s="72" t="n">
        <f aca="false">H78-2026</f>
        <v>6</v>
      </c>
    </row>
    <row r="79" customFormat="false" ht="15" hidden="false" customHeight="false" outlineLevel="0" collapsed="false">
      <c r="A79" s="72" t="n">
        <v>64</v>
      </c>
      <c r="B79" s="73" t="n">
        <f aca="false">EOMONTH($C$10,63)</f>
        <v>48334</v>
      </c>
      <c r="C79" s="29" t="n">
        <f aca="false">G78</f>
        <v>5305945.740095</v>
      </c>
      <c r="D79" s="29" t="n">
        <f aca="false">IF(A79&gt;$C$6,MIN(C79,$C$13),0)</f>
        <v>252664.082861666</v>
      </c>
      <c r="E79" s="29" t="n">
        <f aca="false">C79*$C$8*DAY(B79)/$C$11</f>
        <v>30951.3501505542</v>
      </c>
      <c r="F79" s="29" t="n">
        <f aca="false">D79+E79</f>
        <v>283615.43301222</v>
      </c>
      <c r="G79" s="29" t="n">
        <f aca="false">C79-D79</f>
        <v>5053281.65723333</v>
      </c>
      <c r="H79" s="72" t="n">
        <f aca="false">YEAR(B79)</f>
        <v>2032</v>
      </c>
      <c r="I79" s="72" t="n">
        <f aca="false">H79-2026</f>
        <v>6</v>
      </c>
    </row>
    <row r="80" customFormat="false" ht="15" hidden="false" customHeight="false" outlineLevel="0" collapsed="false">
      <c r="A80" s="72" t="n">
        <v>65</v>
      </c>
      <c r="B80" s="73" t="n">
        <f aca="false">EOMONTH($C$10,64)</f>
        <v>48365</v>
      </c>
      <c r="C80" s="29" t="n">
        <f aca="false">G79</f>
        <v>5053281.65723333</v>
      </c>
      <c r="D80" s="29" t="n">
        <f aca="false">IF(A80&gt;$C$6,MIN(C80,$C$13),0)</f>
        <v>252664.082861666</v>
      </c>
      <c r="E80" s="29" t="n">
        <f aca="false">C80*$C$8*DAY(B80)/$C$11</f>
        <v>30460.0588783231</v>
      </c>
      <c r="F80" s="29" t="n">
        <f aca="false">D80+E80</f>
        <v>283124.141739989</v>
      </c>
      <c r="G80" s="29" t="n">
        <f aca="false">C80-D80</f>
        <v>4800617.57437167</v>
      </c>
      <c r="H80" s="72" t="n">
        <f aca="false">YEAR(B80)</f>
        <v>2032</v>
      </c>
      <c r="I80" s="72" t="n">
        <f aca="false">H80-2026</f>
        <v>6</v>
      </c>
    </row>
    <row r="81" customFormat="false" ht="15" hidden="false" customHeight="false" outlineLevel="0" collapsed="false">
      <c r="A81" s="72" t="n">
        <v>66</v>
      </c>
      <c r="B81" s="73" t="n">
        <f aca="false">EOMONTH($C$10,65)</f>
        <v>48395</v>
      </c>
      <c r="C81" s="29" t="n">
        <f aca="false">G80</f>
        <v>4800617.57437167</v>
      </c>
      <c r="D81" s="29" t="n">
        <f aca="false">IF(A81&gt;$C$6,MIN(C81,$C$13),0)</f>
        <v>252664.082861666</v>
      </c>
      <c r="E81" s="29" t="n">
        <f aca="false">C81*$C$8*DAY(B81)/$C$11</f>
        <v>28003.6025171681</v>
      </c>
      <c r="F81" s="29" t="n">
        <f aca="false">D81+E81</f>
        <v>280667.685378834</v>
      </c>
      <c r="G81" s="29" t="n">
        <f aca="false">C81-D81</f>
        <v>4547953.49151</v>
      </c>
      <c r="H81" s="72" t="n">
        <f aca="false">YEAR(B81)</f>
        <v>2032</v>
      </c>
      <c r="I81" s="72" t="n">
        <f aca="false">H81-2026</f>
        <v>6</v>
      </c>
    </row>
    <row r="82" customFormat="false" ht="15" hidden="false" customHeight="false" outlineLevel="0" collapsed="false">
      <c r="A82" s="72" t="n">
        <v>67</v>
      </c>
      <c r="B82" s="73" t="n">
        <f aca="false">EOMONTH($C$10,66)</f>
        <v>48426</v>
      </c>
      <c r="C82" s="29" t="n">
        <f aca="false">G81</f>
        <v>4547953.49151</v>
      </c>
      <c r="D82" s="29" t="n">
        <f aca="false">IF(A82&gt;$C$6,MIN(C82,$C$13),0)</f>
        <v>252664.082861666</v>
      </c>
      <c r="E82" s="29" t="n">
        <f aca="false">C82*$C$8*DAY(B82)/$C$11</f>
        <v>27414.0529904908</v>
      </c>
      <c r="F82" s="29" t="n">
        <f aca="false">D82+E82</f>
        <v>280078.135852157</v>
      </c>
      <c r="G82" s="29" t="n">
        <f aca="false">C82-D82</f>
        <v>4295289.40864833</v>
      </c>
      <c r="H82" s="72" t="n">
        <f aca="false">YEAR(B82)</f>
        <v>2032</v>
      </c>
      <c r="I82" s="72" t="n">
        <f aca="false">H82-2026</f>
        <v>6</v>
      </c>
    </row>
    <row r="83" customFormat="false" ht="15" hidden="false" customHeight="false" outlineLevel="0" collapsed="false">
      <c r="A83" s="72" t="n">
        <v>68</v>
      </c>
      <c r="B83" s="73" t="n">
        <f aca="false">EOMONTH($C$10,67)</f>
        <v>48457</v>
      </c>
      <c r="C83" s="29" t="n">
        <f aca="false">G82</f>
        <v>4295289.40864833</v>
      </c>
      <c r="D83" s="29" t="n">
        <f aca="false">IF(A83&gt;$C$6,MIN(C83,$C$13),0)</f>
        <v>252664.082861666</v>
      </c>
      <c r="E83" s="29" t="n">
        <f aca="false">C83*$C$8*DAY(B83)/$C$11</f>
        <v>25891.0500465747</v>
      </c>
      <c r="F83" s="29" t="n">
        <f aca="false">D83+E83</f>
        <v>278555.132908241</v>
      </c>
      <c r="G83" s="29" t="n">
        <f aca="false">C83-D83</f>
        <v>4042625.32578667</v>
      </c>
      <c r="H83" s="72" t="n">
        <f aca="false">YEAR(B83)</f>
        <v>2032</v>
      </c>
      <c r="I83" s="72" t="n">
        <f aca="false">H83-2026</f>
        <v>6</v>
      </c>
    </row>
    <row r="84" customFormat="false" ht="15" hidden="false" customHeight="false" outlineLevel="0" collapsed="false">
      <c r="A84" s="72" t="n">
        <v>69</v>
      </c>
      <c r="B84" s="73" t="n">
        <f aca="false">EOMONTH($C$10,68)</f>
        <v>48487</v>
      </c>
      <c r="C84" s="29" t="n">
        <f aca="false">G83</f>
        <v>4042625.32578667</v>
      </c>
      <c r="D84" s="29" t="n">
        <f aca="false">IF(A84&gt;$C$6,MIN(C84,$C$13),0)</f>
        <v>252664.082861666</v>
      </c>
      <c r="E84" s="29" t="n">
        <f aca="false">C84*$C$8*DAY(B84)/$C$11</f>
        <v>23581.9810670889</v>
      </c>
      <c r="F84" s="29" t="n">
        <f aca="false">D84+E84</f>
        <v>276246.063928755</v>
      </c>
      <c r="G84" s="29" t="n">
        <f aca="false">C84-D84</f>
        <v>3789961.242925</v>
      </c>
      <c r="H84" s="72" t="n">
        <f aca="false">YEAR(B84)</f>
        <v>2032</v>
      </c>
      <c r="I84" s="72" t="n">
        <f aca="false">H84-2026</f>
        <v>6</v>
      </c>
    </row>
    <row r="85" customFormat="false" ht="15" hidden="false" customHeight="false" outlineLevel="0" collapsed="false">
      <c r="A85" s="72" t="n">
        <v>70</v>
      </c>
      <c r="B85" s="73" t="n">
        <f aca="false">EOMONTH($C$10,69)</f>
        <v>48518</v>
      </c>
      <c r="C85" s="29" t="n">
        <f aca="false">G84</f>
        <v>3789961.242925</v>
      </c>
      <c r="D85" s="29" t="n">
        <f aca="false">IF(A85&gt;$C$6,MIN(C85,$C$13),0)</f>
        <v>252664.082861666</v>
      </c>
      <c r="E85" s="29" t="n">
        <f aca="false">C85*$C$8*DAY(B85)/$C$11</f>
        <v>22845.0441587424</v>
      </c>
      <c r="F85" s="29" t="n">
        <f aca="false">D85+E85</f>
        <v>275509.127020408</v>
      </c>
      <c r="G85" s="29" t="n">
        <f aca="false">C85-D85</f>
        <v>3537297.16006334</v>
      </c>
      <c r="H85" s="72" t="n">
        <f aca="false">YEAR(B85)</f>
        <v>2032</v>
      </c>
      <c r="I85" s="72" t="n">
        <f aca="false">H85-2026</f>
        <v>6</v>
      </c>
    </row>
    <row r="86" customFormat="false" ht="15" hidden="false" customHeight="false" outlineLevel="0" collapsed="false">
      <c r="A86" s="72" t="n">
        <v>71</v>
      </c>
      <c r="B86" s="73" t="n">
        <f aca="false">EOMONTH($C$10,70)</f>
        <v>48548</v>
      </c>
      <c r="C86" s="29" t="n">
        <f aca="false">G85</f>
        <v>3537297.16006334</v>
      </c>
      <c r="D86" s="29" t="n">
        <f aca="false">IF(A86&gt;$C$6,MIN(C86,$C$13),0)</f>
        <v>252664.082861666</v>
      </c>
      <c r="E86" s="29" t="n">
        <f aca="false">C86*$C$8*DAY(B86)/$C$11</f>
        <v>20634.2334337028</v>
      </c>
      <c r="F86" s="29" t="n">
        <f aca="false">D86+E86</f>
        <v>273298.316295369</v>
      </c>
      <c r="G86" s="29" t="n">
        <f aca="false">C86-D86</f>
        <v>3284633.07720167</v>
      </c>
      <c r="H86" s="72" t="n">
        <f aca="false">YEAR(B86)</f>
        <v>2032</v>
      </c>
      <c r="I86" s="72" t="n">
        <f aca="false">H86-2026</f>
        <v>6</v>
      </c>
    </row>
    <row r="87" customFormat="false" ht="15" hidden="false" customHeight="false" outlineLevel="0" collapsed="false">
      <c r="A87" s="72" t="n">
        <v>72</v>
      </c>
      <c r="B87" s="73" t="n">
        <f aca="false">EOMONTH($C$10,71)</f>
        <v>48579</v>
      </c>
      <c r="C87" s="29" t="n">
        <f aca="false">G86</f>
        <v>3284633.07720167</v>
      </c>
      <c r="D87" s="29" t="n">
        <f aca="false">IF(A87&gt;$C$6,MIN(C87,$C$13),0)</f>
        <v>252664.082861666</v>
      </c>
      <c r="E87" s="29" t="n">
        <f aca="false">C87*$C$8*DAY(B87)/$C$11</f>
        <v>19799.0382709101</v>
      </c>
      <c r="F87" s="29" t="n">
        <f aca="false">D87+E87</f>
        <v>272463.121132576</v>
      </c>
      <c r="G87" s="29" t="n">
        <f aca="false">C87-D87</f>
        <v>3031968.99434</v>
      </c>
      <c r="H87" s="72" t="n">
        <f aca="false">YEAR(B87)</f>
        <v>2032</v>
      </c>
      <c r="I87" s="72" t="n">
        <f aca="false">H87-2026</f>
        <v>6</v>
      </c>
    </row>
    <row r="88" customFormat="false" ht="15" hidden="false" customHeight="false" outlineLevel="0" collapsed="false">
      <c r="A88" s="72" t="n">
        <v>73</v>
      </c>
      <c r="B88" s="73" t="n">
        <f aca="false">EOMONTH($C$10,72)</f>
        <v>48610</v>
      </c>
      <c r="C88" s="29" t="n">
        <f aca="false">G87</f>
        <v>3031968.99434</v>
      </c>
      <c r="D88" s="29" t="n">
        <f aca="false">IF(A88&gt;$C$6,MIN(C88,$C$13),0)</f>
        <v>252664.082861666</v>
      </c>
      <c r="E88" s="29" t="n">
        <f aca="false">C88*$C$8*DAY(B88)/$C$11</f>
        <v>18276.0353269939</v>
      </c>
      <c r="F88" s="29" t="n">
        <f aca="false">D88+E88</f>
        <v>270940.11818866</v>
      </c>
      <c r="G88" s="29" t="n">
        <f aca="false">C88-D88</f>
        <v>2779304.91147834</v>
      </c>
      <c r="H88" s="72" t="n">
        <f aca="false">YEAR(B88)</f>
        <v>2033</v>
      </c>
      <c r="I88" s="72" t="n">
        <f aca="false">H88-2026</f>
        <v>7</v>
      </c>
    </row>
    <row r="89" customFormat="false" ht="15" hidden="false" customHeight="false" outlineLevel="0" collapsed="false">
      <c r="A89" s="72" t="n">
        <v>74</v>
      </c>
      <c r="B89" s="73" t="n">
        <f aca="false">EOMONTH($C$10,73)</f>
        <v>48638</v>
      </c>
      <c r="C89" s="29" t="n">
        <f aca="false">G88</f>
        <v>2779304.91147834</v>
      </c>
      <c r="D89" s="29" t="n">
        <f aca="false">IF(A89&gt;$C$6,MIN(C89,$C$13),0)</f>
        <v>252664.082861666</v>
      </c>
      <c r="E89" s="29" t="n">
        <f aca="false">C89*$C$8*DAY(B89)/$C$11</f>
        <v>15131.7711847154</v>
      </c>
      <c r="F89" s="29" t="n">
        <f aca="false">D89+E89</f>
        <v>267795.854046381</v>
      </c>
      <c r="G89" s="29" t="n">
        <f aca="false">C89-D89</f>
        <v>2526640.82861667</v>
      </c>
      <c r="H89" s="72" t="n">
        <f aca="false">YEAR(B89)</f>
        <v>2033</v>
      </c>
      <c r="I89" s="72" t="n">
        <f aca="false">H89-2026</f>
        <v>7</v>
      </c>
    </row>
    <row r="90" customFormat="false" ht="15" hidden="false" customHeight="false" outlineLevel="0" collapsed="false">
      <c r="A90" s="72" t="n">
        <v>75</v>
      </c>
      <c r="B90" s="73" t="n">
        <f aca="false">EOMONTH($C$10,74)</f>
        <v>48669</v>
      </c>
      <c r="C90" s="29" t="n">
        <f aca="false">G89</f>
        <v>2526640.82861667</v>
      </c>
      <c r="D90" s="29" t="n">
        <f aca="false">IF(A90&gt;$C$6,MIN(C90,$C$13),0)</f>
        <v>252664.082861666</v>
      </c>
      <c r="E90" s="29" t="n">
        <f aca="false">C90*$C$8*DAY(B90)/$C$11</f>
        <v>15230.0294391616</v>
      </c>
      <c r="F90" s="29" t="n">
        <f aca="false">D90+E90</f>
        <v>267894.112300828</v>
      </c>
      <c r="G90" s="29" t="n">
        <f aca="false">C90-D90</f>
        <v>2273976.74575501</v>
      </c>
      <c r="H90" s="72" t="n">
        <f aca="false">YEAR(B90)</f>
        <v>2033</v>
      </c>
      <c r="I90" s="72" t="n">
        <f aca="false">H90-2026</f>
        <v>7</v>
      </c>
    </row>
    <row r="91" customFormat="false" ht="15" hidden="false" customHeight="false" outlineLevel="0" collapsed="false">
      <c r="A91" s="72" t="n">
        <v>76</v>
      </c>
      <c r="B91" s="73" t="n">
        <f aca="false">EOMONTH($C$10,75)</f>
        <v>48699</v>
      </c>
      <c r="C91" s="29" t="n">
        <f aca="false">G90</f>
        <v>2273976.74575501</v>
      </c>
      <c r="D91" s="29" t="n">
        <f aca="false">IF(A91&gt;$C$6,MIN(C91,$C$13),0)</f>
        <v>252664.082861666</v>
      </c>
      <c r="E91" s="29" t="n">
        <f aca="false">C91*$C$8*DAY(B91)/$C$11</f>
        <v>13264.8643502375</v>
      </c>
      <c r="F91" s="29" t="n">
        <f aca="false">D91+E91</f>
        <v>265928.947211903</v>
      </c>
      <c r="G91" s="29" t="n">
        <f aca="false">C91-D91</f>
        <v>2021312.66289334</v>
      </c>
      <c r="H91" s="72" t="n">
        <f aca="false">YEAR(B91)</f>
        <v>2033</v>
      </c>
      <c r="I91" s="72" t="n">
        <f aca="false">H91-2026</f>
        <v>7</v>
      </c>
    </row>
    <row r="92" customFormat="false" ht="15" hidden="false" customHeight="false" outlineLevel="0" collapsed="false">
      <c r="A92" s="72" t="n">
        <v>77</v>
      </c>
      <c r="B92" s="73" t="n">
        <f aca="false">EOMONTH($C$10,76)</f>
        <v>48730</v>
      </c>
      <c r="C92" s="29" t="n">
        <f aca="false">G91</f>
        <v>2021312.66289334</v>
      </c>
      <c r="D92" s="29" t="n">
        <f aca="false">IF(A92&gt;$C$6,MIN(C92,$C$13),0)</f>
        <v>252664.082861666</v>
      </c>
      <c r="E92" s="29" t="n">
        <f aca="false">C92*$C$8*DAY(B92)/$C$11</f>
        <v>12184.0235513293</v>
      </c>
      <c r="F92" s="29" t="n">
        <f aca="false">D92+E92</f>
        <v>264848.106412995</v>
      </c>
      <c r="G92" s="29" t="n">
        <f aca="false">C92-D92</f>
        <v>1768648.58003167</v>
      </c>
      <c r="H92" s="72" t="n">
        <f aca="false">YEAR(B92)</f>
        <v>2033</v>
      </c>
      <c r="I92" s="72" t="n">
        <f aca="false">H92-2026</f>
        <v>7</v>
      </c>
    </row>
    <row r="93" customFormat="false" ht="15" hidden="false" customHeight="false" outlineLevel="0" collapsed="false">
      <c r="A93" s="72" t="n">
        <v>78</v>
      </c>
      <c r="B93" s="73" t="n">
        <f aca="false">EOMONTH($C$10,77)</f>
        <v>48760</v>
      </c>
      <c r="C93" s="29" t="n">
        <f aca="false">G92</f>
        <v>1768648.58003167</v>
      </c>
      <c r="D93" s="29" t="n">
        <f aca="false">IF(A93&gt;$C$6,MIN(C93,$C$13),0)</f>
        <v>252664.082861666</v>
      </c>
      <c r="E93" s="29" t="n">
        <f aca="false">C93*$C$8*DAY(B93)/$C$11</f>
        <v>10317.1167168514</v>
      </c>
      <c r="F93" s="29" t="n">
        <f aca="false">D93+E93</f>
        <v>262981.199578517</v>
      </c>
      <c r="G93" s="29" t="n">
        <f aca="false">C93-D93</f>
        <v>1515984.49717001</v>
      </c>
      <c r="H93" s="72" t="n">
        <f aca="false">YEAR(B93)</f>
        <v>2033</v>
      </c>
      <c r="I93" s="72" t="n">
        <f aca="false">H93-2026</f>
        <v>7</v>
      </c>
    </row>
    <row r="94" customFormat="false" ht="15" hidden="false" customHeight="false" outlineLevel="0" collapsed="false">
      <c r="A94" s="72" t="n">
        <v>79</v>
      </c>
      <c r="B94" s="73" t="n">
        <f aca="false">EOMONTH($C$10,78)</f>
        <v>48791</v>
      </c>
      <c r="C94" s="29" t="n">
        <f aca="false">G93</f>
        <v>1515984.49717001</v>
      </c>
      <c r="D94" s="29" t="n">
        <f aca="false">IF(A94&gt;$C$6,MIN(C94,$C$13),0)</f>
        <v>252664.082861666</v>
      </c>
      <c r="E94" s="29" t="n">
        <f aca="false">C94*$C$8*DAY(B94)/$C$11</f>
        <v>9138.01766349699</v>
      </c>
      <c r="F94" s="29" t="n">
        <f aca="false">D94+E94</f>
        <v>261802.100525163</v>
      </c>
      <c r="G94" s="29" t="n">
        <f aca="false">C94-D94</f>
        <v>1263320.41430834</v>
      </c>
      <c r="H94" s="72" t="n">
        <f aca="false">YEAR(B94)</f>
        <v>2033</v>
      </c>
      <c r="I94" s="72" t="n">
        <f aca="false">H94-2026</f>
        <v>7</v>
      </c>
    </row>
    <row r="95" customFormat="false" ht="15" hidden="false" customHeight="false" outlineLevel="0" collapsed="false">
      <c r="A95" s="72" t="n">
        <v>80</v>
      </c>
      <c r="B95" s="73" t="n">
        <f aca="false">EOMONTH($C$10,79)</f>
        <v>48822</v>
      </c>
      <c r="C95" s="29" t="n">
        <f aca="false">G94</f>
        <v>1263320.41430834</v>
      </c>
      <c r="D95" s="29" t="n">
        <f aca="false">IF(A95&gt;$C$6,MIN(C95,$C$13),0)</f>
        <v>252664.082861666</v>
      </c>
      <c r="E95" s="29" t="n">
        <f aca="false">C95*$C$8*DAY(B95)/$C$11</f>
        <v>7615.01471958084</v>
      </c>
      <c r="F95" s="29" t="n">
        <f aca="false">D95+E95</f>
        <v>260279.097581247</v>
      </c>
      <c r="G95" s="29" t="n">
        <f aca="false">C95-D95</f>
        <v>1010656.33144668</v>
      </c>
      <c r="H95" s="72" t="n">
        <f aca="false">YEAR(B95)</f>
        <v>2033</v>
      </c>
      <c r="I95" s="72" t="n">
        <f aca="false">H95-2026</f>
        <v>7</v>
      </c>
    </row>
    <row r="96" customFormat="false" ht="15" hidden="false" customHeight="false" outlineLevel="0" collapsed="false">
      <c r="A96" s="72" t="n">
        <v>81</v>
      </c>
      <c r="B96" s="73" t="n">
        <f aca="false">EOMONTH($C$10,80)</f>
        <v>48852</v>
      </c>
      <c r="C96" s="29" t="n">
        <f aca="false">G95</f>
        <v>1010656.33144668</v>
      </c>
      <c r="D96" s="29" t="n">
        <f aca="false">IF(A96&gt;$C$6,MIN(C96,$C$13),0)</f>
        <v>252664.082861666</v>
      </c>
      <c r="E96" s="29" t="n">
        <f aca="false">C96*$C$8*DAY(B96)/$C$11</f>
        <v>5895.49526677228</v>
      </c>
      <c r="F96" s="29" t="n">
        <f aca="false">D96+E96</f>
        <v>258559.578128438</v>
      </c>
      <c r="G96" s="29" t="n">
        <f aca="false">C96-D96</f>
        <v>757992.24858501</v>
      </c>
      <c r="H96" s="72" t="n">
        <f aca="false">YEAR(B96)</f>
        <v>2033</v>
      </c>
      <c r="I96" s="72" t="n">
        <f aca="false">H96-2026</f>
        <v>7</v>
      </c>
    </row>
    <row r="97" customFormat="false" ht="15" hidden="false" customHeight="false" outlineLevel="0" collapsed="false">
      <c r="A97" s="72" t="n">
        <v>82</v>
      </c>
      <c r="B97" s="73" t="n">
        <f aca="false">EOMONTH($C$10,81)</f>
        <v>48883</v>
      </c>
      <c r="C97" s="29" t="n">
        <f aca="false">G96</f>
        <v>757992.24858501</v>
      </c>
      <c r="D97" s="29" t="n">
        <f aca="false">IF(A97&gt;$C$6,MIN(C97,$C$13),0)</f>
        <v>252664.082861666</v>
      </c>
      <c r="E97" s="29" t="n">
        <f aca="false">C97*$C$8*DAY(B97)/$C$11</f>
        <v>4569.00883174854</v>
      </c>
      <c r="F97" s="29" t="n">
        <f aca="false">D97+E97</f>
        <v>257233.091693414</v>
      </c>
      <c r="G97" s="29" t="n">
        <f aca="false">C97-D97</f>
        <v>505328.165723345</v>
      </c>
      <c r="H97" s="72" t="n">
        <f aca="false">YEAR(B97)</f>
        <v>2033</v>
      </c>
      <c r="I97" s="72" t="n">
        <f aca="false">H97-2026</f>
        <v>7</v>
      </c>
    </row>
    <row r="98" customFormat="false" ht="15" hidden="false" customHeight="false" outlineLevel="0" collapsed="false">
      <c r="A98" s="72" t="n">
        <v>83</v>
      </c>
      <c r="B98" s="73" t="n">
        <f aca="false">EOMONTH($C$10,82)</f>
        <v>48913</v>
      </c>
      <c r="C98" s="29" t="n">
        <f aca="false">G97</f>
        <v>505328.165723345</v>
      </c>
      <c r="D98" s="29" t="n">
        <f aca="false">IF(A98&gt;$C$6,MIN(C98,$C$13),0)</f>
        <v>252664.082861666</v>
      </c>
      <c r="E98" s="29" t="n">
        <f aca="false">C98*$C$8*DAY(B98)/$C$11</f>
        <v>2947.74763338618</v>
      </c>
      <c r="F98" s="29" t="n">
        <f aca="false">D98+E98</f>
        <v>255611.830495052</v>
      </c>
      <c r="G98" s="29" t="n">
        <f aca="false">C98-D98</f>
        <v>252664.082861679</v>
      </c>
      <c r="H98" s="72" t="n">
        <f aca="false">YEAR(B98)</f>
        <v>2033</v>
      </c>
      <c r="I98" s="72" t="n">
        <f aca="false">H98-2026</f>
        <v>7</v>
      </c>
    </row>
    <row r="99" customFormat="false" ht="15" hidden="false" customHeight="false" outlineLevel="0" collapsed="false">
      <c r="A99" s="72" t="n">
        <v>84</v>
      </c>
      <c r="B99" s="73" t="n">
        <f aca="false">EOMONTH($C$10,83)</f>
        <v>48944</v>
      </c>
      <c r="C99" s="29" t="n">
        <f aca="false">G98</f>
        <v>252664.082861679</v>
      </c>
      <c r="D99" s="29" t="n">
        <f aca="false">IF(A99&gt;$C$6,MIN(C99,$C$13),0)</f>
        <v>252664.082861666</v>
      </c>
      <c r="E99" s="29" t="n">
        <f aca="false">C99*$C$8*DAY(B99)/$C$11</f>
        <v>1523.00294391623</v>
      </c>
      <c r="F99" s="29" t="n">
        <f aca="false">D99+E99</f>
        <v>254187.085805582</v>
      </c>
      <c r="G99" s="29" t="n">
        <f aca="false">C99-D99</f>
        <v>1.27474777400494E-008</v>
      </c>
      <c r="H99" s="72" t="n">
        <f aca="false">YEAR(B99)</f>
        <v>2033</v>
      </c>
      <c r="I99" s="72" t="n">
        <f aca="false">H99-2026</f>
        <v>7</v>
      </c>
    </row>
    <row r="100" customFormat="false" ht="15" hidden="false" customHeight="false" outlineLevel="0" collapsed="false">
      <c r="B100" s="10" t="s">
        <v>421</v>
      </c>
      <c r="D100" s="47" t="n">
        <f aca="false">SUM(D16:D99)</f>
        <v>18191813.9660399</v>
      </c>
      <c r="E100" s="47" t="n">
        <f aca="false">SUM(E16:E99)</f>
        <v>5220068.02570901</v>
      </c>
      <c r="F100" s="47" t="n">
        <f aca="false">SUM(F16:F99)</f>
        <v>23411881.991749</v>
      </c>
    </row>
    <row r="102" customFormat="false" ht="15" hidden="false" customHeight="false" outlineLevel="0" collapsed="false">
      <c r="B102" s="33" t="s">
        <v>482</v>
      </c>
    </row>
    <row r="103" customFormat="false" ht="15" hidden="false" customHeight="false" outlineLevel="0" collapsed="false">
      <c r="B103" s="4" t="s">
        <v>42</v>
      </c>
      <c r="C103" s="17" t="s">
        <v>483</v>
      </c>
      <c r="D103" s="17" t="s">
        <v>484</v>
      </c>
      <c r="E103" s="17" t="s">
        <v>485</v>
      </c>
      <c r="F103" s="17" t="s">
        <v>486</v>
      </c>
      <c r="G103" s="17" t="s">
        <v>487</v>
      </c>
      <c r="H103" s="17" t="s">
        <v>488</v>
      </c>
      <c r="I103" s="17" t="s">
        <v>489</v>
      </c>
      <c r="J103" s="17" t="s">
        <v>51</v>
      </c>
    </row>
    <row r="104" customFormat="false" ht="15" hidden="false" customHeight="false" outlineLevel="0" collapsed="false">
      <c r="B104" s="6" t="s">
        <v>490</v>
      </c>
      <c r="C104" s="12" t="n">
        <f aca="false">$C$9</f>
        <v>18191813.9660399</v>
      </c>
      <c r="D104" s="12" t="n">
        <v>0</v>
      </c>
      <c r="E104" s="12" t="n">
        <v>0</v>
      </c>
      <c r="F104" s="12" t="n">
        <v>0</v>
      </c>
      <c r="G104" s="12" t="n">
        <v>0</v>
      </c>
      <c r="H104" s="12" t="n">
        <v>0</v>
      </c>
      <c r="I104" s="12" t="n">
        <v>0</v>
      </c>
      <c r="J104" s="22" t="n">
        <f aca="false">SUM(C104:I104)</f>
        <v>18191813.9660399</v>
      </c>
    </row>
    <row r="105" customFormat="false" ht="15" hidden="false" customHeight="false" outlineLevel="0" collapsed="false">
      <c r="B105" s="6" t="s">
        <v>138</v>
      </c>
      <c r="C105" s="12" t="n">
        <f aca="false">SUMIF($I$16:$I$99,1,$D$16:$D$99)</f>
        <v>0</v>
      </c>
      <c r="D105" s="12" t="n">
        <f aca="false">SUMIF($I$16:$I$99,2,$D$16:$D$99)</f>
        <v>3031968.99433999</v>
      </c>
      <c r="E105" s="12" t="n">
        <f aca="false">SUMIF($I$16:$I$99,3,$D$16:$D$99)</f>
        <v>3031968.99433999</v>
      </c>
      <c r="F105" s="12" t="n">
        <f aca="false">SUMIF($I$16:$I$99,4,$D$16:$D$99)</f>
        <v>3031968.99433999</v>
      </c>
      <c r="G105" s="12" t="n">
        <f aca="false">SUMIF($I$16:$I$99,5,$D$16:$D$99)</f>
        <v>3031968.99433999</v>
      </c>
      <c r="H105" s="12" t="n">
        <f aca="false">SUMIF($I$16:$I$99,6,$D$16:$D$99)</f>
        <v>3031968.99433999</v>
      </c>
      <c r="I105" s="12" t="n">
        <f aca="false">SUMIF($I$16:$I$99,7,$D$16:$D$99)</f>
        <v>3031968.99433999</v>
      </c>
      <c r="J105" s="22" t="n">
        <f aca="false">SUM(C105:I105)</f>
        <v>18191813.9660399</v>
      </c>
    </row>
    <row r="106" customFormat="false" ht="15" hidden="false" customHeight="false" outlineLevel="0" collapsed="false">
      <c r="B106" s="6" t="s">
        <v>477</v>
      </c>
      <c r="C106" s="12" t="n">
        <f aca="false">SUMIF($I$16:$I$99,1,$E$16:$E$99)</f>
        <v>1291113.46342311</v>
      </c>
      <c r="D106" s="12" t="n">
        <f aca="false">SUMIF($I$16:$I$99,2,$E$16:$E$99)</f>
        <v>1195508.18184696</v>
      </c>
      <c r="E106" s="12" t="n">
        <f aca="false">SUMIF($I$16:$I$99,3,$E$16:$E$99)</f>
        <v>976834.436576932</v>
      </c>
      <c r="F106" s="12" t="n">
        <f aca="false">SUMIF($I$16:$I$99,4,$E$16:$E$99)</f>
        <v>761648.859339746</v>
      </c>
      <c r="G106" s="12" t="n">
        <f aca="false">SUMIF($I$16:$I$99,5,$E$16:$E$99)</f>
        <v>546463.282102561</v>
      </c>
      <c r="H106" s="12" t="n">
        <f aca="false">SUMIF($I$16:$I$99,6,$E$16:$E$99)</f>
        <v>332407.674791507</v>
      </c>
      <c r="I106" s="12" t="n">
        <f aca="false">SUMIF($I$16:$I$99,7,$E$16:$E$99)</f>
        <v>116092.12762819</v>
      </c>
      <c r="J106" s="22" t="n">
        <f aca="false">SUM(C106:I106)</f>
        <v>5220068.02570901</v>
      </c>
    </row>
    <row r="107" customFormat="false" ht="15" hidden="false" customHeight="false" outlineLevel="0" collapsed="false">
      <c r="B107" s="26" t="s">
        <v>491</v>
      </c>
      <c r="C107" s="12" t="n">
        <f aca="false">C105+C106</f>
        <v>1291113.46342311</v>
      </c>
      <c r="D107" s="12" t="n">
        <f aca="false">D105+D106</f>
        <v>4227477.17618695</v>
      </c>
      <c r="E107" s="12" t="n">
        <f aca="false">E105+E106</f>
        <v>4008803.43091692</v>
      </c>
      <c r="F107" s="12" t="n">
        <f aca="false">F105+F106</f>
        <v>3793617.85367974</v>
      </c>
      <c r="G107" s="12" t="n">
        <f aca="false">G105+G106</f>
        <v>3578432.27644255</v>
      </c>
      <c r="H107" s="12" t="n">
        <f aca="false">H105+H106</f>
        <v>3364376.6691315</v>
      </c>
      <c r="I107" s="12" t="n">
        <f aca="false">I105+I106</f>
        <v>3148061.12196818</v>
      </c>
      <c r="J107" s="22" t="n">
        <f aca="false">SUM(C107:I107)</f>
        <v>23411881.991749</v>
      </c>
    </row>
    <row r="108" customFormat="false" ht="15" hidden="false" customHeight="false" outlineLevel="0" collapsed="false">
      <c r="B108" s="26" t="s">
        <v>492</v>
      </c>
      <c r="C108" s="12" t="n">
        <f aca="false">$C$9-SUM($C$105:C105)</f>
        <v>18191813.9660399</v>
      </c>
      <c r="D108" s="12" t="n">
        <f aca="false">$C$9-SUM($C$105:D105)</f>
        <v>15159844.9717</v>
      </c>
      <c r="E108" s="12" t="n">
        <f aca="false">$C$9-SUM($C$105:E105)</f>
        <v>12127875.97736</v>
      </c>
      <c r="F108" s="12" t="n">
        <f aca="false">$C$9-SUM($C$105:F105)</f>
        <v>9095906.98301997</v>
      </c>
      <c r="G108" s="12" t="n">
        <f aca="false">$C$9-SUM($C$105:G105)</f>
        <v>6063937.98867998</v>
      </c>
      <c r="H108" s="12" t="n">
        <f aca="false">$C$9-SUM($C$105:H105)</f>
        <v>3031968.99433999</v>
      </c>
      <c r="I108" s="12" t="n">
        <f aca="false">$C$9-SUM($C$105:I105)</f>
        <v>0</v>
      </c>
      <c r="J108" s="22" t="n">
        <f aca="false">I108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493</v>
      </c>
      <c r="K2" s="51" t="s">
        <v>494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62" t="s">
        <v>495</v>
      </c>
      <c r="C6" s="20" t="s">
        <v>32</v>
      </c>
      <c r="D6" s="22" t="n">
        <f aca="false">D7+D8</f>
        <v>9058233.40746031</v>
      </c>
      <c r="E6" s="22" t="n">
        <f aca="false">E7+E8</f>
        <v>47577491.5603378</v>
      </c>
      <c r="F6" s="22" t="n">
        <f aca="false">F7+F8</f>
        <v>63164550.9175715</v>
      </c>
      <c r="G6" s="22" t="n">
        <f aca="false">G7+G8</f>
        <v>76218662.3391351</v>
      </c>
      <c r="H6" s="22" t="n">
        <f aca="false">H7+H8</f>
        <v>78385381.545254</v>
      </c>
      <c r="I6" s="22" t="n">
        <f aca="false">I7+I8</f>
        <v>80109859.9392496</v>
      </c>
      <c r="J6" s="22" t="n">
        <f aca="false">J7+J8</f>
        <v>81872276.8579131</v>
      </c>
      <c r="K6" s="22" t="n">
        <f aca="false">SUM(D6:J6)</f>
        <v>436386456.566921</v>
      </c>
    </row>
    <row r="7" customFormat="false" ht="15" hidden="false" customHeight="false" outlineLevel="0" collapsed="false">
      <c r="B7" s="19" t="s">
        <v>496</v>
      </c>
      <c r="C7" s="20" t="s">
        <v>32</v>
      </c>
      <c r="D7" s="12" t="n">
        <f aca="false">SalePlan!D10</f>
        <v>9058233.40746031</v>
      </c>
      <c r="E7" s="12" t="n">
        <f aca="false">SalePlan!E10</f>
        <v>47577491.5603378</v>
      </c>
      <c r="F7" s="12" t="n">
        <f aca="false">SalePlan!F10</f>
        <v>63164550.9175715</v>
      </c>
      <c r="G7" s="12" t="n">
        <f aca="false">SalePlan!G10</f>
        <v>76218662.3391351</v>
      </c>
      <c r="H7" s="12" t="n">
        <f aca="false">SalePlan!H10</f>
        <v>78385381.545254</v>
      </c>
      <c r="I7" s="12" t="n">
        <f aca="false">SalePlan!I10</f>
        <v>80109859.9392496</v>
      </c>
      <c r="J7" s="12" t="n">
        <f aca="false">SalePlan!J10</f>
        <v>81872276.8579131</v>
      </c>
      <c r="K7" s="12" t="n">
        <f aca="false">SUM(D7:J7)</f>
        <v>436386456.566921</v>
      </c>
    </row>
    <row r="8" customFormat="false" ht="15" hidden="false" customHeight="false" outlineLevel="0" collapsed="false">
      <c r="B8" s="19" t="s">
        <v>497</v>
      </c>
      <c r="C8" s="20" t="s">
        <v>32</v>
      </c>
      <c r="D8" s="12" t="n">
        <f aca="false">SalePlan!D16+Taxes!D19</f>
        <v>0</v>
      </c>
      <c r="E8" s="12" t="n">
        <f aca="false">SalePlan!E16+Taxes!E19</f>
        <v>0</v>
      </c>
      <c r="F8" s="12" t="n">
        <f aca="false">SalePlan!F16+Taxes!F19</f>
        <v>0</v>
      </c>
      <c r="G8" s="12" t="n">
        <f aca="false">SalePlan!G16+Taxes!G19</f>
        <v>0</v>
      </c>
      <c r="H8" s="12" t="n">
        <f aca="false">SalePlan!H16+Taxes!H19</f>
        <v>0</v>
      </c>
      <c r="I8" s="12" t="n">
        <f aca="false">SalePlan!I16+Taxes!I19</f>
        <v>0</v>
      </c>
      <c r="J8" s="12" t="n">
        <f aca="false">SalePlan!J16+Taxes!J19</f>
        <v>0</v>
      </c>
      <c r="K8" s="12" t="n">
        <f aca="false">SUM(D8:J8)</f>
        <v>0</v>
      </c>
    </row>
    <row r="9" customFormat="false" ht="15" hidden="false" customHeight="false" outlineLevel="0" collapsed="false">
      <c r="B9" s="19" t="s">
        <v>498</v>
      </c>
      <c r="C9" s="20" t="s">
        <v>32</v>
      </c>
      <c r="D9" s="12" t="n">
        <f aca="false">Taxes!D19</f>
        <v>0</v>
      </c>
      <c r="E9" s="12" t="n">
        <f aca="false">Taxes!E19</f>
        <v>0</v>
      </c>
      <c r="F9" s="12" t="n">
        <f aca="false">Taxes!F19</f>
        <v>0</v>
      </c>
      <c r="G9" s="12" t="n">
        <f aca="false">Taxes!G19</f>
        <v>0</v>
      </c>
      <c r="H9" s="12" t="n">
        <f aca="false">Taxes!H19</f>
        <v>0</v>
      </c>
      <c r="I9" s="12" t="n">
        <f aca="false">Taxes!I19</f>
        <v>0</v>
      </c>
      <c r="J9" s="12" t="n">
        <f aca="false">Taxes!J19</f>
        <v>0</v>
      </c>
      <c r="K9" s="12" t="n">
        <f aca="false">SUM(D9:J9)</f>
        <v>0</v>
      </c>
    </row>
    <row r="10" customFormat="false" ht="15" hidden="false" customHeight="false" outlineLevel="0" collapsed="false">
      <c r="B10" s="69" t="s">
        <v>499</v>
      </c>
      <c r="C10" s="59" t="s">
        <v>32</v>
      </c>
      <c r="D10" s="48" t="n">
        <f aca="false">D6-D9</f>
        <v>9058233.40746031</v>
      </c>
      <c r="E10" s="48" t="n">
        <f aca="false">E6-E9</f>
        <v>47577491.5603378</v>
      </c>
      <c r="F10" s="48" t="n">
        <f aca="false">F6-F9</f>
        <v>63164550.9175715</v>
      </c>
      <c r="G10" s="48" t="n">
        <f aca="false">G6-G9</f>
        <v>76218662.3391351</v>
      </c>
      <c r="H10" s="48" t="n">
        <f aca="false">H6-H9</f>
        <v>78385381.545254</v>
      </c>
      <c r="I10" s="48" t="n">
        <f aca="false">I6-I9</f>
        <v>80109859.9392496</v>
      </c>
      <c r="J10" s="48" t="n">
        <f aca="false">J6-J9</f>
        <v>81872276.8579131</v>
      </c>
      <c r="K10" s="48" t="n">
        <f aca="false">SUM(D10:J10)</f>
        <v>436386456.566921</v>
      </c>
    </row>
    <row r="11" customFormat="false" ht="15" hidden="false" customHeight="false" outlineLevel="0" collapsed="false">
      <c r="B11" s="19" t="s">
        <v>444</v>
      </c>
      <c r="C11" s="20" t="s">
        <v>32</v>
      </c>
      <c r="D11" s="12" t="n">
        <f aca="false">CostSold!D22</f>
        <v>3983085.34769568</v>
      </c>
      <c r="E11" s="12" t="n">
        <f aca="false">CostSold!E22</f>
        <v>22748393.2278882</v>
      </c>
      <c r="F11" s="12" t="n">
        <f aca="false">CostSold!F22</f>
        <v>28767725.6070918</v>
      </c>
      <c r="G11" s="12" t="n">
        <f aca="false">CostSold!G22</f>
        <v>33957554.4079507</v>
      </c>
      <c r="H11" s="12" t="n">
        <f aca="false">CostSold!H22</f>
        <v>35013223.0766929</v>
      </c>
      <c r="I11" s="12" t="n">
        <f aca="false">CostSold!I22</f>
        <v>35782806.1656104</v>
      </c>
      <c r="J11" s="12" t="n">
        <f aca="false">CostSold!J22</f>
        <v>36568132.9667505</v>
      </c>
      <c r="K11" s="12" t="n">
        <f aca="false">SUM(D11:J11)</f>
        <v>196820920.79968</v>
      </c>
    </row>
    <row r="12" customFormat="false" ht="15" hidden="false" customHeight="false" outlineLevel="0" collapsed="false">
      <c r="B12" s="19" t="s">
        <v>500</v>
      </c>
      <c r="C12" s="20" t="s">
        <v>32</v>
      </c>
      <c r="D12" s="12" t="n">
        <f aca="false">CostSold!D23</f>
        <v>154815.248459948</v>
      </c>
      <c r="E12" s="12" t="n">
        <f aca="false">CostSold!E23</f>
        <v>1123057.22606462</v>
      </c>
      <c r="F12" s="12" t="n">
        <f aca="false">CostSold!F23</f>
        <v>1434045.71414757</v>
      </c>
      <c r="G12" s="12" t="n">
        <f aca="false">CostSold!G23</f>
        <v>1689151.42823444</v>
      </c>
      <c r="H12" s="12" t="n">
        <f aca="false">CostSold!H23</f>
        <v>1717864.5220173</v>
      </c>
      <c r="I12" s="12" t="n">
        <f aca="false">CostSold!I23</f>
        <v>1731824.22667559</v>
      </c>
      <c r="J12" s="12" t="n">
        <f aca="false">CostSold!J23</f>
        <v>1746035.29446564</v>
      </c>
      <c r="K12" s="12" t="n">
        <f aca="false">SUM(D12:J12)</f>
        <v>9596793.66006511</v>
      </c>
    </row>
    <row r="13" customFormat="false" ht="15" hidden="false" customHeight="false" outlineLevel="0" collapsed="false">
      <c r="B13" s="19" t="s">
        <v>501</v>
      </c>
      <c r="C13" s="20" t="s">
        <v>32</v>
      </c>
      <c r="D13" s="12" t="n">
        <f aca="false">CostSold!D24</f>
        <v>3828270.09923573</v>
      </c>
      <c r="E13" s="12" t="n">
        <f aca="false">CostSold!E24</f>
        <v>21625336.0018236</v>
      </c>
      <c r="F13" s="12" t="n">
        <f aca="false">CostSold!F24</f>
        <v>27333679.8929442</v>
      </c>
      <c r="G13" s="12" t="n">
        <f aca="false">CostSold!G24</f>
        <v>32268402.9797163</v>
      </c>
      <c r="H13" s="12" t="n">
        <f aca="false">CostSold!H24</f>
        <v>33295358.5546756</v>
      </c>
      <c r="I13" s="12" t="n">
        <f aca="false">CostSold!I24</f>
        <v>34050981.9389348</v>
      </c>
      <c r="J13" s="12" t="n">
        <f aca="false">CostSold!J24</f>
        <v>34822097.6722848</v>
      </c>
      <c r="K13" s="12" t="n">
        <f aca="false">SUM(D13:J13)</f>
        <v>187224127.139615</v>
      </c>
    </row>
    <row r="14" customFormat="false" ht="15" hidden="false" customHeight="false" outlineLevel="0" collapsed="false">
      <c r="B14" s="69" t="s">
        <v>502</v>
      </c>
      <c r="C14" s="59" t="s">
        <v>32</v>
      </c>
      <c r="D14" s="48" t="n">
        <f aca="false">D10-D11</f>
        <v>5075148.05976463</v>
      </c>
      <c r="E14" s="48" t="n">
        <f aca="false">E10-E11</f>
        <v>24829098.3324496</v>
      </c>
      <c r="F14" s="48" t="n">
        <f aca="false">F10-F11</f>
        <v>34396825.3104797</v>
      </c>
      <c r="G14" s="48" t="n">
        <f aca="false">G10-G11</f>
        <v>42261107.9311844</v>
      </c>
      <c r="H14" s="48" t="n">
        <f aca="false">H10-H11</f>
        <v>43372158.4685611</v>
      </c>
      <c r="I14" s="48" t="n">
        <f aca="false">I10-I11</f>
        <v>44327053.7736392</v>
      </c>
      <c r="J14" s="48" t="n">
        <f aca="false">J10-J11</f>
        <v>45304143.8911626</v>
      </c>
      <c r="K14" s="48" t="n">
        <f aca="false">SUM(D14:J14)</f>
        <v>239565535.767241</v>
      </c>
    </row>
    <row r="15" customFormat="false" ht="15" hidden="false" customHeight="false" outlineLevel="0" collapsed="false">
      <c r="B15" s="19" t="s">
        <v>503</v>
      </c>
      <c r="C15" s="20" t="s">
        <v>32</v>
      </c>
      <c r="D15" s="12" t="n">
        <f aca="false">CostSold!D31</f>
        <v>3408308.88670231</v>
      </c>
      <c r="E15" s="12" t="n">
        <f aca="false">CostSold!E31</f>
        <v>4550682.99957218</v>
      </c>
      <c r="F15" s="12" t="n">
        <f aca="false">CostSold!F31</f>
        <v>4947372.43406683</v>
      </c>
      <c r="G15" s="12" t="n">
        <f aca="false">CostSold!G31</f>
        <v>5284089.94946732</v>
      </c>
      <c r="H15" s="12" t="n">
        <f aca="false">CostSold!H31</f>
        <v>5393889.14389417</v>
      </c>
      <c r="I15" s="12" t="n">
        <f aca="false">CostSold!I31</f>
        <v>5503654.37742512</v>
      </c>
      <c r="J15" s="12" t="n">
        <f aca="false">CostSold!J31</f>
        <v>5615834.44609375</v>
      </c>
      <c r="K15" s="12" t="n">
        <f aca="false">SUM(D15:J15)</f>
        <v>34703832.2372217</v>
      </c>
    </row>
    <row r="16" customFormat="false" ht="15" hidden="false" customHeight="false" outlineLevel="0" collapsed="false">
      <c r="B16" s="19" t="s">
        <v>504</v>
      </c>
      <c r="C16" s="20" t="s">
        <v>32</v>
      </c>
      <c r="D16" s="12" t="n">
        <f aca="false">CostSold!D39</f>
        <v>1602669.36489101</v>
      </c>
      <c r="E16" s="12" t="n">
        <f aca="false">CostSold!E39</f>
        <v>1009836.41676061</v>
      </c>
      <c r="F16" s="12" t="n">
        <f aca="false">CostSold!F39</f>
        <v>1132637.4735102</v>
      </c>
      <c r="G16" s="12" t="n">
        <f aca="false">CostSold!G39</f>
        <v>1229820.51746776</v>
      </c>
      <c r="H16" s="12" t="n">
        <f aca="false">CostSold!H39</f>
        <v>1235459.47855843</v>
      </c>
      <c r="I16" s="12" t="n">
        <f aca="false">CostSold!I39</f>
        <v>1241406.31528898</v>
      </c>
      <c r="J16" s="12" t="n">
        <f aca="false">CostSold!J39</f>
        <v>1247716.79178696</v>
      </c>
      <c r="K16" s="12" t="n">
        <f aca="false">SUM(D16:J16)</f>
        <v>8699546.35826395</v>
      </c>
    </row>
    <row r="17" customFormat="false" ht="15" hidden="false" customHeight="false" outlineLevel="0" collapsed="false">
      <c r="B17" s="69" t="s">
        <v>505</v>
      </c>
      <c r="C17" s="59" t="s">
        <v>32</v>
      </c>
      <c r="D17" s="48" t="n">
        <f aca="false">D14-D15-D16</f>
        <v>64169.8081713149</v>
      </c>
      <c r="E17" s="48" t="n">
        <f aca="false">E14-E15-E16</f>
        <v>19268578.9161168</v>
      </c>
      <c r="F17" s="48" t="n">
        <f aca="false">F14-F15-F16</f>
        <v>28316815.4029027</v>
      </c>
      <c r="G17" s="48" t="n">
        <f aca="false">G14-G15-G16</f>
        <v>35747197.4642493</v>
      </c>
      <c r="H17" s="48" t="n">
        <f aca="false">H14-H15-H16</f>
        <v>36742809.8461085</v>
      </c>
      <c r="I17" s="48" t="n">
        <f aca="false">I14-I15-I16</f>
        <v>37581993.0809251</v>
      </c>
      <c r="J17" s="48" t="n">
        <f aca="false">J14-J15-J16</f>
        <v>38440592.6532819</v>
      </c>
      <c r="K17" s="48" t="n">
        <f aca="false">SUM(D17:J17)</f>
        <v>196162157.171756</v>
      </c>
    </row>
    <row r="18" customFormat="false" ht="15" hidden="false" customHeight="false" outlineLevel="0" collapsed="false">
      <c r="B18" s="19" t="s">
        <v>506</v>
      </c>
      <c r="C18" s="20" t="s">
        <v>32</v>
      </c>
      <c r="D18" s="12" t="n">
        <f aca="false">D19</f>
        <v>0</v>
      </c>
      <c r="E18" s="12" t="n">
        <f aca="false">E19</f>
        <v>1195508.18184696</v>
      </c>
      <c r="F18" s="12" t="n">
        <f aca="false">F19</f>
        <v>976834.436576932</v>
      </c>
      <c r="G18" s="12" t="n">
        <f aca="false">G19</f>
        <v>761648.859339746</v>
      </c>
      <c r="H18" s="12" t="n">
        <f aca="false">H19</f>
        <v>546463.282102561</v>
      </c>
      <c r="I18" s="12" t="n">
        <f aca="false">I19</f>
        <v>332407.674791507</v>
      </c>
      <c r="J18" s="12" t="n">
        <f aca="false">J19</f>
        <v>116092.12762819</v>
      </c>
      <c r="K18" s="12" t="n">
        <f aca="false">SUM(D18:J18)</f>
        <v>3928954.56228589</v>
      </c>
    </row>
    <row r="19" customFormat="false" ht="15" hidden="false" customHeight="false" outlineLevel="0" collapsed="false">
      <c r="B19" s="19" t="s">
        <v>507</v>
      </c>
      <c r="C19" s="20" t="s">
        <v>32</v>
      </c>
      <c r="D19" s="12" t="n">
        <f aca="false">CostSold!D42</f>
        <v>0</v>
      </c>
      <c r="E19" s="12" t="n">
        <f aca="false">CostSold!E42</f>
        <v>1195508.18184696</v>
      </c>
      <c r="F19" s="12" t="n">
        <f aca="false">CostSold!F42</f>
        <v>976834.436576932</v>
      </c>
      <c r="G19" s="12" t="n">
        <f aca="false">CostSold!G42</f>
        <v>761648.859339746</v>
      </c>
      <c r="H19" s="12" t="n">
        <f aca="false">CostSold!H42</f>
        <v>546463.282102561</v>
      </c>
      <c r="I19" s="12" t="n">
        <f aca="false">CostSold!I42</f>
        <v>332407.674791507</v>
      </c>
      <c r="J19" s="12" t="n">
        <f aca="false">CostSold!J42</f>
        <v>116092.12762819</v>
      </c>
      <c r="K19" s="12" t="n">
        <f aca="false">SUM(D19:J19)</f>
        <v>3928954.56228589</v>
      </c>
    </row>
    <row r="20" customFormat="false" ht="15" hidden="false" customHeight="false" outlineLevel="0" collapsed="false">
      <c r="B20" s="69" t="s">
        <v>508</v>
      </c>
      <c r="C20" s="59" t="s">
        <v>32</v>
      </c>
      <c r="D20" s="48" t="n">
        <f aca="false">D17-D18</f>
        <v>64169.8081713149</v>
      </c>
      <c r="E20" s="48" t="n">
        <f aca="false">E17-E18</f>
        <v>18073070.7342698</v>
      </c>
      <c r="F20" s="48" t="n">
        <f aca="false">F17-F18</f>
        <v>27339980.9663258</v>
      </c>
      <c r="G20" s="48" t="n">
        <f aca="false">G17-G18</f>
        <v>34985548.6049096</v>
      </c>
      <c r="H20" s="48" t="n">
        <f aca="false">H17-H18</f>
        <v>36196346.5640059</v>
      </c>
      <c r="I20" s="48" t="n">
        <f aca="false">I17-I18</f>
        <v>37249585.4061336</v>
      </c>
      <c r="J20" s="48" t="n">
        <f aca="false">J17-J18</f>
        <v>38324500.5256537</v>
      </c>
      <c r="K20" s="48" t="n">
        <f aca="false">SUM(D20:J20)</f>
        <v>192233202.60947</v>
      </c>
    </row>
    <row r="21" customFormat="false" ht="15" hidden="false" customHeight="false" outlineLevel="0" collapsed="false">
      <c r="B21" s="19" t="s">
        <v>509</v>
      </c>
      <c r="C21" s="20" t="s">
        <v>32</v>
      </c>
      <c r="D21" s="12" t="n">
        <f aca="false">Taxes!D29</f>
        <v>9625.47122569705</v>
      </c>
      <c r="E21" s="12" t="n">
        <f aca="false">Taxes!E29</f>
        <v>2710960.61014048</v>
      </c>
      <c r="F21" s="12" t="n">
        <f aca="false">Taxes!F29</f>
        <v>4100997.14494886</v>
      </c>
      <c r="G21" s="12" t="n">
        <f aca="false">Taxes!G29</f>
        <v>5247832.29073644</v>
      </c>
      <c r="H21" s="12" t="n">
        <f aca="false">Taxes!H29</f>
        <v>5429451.98460088</v>
      </c>
      <c r="I21" s="12" t="n">
        <f aca="false">Taxes!I29</f>
        <v>5587437.81092003</v>
      </c>
      <c r="J21" s="12" t="n">
        <f aca="false">Taxes!J29</f>
        <v>5748675.07884806</v>
      </c>
      <c r="K21" s="12" t="n">
        <f aca="false">SUM(D21:J21)</f>
        <v>28834980.3914204</v>
      </c>
    </row>
    <row r="22" customFormat="false" ht="15" hidden="false" customHeight="false" outlineLevel="0" collapsed="false">
      <c r="B22" s="38" t="s">
        <v>510</v>
      </c>
      <c r="C22" s="63" t="s">
        <v>32</v>
      </c>
      <c r="D22" s="15" t="n">
        <f aca="false">D20-D21</f>
        <v>54544.3369456178</v>
      </c>
      <c r="E22" s="15" t="n">
        <f aca="false">E20-E21</f>
        <v>15362110.1241294</v>
      </c>
      <c r="F22" s="15" t="n">
        <f aca="false">F20-F21</f>
        <v>23238983.8213769</v>
      </c>
      <c r="G22" s="15" t="n">
        <f aca="false">G20-G21</f>
        <v>29737716.3141732</v>
      </c>
      <c r="H22" s="15" t="n">
        <f aca="false">H20-H21</f>
        <v>30766894.579405</v>
      </c>
      <c r="I22" s="15" t="n">
        <f aca="false">I20-I21</f>
        <v>31662147.5952135</v>
      </c>
      <c r="J22" s="15" t="n">
        <f aca="false">J20-J21</f>
        <v>32575825.4468056</v>
      </c>
      <c r="K22" s="15" t="n">
        <f aca="false">SUM(D22:J22)</f>
        <v>163398222.218049</v>
      </c>
    </row>
    <row r="24" customFormat="false" ht="15" hidden="false" customHeight="false" outlineLevel="0" collapsed="false">
      <c r="B24" s="33" t="s">
        <v>511</v>
      </c>
    </row>
    <row r="25" customFormat="false" ht="15" hidden="false" customHeight="false" outlineLevel="0" collapsed="false">
      <c r="B25" s="19" t="s">
        <v>512</v>
      </c>
      <c r="C25" s="20" t="s">
        <v>262</v>
      </c>
      <c r="D25" s="13" t="n">
        <f aca="false">IFERROR(D14/D10,0)</f>
        <v>0.560280115500752</v>
      </c>
      <c r="E25" s="13" t="n">
        <f aca="false">IFERROR(E14/E10,0)</f>
        <v>0.521866485982375</v>
      </c>
      <c r="F25" s="13" t="n">
        <f aca="false">IFERROR(F14/F10,0)</f>
        <v>0.54455900993212</v>
      </c>
      <c r="G25" s="13" t="n">
        <f aca="false">IFERROR(G14/G10,0)</f>
        <v>0.554471918480326</v>
      </c>
      <c r="H25" s="13" t="n">
        <f aca="false">IFERROR(H14/H10,0)</f>
        <v>0.553319478881673</v>
      </c>
      <c r="I25" s="13" t="n">
        <f aca="false">IFERROR(I14/I10,0)</f>
        <v>0.553328314482813</v>
      </c>
      <c r="J25" s="13" t="n">
        <f aca="false">IFERROR(J14/J10,0)</f>
        <v>0.553351459490819</v>
      </c>
    </row>
    <row r="26" customFormat="false" ht="15" hidden="false" customHeight="false" outlineLevel="0" collapsed="false">
      <c r="B26" s="19" t="s">
        <v>513</v>
      </c>
      <c r="C26" s="20" t="s">
        <v>262</v>
      </c>
      <c r="D26" s="13" t="n">
        <f aca="false">IFERROR(D22/D10,0)</f>
        <v>0.00602152036628858</v>
      </c>
      <c r="E26" s="13" t="n">
        <f aca="false">IFERROR(E22/E10,0)</f>
        <v>0.322886087944488</v>
      </c>
      <c r="F26" s="13" t="n">
        <f aca="false">IFERROR(F22/F10,0)</f>
        <v>0.367911803120445</v>
      </c>
      <c r="G26" s="13" t="n">
        <f aca="false">IFERROR(G22/G10,0)</f>
        <v>0.390163188404634</v>
      </c>
      <c r="H26" s="13" t="n">
        <f aca="false">IFERROR(H22/H10,0)</f>
        <v>0.392508066847164</v>
      </c>
      <c r="I26" s="13" t="n">
        <f aca="false">IFERROR(I22/I10,0)</f>
        <v>0.395234090026174</v>
      </c>
      <c r="J26" s="13" t="n">
        <f aca="false">IFERROR(J22/J10,0)</f>
        <v>0.397885910799086</v>
      </c>
    </row>
    <row r="27" customFormat="false" ht="15" hidden="false" customHeight="false" outlineLevel="0" collapsed="false">
      <c r="B27" s="19" t="s">
        <v>61</v>
      </c>
      <c r="C27" s="20" t="s">
        <v>32</v>
      </c>
      <c r="D27" s="12" t="n">
        <f aca="false">D17+Depreciate!$G$18</f>
        <v>731448.935790867</v>
      </c>
      <c r="E27" s="12" t="n">
        <f aca="false">E17+Depreciate!$H$18</f>
        <v>21996151.8831724</v>
      </c>
      <c r="F27" s="12" t="n">
        <f aca="false">F17+Depreciate!$I$18</f>
        <v>31098348.1760297</v>
      </c>
      <c r="G27" s="12" t="n">
        <f aca="false">G17+Depreciate!$J$18</f>
        <v>38582690.0434478</v>
      </c>
      <c r="H27" s="12" t="n">
        <f aca="false">H17+Depreciate!$K$18</f>
        <v>39632262.2313783</v>
      </c>
      <c r="I27" s="12" t="n">
        <f aca="false">I17+Depreciate!$L$18</f>
        <v>40525405.2722664</v>
      </c>
      <c r="J27" s="12" t="n">
        <f aca="false">J17+Depreciate!$M$18</f>
        <v>41437964.6506946</v>
      </c>
      <c r="K27" s="12" t="n">
        <f aca="false">SUM(D27:J27)</f>
        <v>214004271.19278</v>
      </c>
    </row>
    <row r="28" customFormat="false" ht="15" hidden="false" customHeight="false" outlineLevel="0" collapsed="false">
      <c r="B28" s="19" t="s">
        <v>514</v>
      </c>
      <c r="C28" s="20" t="s">
        <v>262</v>
      </c>
      <c r="D28" s="13" t="n">
        <f aca="false">IFERROR(D27/D10,0)</f>
        <v>0.0807496233413956</v>
      </c>
      <c r="E28" s="13" t="n">
        <f aca="false">IFERROR(E27/E10,0)</f>
        <v>0.462322647995783</v>
      </c>
      <c r="F28" s="13" t="n">
        <f aca="false">IFERROR(F27/F10,0)</f>
        <v>0.492338625451679</v>
      </c>
      <c r="G28" s="13" t="n">
        <f aca="false">IFERROR(G27/G10,0)</f>
        <v>0.50621053767349</v>
      </c>
      <c r="H28" s="13" t="n">
        <f aca="false">IFERROR(H27/H10,0)</f>
        <v>0.505607824444888</v>
      </c>
      <c r="I28" s="13" t="n">
        <f aca="false">IFERROR(I27/I10,0)</f>
        <v>0.505872876360018</v>
      </c>
      <c r="J28" s="13" t="n">
        <f aca="false">IFERROR(J27/J10,0)</f>
        <v>0.506129379088956</v>
      </c>
    </row>
    <row r="29" customFormat="false" ht="15" hidden="false" customHeight="false" outlineLevel="0" collapsed="false">
      <c r="B29" s="19" t="s">
        <v>515</v>
      </c>
      <c r="C29" s="20" t="s">
        <v>68</v>
      </c>
      <c r="D29" s="21" t="str">
        <f aca="false">IF(D19&gt;0,D17/D19,"-")</f>
        <v>-</v>
      </c>
      <c r="E29" s="21" t="n">
        <f aca="false">IF(E19&gt;0,E17/E19,"-")</f>
        <v>16.1174797535459</v>
      </c>
      <c r="F29" s="21" t="n">
        <f aca="false">IF(F19&gt;0,F17/F19,"-")</f>
        <v>28.9883467889725</v>
      </c>
      <c r="G29" s="21" t="n">
        <f aca="false">IF(G19&gt;0,G17/G19,"-")</f>
        <v>46.9339604804735</v>
      </c>
      <c r="H29" s="21" t="n">
        <f aca="false">IF(H19&gt;0,H17/H19,"-")</f>
        <v>67.2374723965672</v>
      </c>
      <c r="I29" s="21" t="n">
        <f aca="false">IF(I19&gt;0,I17/I19,"-")</f>
        <v>113.059943951346</v>
      </c>
      <c r="J29" s="21" t="n">
        <f aca="false">IF(J19&gt;0,J17/J19,"-")</f>
        <v>331.121441553695</v>
      </c>
    </row>
    <row r="30" customFormat="false" ht="15" hidden="false" customHeight="false" outlineLevel="0" collapsed="false">
      <c r="B30" s="19" t="s">
        <v>69</v>
      </c>
      <c r="C30" s="20" t="s">
        <v>32</v>
      </c>
      <c r="D30" s="12" t="n">
        <f aca="false">LOANS!$C$108</f>
        <v>18191813.9660399</v>
      </c>
      <c r="E30" s="12" t="n">
        <f aca="false">LOANS!$D$108</f>
        <v>15159844.9717</v>
      </c>
      <c r="F30" s="12" t="n">
        <f aca="false">LOANS!$E$108</f>
        <v>12127875.97736</v>
      </c>
      <c r="G30" s="12" t="n">
        <f aca="false">LOANS!$F$108</f>
        <v>9095906.98301997</v>
      </c>
      <c r="H30" s="12" t="n">
        <f aca="false">LOANS!$G$108</f>
        <v>6063937.98867998</v>
      </c>
      <c r="I30" s="12" t="n">
        <f aca="false">LOANS!$H$108</f>
        <v>3031968.99433999</v>
      </c>
      <c r="J30" s="12" t="n">
        <f aca="false">LOANS!$I$108</f>
        <v>0</v>
      </c>
    </row>
    <row r="31" customFormat="false" ht="15" hidden="false" customHeight="false" outlineLevel="0" collapsed="false">
      <c r="B31" s="19" t="s">
        <v>516</v>
      </c>
      <c r="C31" s="20" t="s">
        <v>68</v>
      </c>
      <c r="D31" s="21" t="n">
        <f aca="false">IFERROR(D30/D27,0)</f>
        <v>24.8709282027601</v>
      </c>
      <c r="E31" s="21" t="n">
        <f aca="false">IFERROR(E30/E27,0)</f>
        <v>0.689204414127437</v>
      </c>
      <c r="F31" s="21" t="n">
        <f aca="false">IFERROR(F30/F27,0)</f>
        <v>0.389984571164716</v>
      </c>
      <c r="G31" s="21" t="n">
        <f aca="false">IFERROR(G30/G27,0)</f>
        <v>0.235750979850734</v>
      </c>
      <c r="H31" s="21" t="n">
        <f aca="false">IFERROR(H30/H27,0)</f>
        <v>0.153005093508867</v>
      </c>
      <c r="I31" s="21" t="n">
        <f aca="false">IFERROR(I30/I27,0)</f>
        <v>0.0748165002661904</v>
      </c>
      <c r="J31" s="21" t="n">
        <f aca="false">IFERROR(J30/J27,0)</f>
        <v>0</v>
      </c>
    </row>
    <row r="33" customFormat="false" ht="15" hidden="false" customHeight="false" outlineLevel="0" collapsed="false">
      <c r="B33" s="3" t="s">
        <v>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4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518</v>
      </c>
      <c r="K2" s="51" t="s">
        <v>519</v>
      </c>
    </row>
    <row r="4" customFormat="false" ht="15" hidden="false" customHeight="false" outlineLevel="0" collapsed="false">
      <c r="B4" s="4" t="s">
        <v>520</v>
      </c>
      <c r="C4" s="4" t="s">
        <v>521</v>
      </c>
    </row>
    <row r="5" customFormat="false" ht="15" hidden="false" customHeight="false" outlineLevel="0" collapsed="false">
      <c r="B5" s="6" t="s">
        <v>522</v>
      </c>
      <c r="C5" s="58" t="n">
        <f aca="false">Исх_данные!$E$9</f>
        <v>30</v>
      </c>
    </row>
    <row r="6" customFormat="false" ht="15" hidden="false" customHeight="false" outlineLevel="0" collapsed="false">
      <c r="B6" s="6" t="s">
        <v>523</v>
      </c>
      <c r="C6" s="58" t="n">
        <f aca="false">Исх_данные!$E$10</f>
        <v>15</v>
      </c>
    </row>
    <row r="7" customFormat="false" ht="15" hidden="false" customHeight="false" outlineLevel="0" collapsed="false">
      <c r="B7" s="6" t="s">
        <v>524</v>
      </c>
      <c r="C7" s="58" t="n">
        <f aca="false">Исх_данные!$E$11</f>
        <v>10</v>
      </c>
    </row>
    <row r="8" customFormat="false" ht="15" hidden="false" customHeight="false" outlineLevel="0" collapsed="false">
      <c r="B8" s="6" t="s">
        <v>525</v>
      </c>
      <c r="C8" s="58" t="n">
        <f aca="false">Исх_данные!$E$12</f>
        <v>15</v>
      </c>
    </row>
    <row r="9" customFormat="false" ht="15" hidden="false" customHeight="false" outlineLevel="0" collapsed="false">
      <c r="B9" s="6" t="s">
        <v>526</v>
      </c>
      <c r="C9" s="58" t="n">
        <f aca="false">Исх_данные!$E$13</f>
        <v>0</v>
      </c>
    </row>
    <row r="10" customFormat="false" ht="15" hidden="false" customHeight="false" outlineLevel="0" collapsed="false">
      <c r="B10" s="6" t="s">
        <v>527</v>
      </c>
      <c r="C10" s="58" t="n">
        <f aca="false">Исх_данные!$E$14</f>
        <v>30</v>
      </c>
    </row>
    <row r="11" customFormat="false" ht="15" hidden="false" customHeight="false" outlineLevel="0" collapsed="false">
      <c r="B11" s="6" t="s">
        <v>528</v>
      </c>
      <c r="C11" s="58" t="n">
        <f aca="false">Исх_данные!$E$15</f>
        <v>90</v>
      </c>
    </row>
    <row r="12" customFormat="false" ht="15" hidden="false" customHeight="false" outlineLevel="0" collapsed="false">
      <c r="B12" s="6" t="s">
        <v>529</v>
      </c>
      <c r="C12" s="58" t="n">
        <f aca="false">Исх_данные!$E$16</f>
        <v>540</v>
      </c>
    </row>
    <row r="14" customFormat="false" ht="15" hidden="false" customHeight="false" outlineLevel="0" collapsed="false">
      <c r="B14" s="4" t="s">
        <v>530</v>
      </c>
      <c r="C14" s="17" t="s">
        <v>531</v>
      </c>
      <c r="D14" s="17" t="s">
        <v>230</v>
      </c>
      <c r="E14" s="17" t="s">
        <v>45</v>
      </c>
      <c r="F14" s="17" t="s">
        <v>46</v>
      </c>
      <c r="G14" s="17" t="s">
        <v>47</v>
      </c>
      <c r="H14" s="17" t="s">
        <v>48</v>
      </c>
      <c r="I14" s="17" t="s">
        <v>49</v>
      </c>
      <c r="J14" s="17" t="s">
        <v>50</v>
      </c>
    </row>
    <row r="15" customFormat="false" ht="15" hidden="false" customHeight="false" outlineLevel="0" collapsed="false">
      <c r="B15" s="5"/>
      <c r="C15" s="17" t="s">
        <v>532</v>
      </c>
      <c r="D15" s="17" t="s">
        <v>52</v>
      </c>
      <c r="E15" s="17" t="s">
        <v>53</v>
      </c>
      <c r="F15" s="17" t="s">
        <v>54</v>
      </c>
      <c r="G15" s="17" t="s">
        <v>55</v>
      </c>
      <c r="H15" s="17" t="s">
        <v>56</v>
      </c>
      <c r="I15" s="17" t="s">
        <v>57</v>
      </c>
      <c r="J15" s="17" t="s">
        <v>58</v>
      </c>
    </row>
    <row r="16" customFormat="false" ht="15" hidden="false" customHeight="false" outlineLevel="0" collapsed="false">
      <c r="B16" s="6" t="s">
        <v>533</v>
      </c>
      <c r="C16" s="12" t="n">
        <v>0</v>
      </c>
      <c r="D16" s="12" t="n">
        <f aca="false">Исх_данные!$F$105</f>
        <v>3511500.37585394</v>
      </c>
      <c r="E16" s="12" t="n">
        <f aca="false">Исх_данные!$G$105</f>
        <v>3910478.75838393</v>
      </c>
      <c r="F16" s="12" t="n">
        <f aca="false">Исх_данные!$H$105</f>
        <v>5191606.9247319</v>
      </c>
      <c r="G16" s="12" t="n">
        <f aca="false">Исх_данные!$I$105</f>
        <v>6264547.58951796</v>
      </c>
      <c r="H16" s="12" t="n">
        <f aca="false">Исх_данные!$J$105</f>
        <v>6442634.09960991</v>
      </c>
      <c r="I16" s="12" t="n">
        <f aca="false">Исх_данные!$K$105</f>
        <v>6584372.04980133</v>
      </c>
      <c r="J16" s="12" t="n">
        <f aca="false">Исх_данные!$L$105</f>
        <v>6729228.23489696</v>
      </c>
    </row>
    <row r="17" customFormat="false" ht="15" hidden="false" customHeight="false" outlineLevel="0" collapsed="false">
      <c r="B17" s="6" t="s">
        <v>534</v>
      </c>
      <c r="C17" s="12" t="n">
        <v>0</v>
      </c>
      <c r="D17" s="12" t="n">
        <f aca="false">Исх_данные!$F$104</f>
        <v>1919043.57801892</v>
      </c>
      <c r="E17" s="12" t="n">
        <f aca="false">Исх_данные!$G$104</f>
        <v>2118484.15668356</v>
      </c>
      <c r="F17" s="12" t="n">
        <f aca="false">Исх_данные!$H$104</f>
        <v>2786912.36596653</v>
      </c>
      <c r="G17" s="12" t="n">
        <f aca="false">Исх_данные!$I$104</f>
        <v>3324859.42739754</v>
      </c>
      <c r="H17" s="12" t="n">
        <f aca="false">Исх_данные!$J$104</f>
        <v>3398006.33480029</v>
      </c>
      <c r="I17" s="12" t="n">
        <f aca="false">Исх_данные!$K$104</f>
        <v>3472762.47416589</v>
      </c>
      <c r="J17" s="12" t="n">
        <f aca="false">Исх_данные!$L$104</f>
        <v>3549163.24859754</v>
      </c>
    </row>
    <row r="18" customFormat="false" ht="15" hidden="false" customHeight="false" outlineLevel="0" collapsed="false">
      <c r="B18" s="6" t="s">
        <v>535</v>
      </c>
      <c r="C18" s="12" t="n">
        <v>0</v>
      </c>
      <c r="D18" s="12" t="n">
        <f aca="false">Исх_данные!$F$106</f>
        <v>7100743.0942289</v>
      </c>
      <c r="E18" s="12" t="n">
        <f aca="false">Исх_данные!$G$106</f>
        <v>684353.866579156</v>
      </c>
      <c r="F18" s="12" t="n">
        <f aca="false">Исх_данные!$H$106</f>
        <v>880322.212922906</v>
      </c>
      <c r="G18" s="12" t="n">
        <f aca="false">Исх_данные!$I$106</f>
        <v>1038353.7410835</v>
      </c>
      <c r="H18" s="12" t="n">
        <f aca="false">Исх_данные!$J$106</f>
        <v>1060918.74685869</v>
      </c>
      <c r="I18" s="12" t="n">
        <f aca="false">Исх_данные!$K$106</f>
        <v>1083907.70312732</v>
      </c>
      <c r="J18" s="12" t="n">
        <f aca="false">Исх_данные!$L$106</f>
        <v>1107402.41643386</v>
      </c>
    </row>
    <row r="19" customFormat="false" ht="15" hidden="false" customHeight="false" outlineLevel="0" collapsed="false">
      <c r="B19" s="10" t="s">
        <v>536</v>
      </c>
      <c r="C19" s="48" t="n">
        <v>0</v>
      </c>
      <c r="D19" s="48" t="n">
        <f aca="false">SUM(D16:D18)</f>
        <v>12531287.0481018</v>
      </c>
      <c r="E19" s="48" t="n">
        <f aca="false">SUM(E16:E18)</f>
        <v>6713316.78164664</v>
      </c>
      <c r="F19" s="48" t="n">
        <f aca="false">SUM(F16:F18)</f>
        <v>8858841.50362134</v>
      </c>
      <c r="G19" s="48" t="n">
        <f aca="false">SUM(G16:G18)</f>
        <v>10627760.757999</v>
      </c>
      <c r="H19" s="48" t="n">
        <f aca="false">SUM(H16:H18)</f>
        <v>10901559.1812689</v>
      </c>
      <c r="I19" s="48" t="n">
        <f aca="false">SUM(I16:I18)</f>
        <v>11141042.2270945</v>
      </c>
      <c r="J19" s="48" t="n">
        <f aca="false">SUM(J16:J18)</f>
        <v>11385793.8999284</v>
      </c>
    </row>
    <row r="20" customFormat="false" ht="15" hidden="false" customHeight="false" outlineLevel="0" collapsed="false">
      <c r="B20" s="6" t="s">
        <v>537</v>
      </c>
      <c r="C20" s="12" t="n">
        <v>0</v>
      </c>
      <c r="D20" s="12" t="n">
        <f aca="false">Исх_данные!$F$107</f>
        <v>0</v>
      </c>
      <c r="E20" s="12" t="n">
        <f aca="false">Исх_данные!$G$107</f>
        <v>0</v>
      </c>
      <c r="F20" s="12" t="n">
        <f aca="false">Исх_данные!$H$107</f>
        <v>0</v>
      </c>
      <c r="G20" s="12" t="n">
        <f aca="false">Исх_данные!$I$107</f>
        <v>0</v>
      </c>
      <c r="H20" s="12" t="n">
        <f aca="false">Исх_данные!$J$107</f>
        <v>0</v>
      </c>
      <c r="I20" s="12" t="n">
        <f aca="false">Исх_данные!$K$107</f>
        <v>0</v>
      </c>
      <c r="J20" s="12" t="n">
        <f aca="false">Исх_данные!$L$107</f>
        <v>0</v>
      </c>
    </row>
    <row r="21" customFormat="false" ht="15" hidden="false" customHeight="false" outlineLevel="0" collapsed="false">
      <c r="B21" s="6" t="s">
        <v>538</v>
      </c>
      <c r="C21" s="12" t="n">
        <v>0</v>
      </c>
      <c r="D21" s="12" t="n">
        <f aca="false">Исх_данные!$F$108</f>
        <v>146799.768692324</v>
      </c>
      <c r="E21" s="12" t="n">
        <f aca="false">Исх_данные!$G$108</f>
        <v>154738.800873925</v>
      </c>
      <c r="F21" s="12" t="n">
        <f aca="false">Исх_данные!$H$108</f>
        <v>158126.329257607</v>
      </c>
      <c r="G21" s="12" t="n">
        <f aca="false">Исх_данные!$I$108</f>
        <v>161603.630751976</v>
      </c>
      <c r="H21" s="12" t="n">
        <f aca="false">Исх_данные!$J$108</f>
        <v>165158.91062852</v>
      </c>
      <c r="I21" s="12" t="n">
        <f aca="false">Исх_данные!$K$108</f>
        <v>168792.406662347</v>
      </c>
      <c r="J21" s="12" t="n">
        <f aca="false">Исх_данные!$L$108</f>
        <v>172505.839608919</v>
      </c>
    </row>
    <row r="22" customFormat="false" ht="15" hidden="false" customHeight="false" outlineLevel="0" collapsed="false">
      <c r="B22" s="10" t="s">
        <v>539</v>
      </c>
      <c r="C22" s="48" t="n">
        <v>0</v>
      </c>
      <c r="D22" s="48" t="n">
        <f aca="false">D20+D21</f>
        <v>146799.768692324</v>
      </c>
      <c r="E22" s="48" t="n">
        <f aca="false">E20+E21</f>
        <v>154738.800873925</v>
      </c>
      <c r="F22" s="48" t="n">
        <f aca="false">F20+F21</f>
        <v>158126.329257607</v>
      </c>
      <c r="G22" s="48" t="n">
        <f aca="false">G20+G21</f>
        <v>161603.630751976</v>
      </c>
      <c r="H22" s="48" t="n">
        <f aca="false">H20+H21</f>
        <v>165158.91062852</v>
      </c>
      <c r="I22" s="48" t="n">
        <f aca="false">I20+I21</f>
        <v>168792.406662347</v>
      </c>
      <c r="J22" s="48" t="n">
        <f aca="false">J20+J21</f>
        <v>172505.839608919</v>
      </c>
    </row>
    <row r="23" customFormat="false" ht="15" hidden="false" customHeight="false" outlineLevel="0" collapsed="false">
      <c r="B23" s="14" t="s">
        <v>540</v>
      </c>
      <c r="C23" s="15" t="n">
        <v>0</v>
      </c>
      <c r="D23" s="15" t="n">
        <f aca="false">D19-D22</f>
        <v>12384487.2794094</v>
      </c>
      <c r="E23" s="15" t="n">
        <f aca="false">E19-E22</f>
        <v>6558577.98077272</v>
      </c>
      <c r="F23" s="15" t="n">
        <f aca="false">F19-F22</f>
        <v>8700715.17436373</v>
      </c>
      <c r="G23" s="15" t="n">
        <f aca="false">G19-G22</f>
        <v>10466157.127247</v>
      </c>
      <c r="H23" s="15" t="n">
        <f aca="false">H19-H22</f>
        <v>10736400.2706404</v>
      </c>
      <c r="I23" s="15" t="n">
        <f aca="false">I19-I22</f>
        <v>10972249.8204322</v>
      </c>
      <c r="J23" s="15" t="n">
        <f aca="false">J19-J22</f>
        <v>11213288.0603194</v>
      </c>
    </row>
    <row r="25" customFormat="false" ht="15" hidden="false" customHeight="false" outlineLevel="0" collapsed="false">
      <c r="B25" s="26" t="s">
        <v>541</v>
      </c>
      <c r="C25" s="22"/>
      <c r="D25" s="22" t="n">
        <f aca="false">-(D23-C23)</f>
        <v>-12384487.2794094</v>
      </c>
      <c r="E25" s="22" t="n">
        <f aca="false">-(E23-D23)</f>
        <v>5825909.29863672</v>
      </c>
      <c r="F25" s="22" t="n">
        <f aca="false">-(F23-E23)</f>
        <v>-2142137.19359102</v>
      </c>
      <c r="G25" s="22" t="n">
        <f aca="false">-(G23-F23)</f>
        <v>-1765441.95288328</v>
      </c>
      <c r="H25" s="22" t="n">
        <f aca="false">-(H23-G23)</f>
        <v>-270243.143393353</v>
      </c>
      <c r="I25" s="22" t="n">
        <f aca="false">-(I23-H23)</f>
        <v>-235849.549791832</v>
      </c>
      <c r="J25" s="22" t="n">
        <f aca="false">-(J23-I23)</f>
        <v>-241038.239887245</v>
      </c>
    </row>
    <row r="26" customFormat="false" ht="15" hidden="false" customHeight="false" outlineLevel="0" collapsed="false">
      <c r="B26" s="6" t="s">
        <v>542</v>
      </c>
      <c r="C26" s="12"/>
      <c r="D26" s="12" t="n">
        <f aca="false">(Исх_данные!$F$98-Исх_данные!$F$66+Исх_данные!$E$98-Исх_данные!$E$66)-D25</f>
        <v>0</v>
      </c>
      <c r="E26" s="12" t="n">
        <f aca="false">(Исх_данные!$G$98-Исх_данные!$G$66)-E25</f>
        <v>0</v>
      </c>
      <c r="F26" s="12" t="n">
        <f aca="false">(Исх_данные!$H$98-Исх_данные!$H$66)-F25</f>
        <v>0</v>
      </c>
      <c r="G26" s="12" t="n">
        <f aca="false">(Исх_данные!$I$98-Исх_данные!$I$66)-G25</f>
        <v>0</v>
      </c>
      <c r="H26" s="12" t="n">
        <f aca="false">(Исх_данные!$J$98-Исх_данные!$J$66)-H25</f>
        <v>-7.45058059692383E-009</v>
      </c>
      <c r="I26" s="12" t="n">
        <f aca="false">(Исх_данные!$K$98-Исх_данные!$K$66)-I25</f>
        <v>3.72529029846191E-009</v>
      </c>
      <c r="J26" s="12" t="n">
        <f aca="false">(Исх_данные!$L$98-Исх_данные!$L$66)-J25</f>
        <v>-1.49011611938477E-008</v>
      </c>
    </row>
    <row r="27" customFormat="false" ht="15" hidden="false" customHeight="false" outlineLevel="0" collapsed="false">
      <c r="B27" s="10" t="s">
        <v>543</v>
      </c>
      <c r="C27" s="48"/>
      <c r="D27" s="48" t="n">
        <f aca="false">D25+D26</f>
        <v>-12384487.2794094</v>
      </c>
      <c r="E27" s="48" t="n">
        <f aca="false">E25+E26</f>
        <v>5825909.29863672</v>
      </c>
      <c r="F27" s="48" t="n">
        <f aca="false">F25+F26</f>
        <v>-2142137.19359102</v>
      </c>
      <c r="G27" s="48" t="n">
        <f aca="false">G25+G26</f>
        <v>-1765441.95288328</v>
      </c>
      <c r="H27" s="48" t="n">
        <f aca="false">H25+H26</f>
        <v>-270243.14339336</v>
      </c>
      <c r="I27" s="48" t="n">
        <f aca="false">I25+I26</f>
        <v>-235849.549791828</v>
      </c>
      <c r="J27" s="48" t="n">
        <f aca="false">J25+J26</f>
        <v>-241038.23988726</v>
      </c>
    </row>
    <row r="29" customFormat="false" ht="15" hidden="false" customHeight="false" outlineLevel="0" collapsed="false">
      <c r="B29" s="3" t="s">
        <v>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9"/>
    <col collapsed="false" customWidth="true" hidden="false" outlineLevel="0" max="11" min="4" style="0" width="15"/>
  </cols>
  <sheetData>
    <row r="2" customFormat="false" ht="15" hidden="false" customHeight="false" outlineLevel="0" collapsed="false">
      <c r="B2" s="2" t="s">
        <v>545</v>
      </c>
      <c r="K2" s="51" t="s">
        <v>546</v>
      </c>
    </row>
    <row r="3" customFormat="false" ht="15" hidden="false" customHeight="false" outlineLevel="0" collapsed="false">
      <c r="B3" s="52" t="s">
        <v>547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9" t="s">
        <v>495</v>
      </c>
      <c r="C6" s="20" t="s">
        <v>32</v>
      </c>
      <c r="D6" s="12" t="n">
        <f aca="false">ProfLoss!D6</f>
        <v>9058233.40746031</v>
      </c>
      <c r="E6" s="12" t="n">
        <f aca="false">ProfLoss!E6</f>
        <v>47577491.5603378</v>
      </c>
      <c r="F6" s="12" t="n">
        <f aca="false">ProfLoss!F6</f>
        <v>63164550.9175715</v>
      </c>
      <c r="G6" s="12" t="n">
        <f aca="false">ProfLoss!G6</f>
        <v>76218662.3391351</v>
      </c>
      <c r="H6" s="12" t="n">
        <f aca="false">ProfLoss!H6</f>
        <v>78385381.545254</v>
      </c>
      <c r="I6" s="12" t="n">
        <f aca="false">ProfLoss!I6</f>
        <v>80109859.9392496</v>
      </c>
      <c r="J6" s="12" t="n">
        <f aca="false">ProfLoss!J6</f>
        <v>81872276.8579131</v>
      </c>
      <c r="K6" s="12" t="n">
        <f aca="false">SUM(D6:J6)</f>
        <v>436386456.566921</v>
      </c>
    </row>
    <row r="7" customFormat="false" ht="15" hidden="false" customHeight="false" outlineLevel="0" collapsed="false">
      <c r="B7" s="19" t="s">
        <v>498</v>
      </c>
      <c r="C7" s="20" t="s">
        <v>32</v>
      </c>
      <c r="D7" s="12" t="n">
        <f aca="false">-ProfLoss!D9</f>
        <v>-0</v>
      </c>
      <c r="E7" s="12" t="n">
        <f aca="false">-ProfLoss!E9</f>
        <v>-0</v>
      </c>
      <c r="F7" s="12" t="n">
        <f aca="false">-ProfLoss!F9</f>
        <v>-0</v>
      </c>
      <c r="G7" s="12" t="n">
        <f aca="false">-ProfLoss!G9</f>
        <v>-0</v>
      </c>
      <c r="H7" s="12" t="n">
        <f aca="false">-ProfLoss!H9</f>
        <v>-0</v>
      </c>
      <c r="I7" s="12" t="n">
        <f aca="false">-ProfLoss!I9</f>
        <v>-0</v>
      </c>
      <c r="J7" s="12" t="n">
        <f aca="false">-ProfLoss!J9</f>
        <v>-0</v>
      </c>
      <c r="K7" s="12" t="n">
        <f aca="false">SUM(D7:J7)</f>
        <v>0</v>
      </c>
    </row>
    <row r="8" customFormat="false" ht="15" hidden="false" customHeight="false" outlineLevel="0" collapsed="false">
      <c r="B8" s="62" t="s">
        <v>499</v>
      </c>
      <c r="C8" s="20" t="s">
        <v>32</v>
      </c>
      <c r="D8" s="22" t="n">
        <f aca="false">D6+D7</f>
        <v>9058233.40746031</v>
      </c>
      <c r="E8" s="22" t="n">
        <f aca="false">E6+E7</f>
        <v>47577491.5603378</v>
      </c>
      <c r="F8" s="22" t="n">
        <f aca="false">F6+F7</f>
        <v>63164550.9175715</v>
      </c>
      <c r="G8" s="22" t="n">
        <f aca="false">G6+G7</f>
        <v>76218662.3391351</v>
      </c>
      <c r="H8" s="22" t="n">
        <f aca="false">H6+H7</f>
        <v>78385381.545254</v>
      </c>
      <c r="I8" s="22" t="n">
        <f aca="false">I6+I7</f>
        <v>80109859.9392496</v>
      </c>
      <c r="J8" s="22" t="n">
        <f aca="false">J6+J7</f>
        <v>81872276.8579131</v>
      </c>
      <c r="K8" s="22" t="n">
        <f aca="false">SUM(D8:J8)</f>
        <v>436386456.566921</v>
      </c>
    </row>
    <row r="9" customFormat="false" ht="15" hidden="false" customHeight="false" outlineLevel="0" collapsed="false">
      <c r="B9" s="19" t="s">
        <v>548</v>
      </c>
      <c r="C9" s="20" t="s">
        <v>32</v>
      </c>
      <c r="D9" s="12" t="n">
        <f aca="false">WorkCap!D27</f>
        <v>-12384487.2794094</v>
      </c>
      <c r="E9" s="12" t="n">
        <f aca="false">WorkCap!E27</f>
        <v>5825909.29863672</v>
      </c>
      <c r="F9" s="12" t="n">
        <f aca="false">WorkCap!F27</f>
        <v>-2142137.19359102</v>
      </c>
      <c r="G9" s="12" t="n">
        <f aca="false">WorkCap!G27</f>
        <v>-1765441.95288328</v>
      </c>
      <c r="H9" s="12" t="n">
        <f aca="false">WorkCap!H27</f>
        <v>-270243.14339336</v>
      </c>
      <c r="I9" s="12" t="n">
        <f aca="false">WorkCap!I27</f>
        <v>-235849.549791828</v>
      </c>
      <c r="J9" s="12" t="n">
        <f aca="false">WorkCap!J27</f>
        <v>-241038.23988726</v>
      </c>
      <c r="K9" s="12" t="n">
        <f aca="false">SUM(D9:J9)</f>
        <v>-11213288.0603195</v>
      </c>
    </row>
    <row r="10" customFormat="false" ht="15" hidden="false" customHeight="false" outlineLevel="0" collapsed="false">
      <c r="B10" s="69" t="s">
        <v>549</v>
      </c>
      <c r="C10" s="59" t="s">
        <v>32</v>
      </c>
      <c r="D10" s="48" t="n">
        <f aca="false">D8+D9</f>
        <v>-3326253.87194912</v>
      </c>
      <c r="E10" s="48" t="n">
        <f aca="false">E8+E9</f>
        <v>53403400.8589745</v>
      </c>
      <c r="F10" s="48" t="n">
        <f aca="false">F8+F9</f>
        <v>61022413.7239805</v>
      </c>
      <c r="G10" s="48" t="n">
        <f aca="false">G8+G9</f>
        <v>74453220.3862518</v>
      </c>
      <c r="H10" s="48" t="n">
        <f aca="false">H8+H9</f>
        <v>78115138.4018606</v>
      </c>
      <c r="I10" s="48" t="n">
        <f aca="false">I8+I9</f>
        <v>79874010.3894577</v>
      </c>
      <c r="J10" s="48" t="n">
        <f aca="false">J8+J9</f>
        <v>81631238.6180258</v>
      </c>
      <c r="K10" s="48" t="n">
        <f aca="false">SUM(D10:J10)</f>
        <v>425173168.506602</v>
      </c>
    </row>
    <row r="11" customFormat="false" ht="15" hidden="false" customHeight="false" outlineLevel="0" collapsed="false">
      <c r="B11" s="19" t="s">
        <v>444</v>
      </c>
      <c r="C11" s="20" t="s">
        <v>32</v>
      </c>
      <c r="D11" s="12" t="n">
        <f aca="false">-ProfLoss!D11</f>
        <v>-3983085.34769568</v>
      </c>
      <c r="E11" s="12" t="n">
        <f aca="false">-ProfLoss!E11</f>
        <v>-22748393.2278882</v>
      </c>
      <c r="F11" s="12" t="n">
        <f aca="false">-ProfLoss!F11</f>
        <v>-28767725.6070918</v>
      </c>
      <c r="G11" s="12" t="n">
        <f aca="false">-ProfLoss!G11</f>
        <v>-33957554.4079507</v>
      </c>
      <c r="H11" s="12" t="n">
        <f aca="false">-ProfLoss!H11</f>
        <v>-35013223.0766929</v>
      </c>
      <c r="I11" s="12" t="n">
        <f aca="false">-ProfLoss!I11</f>
        <v>-35782806.1656104</v>
      </c>
      <c r="J11" s="12" t="n">
        <f aca="false">-ProfLoss!J11</f>
        <v>-36568132.9667505</v>
      </c>
      <c r="K11" s="12" t="n">
        <f aca="false">SUM(D11:J11)</f>
        <v>-196820920.79968</v>
      </c>
    </row>
    <row r="12" customFormat="false" ht="15" hidden="false" customHeight="false" outlineLevel="0" collapsed="false">
      <c r="B12" s="69" t="s">
        <v>550</v>
      </c>
      <c r="C12" s="59" t="s">
        <v>32</v>
      </c>
      <c r="D12" s="48" t="n">
        <f aca="false">D10+D11</f>
        <v>-7309339.2196448</v>
      </c>
      <c r="E12" s="48" t="n">
        <f aca="false">E10+E11</f>
        <v>30655007.6310863</v>
      </c>
      <c r="F12" s="48" t="n">
        <f aca="false">F10+F11</f>
        <v>32254688.1168887</v>
      </c>
      <c r="G12" s="48" t="n">
        <f aca="false">G10+G11</f>
        <v>40495665.9783011</v>
      </c>
      <c r="H12" s="48" t="n">
        <f aca="false">H10+H11</f>
        <v>43101915.3251677</v>
      </c>
      <c r="I12" s="48" t="n">
        <f aca="false">I10+I11</f>
        <v>44091204.2238473</v>
      </c>
      <c r="J12" s="48" t="n">
        <f aca="false">J10+J11</f>
        <v>45063105.6512753</v>
      </c>
      <c r="K12" s="48" t="n">
        <f aca="false">SUM(D12:J12)</f>
        <v>228352247.706922</v>
      </c>
    </row>
    <row r="13" customFormat="false" ht="15" hidden="false" customHeight="false" outlineLevel="0" collapsed="false">
      <c r="B13" s="19" t="s">
        <v>551</v>
      </c>
      <c r="C13" s="20" t="s">
        <v>32</v>
      </c>
      <c r="D13" s="12" t="n">
        <f aca="false">-ProfLoss!D15</f>
        <v>-3408308.88670231</v>
      </c>
      <c r="E13" s="12" t="n">
        <f aca="false">-ProfLoss!E15</f>
        <v>-4550682.99957218</v>
      </c>
      <c r="F13" s="12" t="n">
        <f aca="false">-ProfLoss!F15</f>
        <v>-4947372.43406683</v>
      </c>
      <c r="G13" s="12" t="n">
        <f aca="false">-ProfLoss!G15</f>
        <v>-5284089.94946732</v>
      </c>
      <c r="H13" s="12" t="n">
        <f aca="false">-ProfLoss!H15</f>
        <v>-5393889.14389417</v>
      </c>
      <c r="I13" s="12" t="n">
        <f aca="false">-ProfLoss!I15</f>
        <v>-5503654.37742512</v>
      </c>
      <c r="J13" s="12" t="n">
        <f aca="false">-ProfLoss!J15</f>
        <v>-5615834.44609375</v>
      </c>
      <c r="K13" s="12" t="n">
        <f aca="false">SUM(D13:J13)</f>
        <v>-34703832.2372217</v>
      </c>
    </row>
    <row r="14" customFormat="false" ht="15" hidden="false" customHeight="false" outlineLevel="0" collapsed="false">
      <c r="B14" s="19" t="s">
        <v>504</v>
      </c>
      <c r="C14" s="20" t="s">
        <v>32</v>
      </c>
      <c r="D14" s="12" t="n">
        <f aca="false">-ProfLoss!D16</f>
        <v>-1602669.36489101</v>
      </c>
      <c r="E14" s="12" t="n">
        <f aca="false">-ProfLoss!E16</f>
        <v>-1009836.41676061</v>
      </c>
      <c r="F14" s="12" t="n">
        <f aca="false">-ProfLoss!F16</f>
        <v>-1132637.4735102</v>
      </c>
      <c r="G14" s="12" t="n">
        <f aca="false">-ProfLoss!G16</f>
        <v>-1229820.51746776</v>
      </c>
      <c r="H14" s="12" t="n">
        <f aca="false">-ProfLoss!H16</f>
        <v>-1235459.47855843</v>
      </c>
      <c r="I14" s="12" t="n">
        <f aca="false">-ProfLoss!I16</f>
        <v>-1241406.31528898</v>
      </c>
      <c r="J14" s="12" t="n">
        <f aca="false">-ProfLoss!J16</f>
        <v>-1247716.79178696</v>
      </c>
      <c r="K14" s="12" t="n">
        <f aca="false">SUM(D14:J14)</f>
        <v>-8699546.35826395</v>
      </c>
    </row>
    <row r="15" customFormat="false" ht="15" hidden="false" customHeight="false" outlineLevel="0" collapsed="false">
      <c r="B15" s="19" t="s">
        <v>552</v>
      </c>
      <c r="C15" s="20" t="s">
        <v>32</v>
      </c>
      <c r="D15" s="12" t="n">
        <f aca="false">-ProjCost!$E$17</f>
        <v>-1194254.06524685</v>
      </c>
      <c r="E15" s="12" t="n">
        <f aca="false">0</f>
        <v>0</v>
      </c>
      <c r="F15" s="12" t="n">
        <f aca="false">0</f>
        <v>0</v>
      </c>
      <c r="G15" s="12" t="n">
        <f aca="false">0</f>
        <v>0</v>
      </c>
      <c r="H15" s="12" t="n">
        <f aca="false">0</f>
        <v>0</v>
      </c>
      <c r="I15" s="12" t="n">
        <f aca="false">0</f>
        <v>0</v>
      </c>
      <c r="J15" s="12" t="n">
        <f aca="false">0</f>
        <v>0</v>
      </c>
      <c r="K15" s="12" t="n">
        <f aca="false">SUM(D15:J15)</f>
        <v>-1194254.06524685</v>
      </c>
    </row>
    <row r="16" customFormat="false" ht="15" hidden="false" customHeight="false" outlineLevel="0" collapsed="false">
      <c r="B16" s="19" t="s">
        <v>553</v>
      </c>
      <c r="C16" s="20" t="s">
        <v>32</v>
      </c>
      <c r="D16" s="12" t="n">
        <f aca="false">-ProfLoss!D21</f>
        <v>-9625.47122569705</v>
      </c>
      <c r="E16" s="12" t="n">
        <f aca="false">-ProfLoss!E21</f>
        <v>-2710960.61014048</v>
      </c>
      <c r="F16" s="12" t="n">
        <f aca="false">-ProfLoss!F21</f>
        <v>-4100997.14494886</v>
      </c>
      <c r="G16" s="12" t="n">
        <f aca="false">-ProfLoss!G21</f>
        <v>-5247832.29073644</v>
      </c>
      <c r="H16" s="12" t="n">
        <f aca="false">-ProfLoss!H21</f>
        <v>-5429451.98460088</v>
      </c>
      <c r="I16" s="12" t="n">
        <f aca="false">-ProfLoss!I21</f>
        <v>-5587437.81092003</v>
      </c>
      <c r="J16" s="12" t="n">
        <f aca="false">-ProfLoss!J21</f>
        <v>-5748675.07884806</v>
      </c>
      <c r="K16" s="12" t="n">
        <f aca="false">SUM(D16:J16)</f>
        <v>-28834980.3914204</v>
      </c>
    </row>
    <row r="17" customFormat="false" ht="15" hidden="false" customHeight="false" outlineLevel="0" collapsed="false">
      <c r="B17" s="19" t="s">
        <v>554</v>
      </c>
      <c r="C17" s="20" t="s">
        <v>32</v>
      </c>
      <c r="D17" s="12" t="n">
        <f aca="false">Depreciate!$G$18</f>
        <v>667279.127619552</v>
      </c>
      <c r="E17" s="12" t="n">
        <f aca="false">Depreciate!$H$18</f>
        <v>2727572.96705559</v>
      </c>
      <c r="F17" s="12" t="n">
        <f aca="false">Depreciate!$I$18</f>
        <v>2781532.77312702</v>
      </c>
      <c r="G17" s="12" t="n">
        <f aca="false">Depreciate!$J$18</f>
        <v>2835492.57919845</v>
      </c>
      <c r="H17" s="12" t="n">
        <f aca="false">Depreciate!$K$18</f>
        <v>2889452.38526987</v>
      </c>
      <c r="I17" s="12" t="n">
        <f aca="false">Depreciate!$L$18</f>
        <v>2943412.1913413</v>
      </c>
      <c r="J17" s="12" t="n">
        <f aca="false">Depreciate!$M$18</f>
        <v>2997371.99741273</v>
      </c>
      <c r="K17" s="12" t="n">
        <f aca="false">SUM(D17:J17)</f>
        <v>17842114.0210245</v>
      </c>
    </row>
    <row r="18" customFormat="false" ht="15" hidden="false" customHeight="false" outlineLevel="0" collapsed="false">
      <c r="B18" s="38" t="s">
        <v>63</v>
      </c>
      <c r="C18" s="63" t="s">
        <v>32</v>
      </c>
      <c r="D18" s="15" t="n">
        <f aca="false">SUM(D12:D17)</f>
        <v>-12856917.8800911</v>
      </c>
      <c r="E18" s="15" t="n">
        <f aca="false">SUM(E12:E17)</f>
        <v>25111100.5716686</v>
      </c>
      <c r="F18" s="15" t="n">
        <f aca="false">SUM(F12:F17)</f>
        <v>24855213.8374898</v>
      </c>
      <c r="G18" s="15" t="n">
        <f aca="false">SUM(G12:G17)</f>
        <v>31569415.7998281</v>
      </c>
      <c r="H18" s="15" t="n">
        <f aca="false">SUM(H12:H17)</f>
        <v>33932567.1033841</v>
      </c>
      <c r="I18" s="15" t="n">
        <f aca="false">SUM(I12:I17)</f>
        <v>34702117.9115545</v>
      </c>
      <c r="J18" s="15" t="n">
        <f aca="false">SUM(J12:J17)</f>
        <v>35448251.3319593</v>
      </c>
      <c r="K18" s="15" t="n">
        <f aca="false">SUM(D18:J18)</f>
        <v>172761748.675793</v>
      </c>
    </row>
    <row r="19" customFormat="false" ht="15" hidden="false" customHeight="false" outlineLevel="0" collapsed="false">
      <c r="B19" s="19" t="s">
        <v>555</v>
      </c>
      <c r="C19" s="20" t="s">
        <v>32</v>
      </c>
      <c r="D19" s="12" t="n">
        <f aca="false">FinPlan!$E$10</f>
        <v>50954664.568307</v>
      </c>
      <c r="E19" s="12" t="n">
        <f aca="false">0</f>
        <v>0</v>
      </c>
      <c r="F19" s="12" t="n">
        <f aca="false">0</f>
        <v>0</v>
      </c>
      <c r="G19" s="12" t="n">
        <f aca="false">0</f>
        <v>0</v>
      </c>
      <c r="H19" s="12" t="n">
        <f aca="false">0</f>
        <v>0</v>
      </c>
      <c r="I19" s="12" t="n">
        <f aca="false">0</f>
        <v>0</v>
      </c>
      <c r="J19" s="12" t="n">
        <f aca="false">0</f>
        <v>0</v>
      </c>
      <c r="K19" s="12" t="n">
        <f aca="false">SUM(D19:J19)</f>
        <v>50954664.568307</v>
      </c>
    </row>
    <row r="20" customFormat="false" ht="15" hidden="false" customHeight="false" outlineLevel="0" collapsed="false">
      <c r="B20" s="19" t="s">
        <v>556</v>
      </c>
      <c r="C20" s="20" t="s">
        <v>32</v>
      </c>
      <c r="D20" s="12" t="n">
        <f aca="false">LOANS!$C$104</f>
        <v>18191813.9660399</v>
      </c>
      <c r="E20" s="12" t="n">
        <f aca="false">LOANS!$D$104</f>
        <v>0</v>
      </c>
      <c r="F20" s="12" t="n">
        <f aca="false">LOANS!$E$104</f>
        <v>0</v>
      </c>
      <c r="G20" s="12" t="n">
        <f aca="false">LOANS!$F$104</f>
        <v>0</v>
      </c>
      <c r="H20" s="12" t="n">
        <f aca="false">LOANS!$G$104</f>
        <v>0</v>
      </c>
      <c r="I20" s="12" t="n">
        <f aca="false">LOANS!$H$104</f>
        <v>0</v>
      </c>
      <c r="J20" s="12" t="n">
        <f aca="false">LOANS!$I$104</f>
        <v>0</v>
      </c>
      <c r="K20" s="12" t="n">
        <f aca="false">SUM(D20:J20)</f>
        <v>18191813.9660399</v>
      </c>
    </row>
    <row r="21" customFormat="false" ht="15" hidden="false" customHeight="false" outlineLevel="0" collapsed="false">
      <c r="B21" s="19" t="s">
        <v>557</v>
      </c>
      <c r="C21" s="20" t="s">
        <v>32</v>
      </c>
      <c r="D21" s="12" t="n">
        <f aca="false">-(Исх_данные!$F$109+Исх_данные!$E$109)</f>
        <v>-54094705.5866071</v>
      </c>
      <c r="E21" s="12" t="n">
        <f aca="false">-(Исх_данные!$G$109)</f>
        <v>-539598.060714286</v>
      </c>
      <c r="F21" s="12" t="n">
        <f aca="false">-(Исх_данные!$H$109)</f>
        <v>-539598.060714286</v>
      </c>
      <c r="G21" s="12" t="n">
        <f aca="false">-(Исх_данные!$I$109)</f>
        <v>-539598.060714286</v>
      </c>
      <c r="H21" s="12" t="n">
        <f aca="false">-(Исх_данные!$J$109)</f>
        <v>-539598.060714286</v>
      </c>
      <c r="I21" s="12" t="n">
        <f aca="false">-(Исх_данные!$K$109)</f>
        <v>-539598.060714286</v>
      </c>
      <c r="J21" s="12" t="n">
        <f aca="false">-(Исх_данные!$L$109)</f>
        <v>-539598.060714286</v>
      </c>
      <c r="K21" s="12" t="n">
        <f aca="false">SUM(D21:J21)</f>
        <v>-57332293.9508929</v>
      </c>
    </row>
    <row r="22" customFormat="false" ht="15" hidden="false" customHeight="false" outlineLevel="0" collapsed="false">
      <c r="B22" s="19" t="s">
        <v>558</v>
      </c>
      <c r="C22" s="20" t="s">
        <v>32</v>
      </c>
      <c r="D22" s="12" t="n">
        <f aca="false">-ProfLoss!D19</f>
        <v>-0</v>
      </c>
      <c r="E22" s="12" t="n">
        <f aca="false">-ProfLoss!E19</f>
        <v>-1195508.18184696</v>
      </c>
      <c r="F22" s="12" t="n">
        <f aca="false">-ProfLoss!F19</f>
        <v>-976834.436576932</v>
      </c>
      <c r="G22" s="12" t="n">
        <f aca="false">-ProfLoss!G19</f>
        <v>-761648.859339746</v>
      </c>
      <c r="H22" s="12" t="n">
        <f aca="false">-ProfLoss!H19</f>
        <v>-546463.282102561</v>
      </c>
      <c r="I22" s="12" t="n">
        <f aca="false">-ProfLoss!I19</f>
        <v>-332407.674791507</v>
      </c>
      <c r="J22" s="12" t="n">
        <f aca="false">-ProfLoss!J19</f>
        <v>-116092.12762819</v>
      </c>
      <c r="K22" s="12" t="n">
        <f aca="false">SUM(D22:J22)</f>
        <v>-3928954.56228589</v>
      </c>
    </row>
    <row r="23" customFormat="false" ht="23.85" hidden="false" customHeight="false" outlineLevel="0" collapsed="false">
      <c r="B23" s="19" t="s">
        <v>559</v>
      </c>
      <c r="C23" s="20" t="s">
        <v>32</v>
      </c>
      <c r="D23" s="12" t="n">
        <f aca="false">-LOANS!$C$106</f>
        <v>-1291113.46342311</v>
      </c>
      <c r="E23" s="12" t="n">
        <f aca="false">0</f>
        <v>0</v>
      </c>
      <c r="F23" s="12" t="n">
        <f aca="false">0</f>
        <v>0</v>
      </c>
      <c r="G23" s="12" t="n">
        <f aca="false">0</f>
        <v>0</v>
      </c>
      <c r="H23" s="12" t="n">
        <f aca="false">0</f>
        <v>0</v>
      </c>
      <c r="I23" s="12" t="n">
        <f aca="false">0</f>
        <v>0</v>
      </c>
      <c r="J23" s="12" t="n">
        <f aca="false">0</f>
        <v>0</v>
      </c>
      <c r="K23" s="12" t="n">
        <f aca="false">SUM(D23:J23)</f>
        <v>-1291113.46342311</v>
      </c>
    </row>
    <row r="24" customFormat="false" ht="15" hidden="false" customHeight="false" outlineLevel="0" collapsed="false">
      <c r="B24" s="69" t="s">
        <v>560</v>
      </c>
      <c r="C24" s="59" t="s">
        <v>32</v>
      </c>
      <c r="D24" s="48" t="n">
        <f aca="false">D18+D19+D20+D21+D22+D23</f>
        <v>903741.604225551</v>
      </c>
      <c r="E24" s="48" t="n">
        <f aca="false">E18+E19+E20+E21+E22+E23</f>
        <v>23375994.3291074</v>
      </c>
      <c r="F24" s="48" t="n">
        <f aca="false">F18+F19+F20+F21+F22+F23</f>
        <v>23338781.3401986</v>
      </c>
      <c r="G24" s="48" t="n">
        <f aca="false">G18+G19+G20+G21+G22+G23</f>
        <v>30268168.879774</v>
      </c>
      <c r="H24" s="48" t="n">
        <f aca="false">H18+H19+H20+H21+H22+H23</f>
        <v>32846505.7605673</v>
      </c>
      <c r="I24" s="48" t="n">
        <f aca="false">I18+I19+I20+I21+I22+I23</f>
        <v>33830112.1760487</v>
      </c>
      <c r="J24" s="48" t="n">
        <f aca="false">J18+J19+J20+J21+J22+J23</f>
        <v>34792561.1436168</v>
      </c>
      <c r="K24" s="48" t="n">
        <f aca="false">SUM(D24:J24)</f>
        <v>179355865.233538</v>
      </c>
    </row>
    <row r="25" customFormat="false" ht="15" hidden="false" customHeight="false" outlineLevel="0" collapsed="false">
      <c r="B25" s="19" t="s">
        <v>561</v>
      </c>
      <c r="C25" s="20" t="s">
        <v>32</v>
      </c>
      <c r="D25" s="12" t="n">
        <f aca="false">-LOANS!$C$105</f>
        <v>-0</v>
      </c>
      <c r="E25" s="12" t="n">
        <f aca="false">-LOANS!$D$105</f>
        <v>-3031968.99433999</v>
      </c>
      <c r="F25" s="12" t="n">
        <f aca="false">-LOANS!$E$105</f>
        <v>-3031968.99433999</v>
      </c>
      <c r="G25" s="12" t="n">
        <f aca="false">-LOANS!$F$105</f>
        <v>-3031968.99433999</v>
      </c>
      <c r="H25" s="12" t="n">
        <f aca="false">-LOANS!$G$105</f>
        <v>-3031968.99433999</v>
      </c>
      <c r="I25" s="12" t="n">
        <f aca="false">-LOANS!$H$105</f>
        <v>-3031968.99433999</v>
      </c>
      <c r="J25" s="12" t="n">
        <f aca="false">-LOANS!$I$105</f>
        <v>-3031968.99433999</v>
      </c>
      <c r="K25" s="12" t="n">
        <f aca="false">SUM(D25:J25)</f>
        <v>-18191813.9660399</v>
      </c>
    </row>
    <row r="26" customFormat="false" ht="15" hidden="false" customHeight="false" outlineLevel="0" collapsed="false">
      <c r="B26" s="38" t="s">
        <v>65</v>
      </c>
      <c r="C26" s="63" t="s">
        <v>32</v>
      </c>
      <c r="D26" s="15" t="n">
        <f aca="false">D24+D25</f>
        <v>903741.604225551</v>
      </c>
      <c r="E26" s="15" t="n">
        <f aca="false">E24+E25</f>
        <v>20344025.3347674</v>
      </c>
      <c r="F26" s="15" t="n">
        <f aca="false">F24+F25</f>
        <v>20306812.3458586</v>
      </c>
      <c r="G26" s="15" t="n">
        <f aca="false">G24+G25</f>
        <v>27236199.885434</v>
      </c>
      <c r="H26" s="15" t="n">
        <f aca="false">H24+H25</f>
        <v>29814536.7662273</v>
      </c>
      <c r="I26" s="15" t="n">
        <f aca="false">I24+I25</f>
        <v>30798143.1817087</v>
      </c>
      <c r="J26" s="15" t="n">
        <f aca="false">J24+J25</f>
        <v>31760592.1492768</v>
      </c>
      <c r="K26" s="15" t="n">
        <f aca="false">SUM(D26:J26)</f>
        <v>161164051.267498</v>
      </c>
    </row>
    <row r="27" customFormat="false" ht="15" hidden="false" customHeight="false" outlineLevel="0" collapsed="false">
      <c r="B27" s="62" t="s">
        <v>66</v>
      </c>
      <c r="C27" s="20" t="s">
        <v>32</v>
      </c>
      <c r="D27" s="22" t="n">
        <f aca="false">D26</f>
        <v>903741.604225551</v>
      </c>
      <c r="E27" s="22" t="n">
        <f aca="false">D27+E26</f>
        <v>21247766.9389929</v>
      </c>
      <c r="F27" s="22" t="n">
        <f aca="false">E27+F26</f>
        <v>41554579.2848516</v>
      </c>
      <c r="G27" s="22" t="n">
        <f aca="false">F27+G26</f>
        <v>68790779.1702856</v>
      </c>
      <c r="H27" s="22" t="n">
        <f aca="false">G27+H26</f>
        <v>98605315.9365128</v>
      </c>
      <c r="I27" s="22" t="n">
        <f aca="false">H27+I26</f>
        <v>129403459.118222</v>
      </c>
      <c r="J27" s="22" t="n">
        <f aca="false">I27+J26</f>
        <v>161164051.267498</v>
      </c>
      <c r="K27" s="22" t="n">
        <f aca="false">J27</f>
        <v>161164051.267498</v>
      </c>
    </row>
    <row r="29" customFormat="false" ht="15" hidden="false" customHeight="false" outlineLevel="0" collapsed="false">
      <c r="B29" s="19" t="s">
        <v>562</v>
      </c>
      <c r="C29" s="20" t="s">
        <v>68</v>
      </c>
      <c r="D29" s="21" t="str">
        <f aca="false">"-"</f>
        <v>-</v>
      </c>
      <c r="E29" s="21" t="n">
        <f aca="false">IFERROR(E18/-(E22+E25),0)</f>
        <v>5.93997306788964</v>
      </c>
      <c r="F29" s="21" t="n">
        <f aca="false">IFERROR(F18/-(F22+F25),0)</f>
        <v>6.20015779416871</v>
      </c>
      <c r="G29" s="21" t="n">
        <f aca="false">IFERROR(G18/-(G22+G25),0)</f>
        <v>8.32171742580933</v>
      </c>
      <c r="H29" s="21" t="n">
        <f aca="false">IFERROR(H18/-(H22+H25),0)</f>
        <v>9.48252320625659</v>
      </c>
      <c r="I29" s="21" t="n">
        <f aca="false">IFERROR(I18/-(I22+I25),0)</f>
        <v>10.314575722139</v>
      </c>
      <c r="J29" s="21" t="n">
        <f aca="false">IFERROR(J18/-(J22+J25),0)</f>
        <v>11.2603440525948</v>
      </c>
    </row>
    <row r="30" customFormat="false" ht="15" hidden="false" customHeight="false" outlineLevel="0" collapsed="false">
      <c r="B30" s="19" t="s">
        <v>563</v>
      </c>
      <c r="C30" s="20" t="s">
        <v>68</v>
      </c>
      <c r="D30" s="21" t="str">
        <f aca="false">"-"</f>
        <v>-</v>
      </c>
      <c r="E30" s="21" t="n">
        <f aca="false">IFERROR((E18+E21)/-(E22+E25),0)</f>
        <v>5.81233238806438</v>
      </c>
      <c r="F30" s="21" t="n">
        <f aca="false">IFERROR((F18+F21)/-(F22+F25),0)</f>
        <v>6.06555452164286</v>
      </c>
      <c r="G30" s="21" t="n">
        <f aca="false">IFERROR((G18+G21)/-(G22+G25),0)</f>
        <v>8.17947904505337</v>
      </c>
      <c r="H30" s="21" t="n">
        <f aca="false">IFERROR((H18+H21)/-(H22+H25),0)</f>
        <v>9.33173145751607</v>
      </c>
      <c r="I30" s="21" t="n">
        <f aca="false">IFERROR((I18+I21)/-(I22+I25),0)</f>
        <v>10.1541899764925</v>
      </c>
      <c r="J30" s="21" t="n">
        <f aca="false">IFERROR((J18+J21)/-(J22+J25),0)</f>
        <v>11.0889375773682</v>
      </c>
    </row>
    <row r="31" customFormat="false" ht="15" hidden="false" customHeight="false" outlineLevel="0" collapsed="false">
      <c r="B31" s="26" t="s">
        <v>564</v>
      </c>
      <c r="K31" s="74" t="n">
        <f aca="false">MIN(E30:J30)</f>
        <v>5.81233238806438</v>
      </c>
    </row>
    <row r="32" customFormat="false" ht="15" hidden="false" customHeight="false" outlineLevel="0" collapsed="false">
      <c r="B32" s="26" t="s">
        <v>565</v>
      </c>
      <c r="K32" s="74" t="n">
        <f aca="false">AVERAGE(E30:J30)</f>
        <v>8.4387041610229</v>
      </c>
    </row>
    <row r="34" customFormat="false" ht="15" hidden="false" customHeight="false" outlineLevel="0" collapsed="false">
      <c r="B34" s="3" t="s">
        <v>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18"/>
    <col collapsed="false" customWidth="true" hidden="false" outlineLevel="0" max="4" min="4" style="0" width="40"/>
  </cols>
  <sheetData>
    <row r="2" customFormat="false" ht="15" hidden="false" customHeight="false" outlineLevel="0" collapsed="false">
      <c r="B2" s="2" t="s">
        <v>567</v>
      </c>
      <c r="D2" s="51" t="s">
        <v>568</v>
      </c>
    </row>
    <row r="4" customFormat="false" ht="15" hidden="false" customHeight="false" outlineLevel="0" collapsed="false">
      <c r="B4" s="26" t="s">
        <v>569</v>
      </c>
      <c r="C4" s="22" t="n">
        <f aca="false">CostTotal!C26</f>
        <v>76218662.3391351</v>
      </c>
    </row>
    <row r="5" customFormat="false" ht="15" hidden="false" customHeight="false" outlineLevel="0" collapsed="false">
      <c r="B5" s="6" t="s">
        <v>213</v>
      </c>
      <c r="C5" s="12" t="n">
        <f aca="false">SalePlan!G16</f>
        <v>0</v>
      </c>
    </row>
    <row r="6" customFormat="false" ht="15" hidden="false" customHeight="false" outlineLevel="0" collapsed="false">
      <c r="B6" s="6" t="s">
        <v>214</v>
      </c>
      <c r="C6" s="12" t="n">
        <f aca="false">SalePlan!G10</f>
        <v>76218662.3391351</v>
      </c>
    </row>
    <row r="7" customFormat="false" ht="15" hidden="false" customHeight="false" outlineLevel="0" collapsed="false">
      <c r="B7" s="6" t="s">
        <v>403</v>
      </c>
      <c r="C7" s="12" t="n">
        <f aca="false">CostTotal!F22</f>
        <v>9798442.05271821</v>
      </c>
    </row>
    <row r="8" customFormat="false" ht="15" hidden="false" customHeight="false" outlineLevel="0" collapsed="false">
      <c r="B8" s="6" t="s">
        <v>404</v>
      </c>
      <c r="C8" s="12" t="n">
        <f aca="false">CostTotal!G22</f>
        <v>31021902.4856396</v>
      </c>
    </row>
    <row r="9" customFormat="false" ht="15" hidden="false" customHeight="false" outlineLevel="0" collapsed="false">
      <c r="B9" s="6" t="s">
        <v>570</v>
      </c>
      <c r="C9" s="12" t="n">
        <f aca="false">C4-C8</f>
        <v>45196759.8534955</v>
      </c>
    </row>
    <row r="10" customFormat="false" ht="15" hidden="false" customHeight="false" outlineLevel="0" collapsed="false">
      <c r="B10" s="26" t="s">
        <v>571</v>
      </c>
      <c r="C10" s="23" t="n">
        <f aca="false">IFERROR(C7/C9,0)</f>
        <v>0.216795232323726</v>
      </c>
    </row>
    <row r="11" customFormat="false" ht="15" hidden="false" customHeight="false" outlineLevel="0" collapsed="false">
      <c r="B11" s="6" t="s">
        <v>572</v>
      </c>
      <c r="C11" s="12" t="n">
        <f aca="false">C10*C4</f>
        <v>16523842.6092164</v>
      </c>
    </row>
    <row r="12" customFormat="false" ht="15" hidden="false" customHeight="false" outlineLevel="0" collapsed="false">
      <c r="B12" s="6" t="s">
        <v>573</v>
      </c>
      <c r="C12" s="61" t="n">
        <f aca="false">C10*ProdPlan!G17</f>
        <v>429.920121364211</v>
      </c>
      <c r="D12" s="70" t="s">
        <v>256</v>
      </c>
    </row>
    <row r="13" customFormat="false" ht="15" hidden="false" customHeight="false" outlineLevel="0" collapsed="false">
      <c r="B13" s="6" t="s">
        <v>574</v>
      </c>
      <c r="C13" s="13" t="n">
        <f aca="false">1-C10</f>
        <v>0.783204767676274</v>
      </c>
    </row>
    <row r="15" customFormat="false" ht="23.85" hidden="false" customHeight="false" outlineLevel="0" collapsed="false">
      <c r="B15" s="19" t="s">
        <v>575</v>
      </c>
      <c r="C15" s="13" t="n">
        <v>-0.317319550900862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11" min="4" style="0" width="16"/>
  </cols>
  <sheetData>
    <row r="2" customFormat="false" ht="15" hidden="false" customHeight="false" outlineLevel="0" collapsed="false">
      <c r="B2" s="2" t="s">
        <v>576</v>
      </c>
    </row>
    <row r="3" customFormat="false" ht="15" hidden="false" customHeight="false" outlineLevel="0" collapsed="false">
      <c r="B3" s="52" t="s">
        <v>577</v>
      </c>
    </row>
    <row r="4" customFormat="false" ht="30" hidden="false" customHeight="true" outlineLevel="0" collapsed="false">
      <c r="B4" s="17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7" t="s">
        <v>51</v>
      </c>
    </row>
    <row r="5" customFormat="false" ht="15" hidden="false" customHeight="false" outlineLevel="0" collapsed="false">
      <c r="B5" s="5"/>
      <c r="C5" s="5"/>
      <c r="D5" s="17" t="s">
        <v>52</v>
      </c>
      <c r="E5" s="17" t="s">
        <v>53</v>
      </c>
      <c r="F5" s="17" t="s">
        <v>54</v>
      </c>
      <c r="G5" s="17" t="s">
        <v>55</v>
      </c>
      <c r="H5" s="17" t="s">
        <v>56</v>
      </c>
      <c r="I5" s="17" t="s">
        <v>57</v>
      </c>
      <c r="J5" s="17" t="s">
        <v>58</v>
      </c>
      <c r="K5" s="17" t="s">
        <v>59</v>
      </c>
    </row>
    <row r="6" customFormat="false" ht="15" hidden="false" customHeight="false" outlineLevel="0" collapsed="false">
      <c r="B6" s="19" t="s">
        <v>578</v>
      </c>
      <c r="C6" s="20"/>
      <c r="D6" s="58" t="n">
        <v>1</v>
      </c>
      <c r="E6" s="58" t="n">
        <v>2</v>
      </c>
      <c r="F6" s="58" t="n">
        <v>3</v>
      </c>
      <c r="G6" s="58" t="n">
        <v>4</v>
      </c>
      <c r="H6" s="58" t="n">
        <v>5</v>
      </c>
      <c r="I6" s="58" t="n">
        <v>6</v>
      </c>
      <c r="J6" s="58" t="n">
        <v>7</v>
      </c>
    </row>
    <row r="7" customFormat="false" ht="15" hidden="false" customHeight="false" outlineLevel="0" collapsed="false">
      <c r="B7" s="19" t="s">
        <v>63</v>
      </c>
      <c r="C7" s="20" t="s">
        <v>32</v>
      </c>
      <c r="D7" s="12" t="n">
        <f aca="false">CashFlow!D18</f>
        <v>-12856917.8800911</v>
      </c>
      <c r="E7" s="12" t="n">
        <f aca="false">CashFlow!E18</f>
        <v>25111100.5716686</v>
      </c>
      <c r="F7" s="12" t="n">
        <f aca="false">CashFlow!F18</f>
        <v>24855213.8374898</v>
      </c>
      <c r="G7" s="12" t="n">
        <f aca="false">CashFlow!G18</f>
        <v>31569415.7998281</v>
      </c>
      <c r="H7" s="12" t="n">
        <f aca="false">CashFlow!H18</f>
        <v>33932567.1033841</v>
      </c>
      <c r="I7" s="12" t="n">
        <f aca="false">CashFlow!I18</f>
        <v>34702117.9115545</v>
      </c>
      <c r="J7" s="12" t="n">
        <f aca="false">CashFlow!J18</f>
        <v>35448251.3319593</v>
      </c>
      <c r="K7" s="12" t="n">
        <f aca="false">SUM(D7:J7)</f>
        <v>172761748.675793</v>
      </c>
    </row>
    <row r="8" customFormat="false" ht="15" hidden="false" customHeight="false" outlineLevel="0" collapsed="false">
      <c r="B8" s="19" t="s">
        <v>579</v>
      </c>
      <c r="C8" s="20" t="s">
        <v>32</v>
      </c>
      <c r="D8" s="12" t="n">
        <f aca="false">CashFlow!D21</f>
        <v>-54094705.5866071</v>
      </c>
      <c r="E8" s="12" t="n">
        <f aca="false">CashFlow!E21</f>
        <v>-539598.060714286</v>
      </c>
      <c r="F8" s="12" t="n">
        <f aca="false">CashFlow!F21</f>
        <v>-539598.060714286</v>
      </c>
      <c r="G8" s="12" t="n">
        <f aca="false">CashFlow!G21</f>
        <v>-539598.060714286</v>
      </c>
      <c r="H8" s="12" t="n">
        <f aca="false">CashFlow!H21</f>
        <v>-539598.060714286</v>
      </c>
      <c r="I8" s="12" t="n">
        <f aca="false">CashFlow!I21</f>
        <v>-539598.060714286</v>
      </c>
      <c r="J8" s="12" t="n">
        <f aca="false">CashFlow!J21</f>
        <v>-539598.060714286</v>
      </c>
      <c r="K8" s="12" t="n">
        <f aca="false">SUM(D8:J8)</f>
        <v>-57332293.9508929</v>
      </c>
    </row>
    <row r="9" customFormat="false" ht="15" hidden="false" customHeight="false" outlineLevel="0" collapsed="false">
      <c r="B9" s="69" t="s">
        <v>580</v>
      </c>
      <c r="C9" s="59" t="s">
        <v>32</v>
      </c>
      <c r="D9" s="48" t="n">
        <f aca="false">D7+D8</f>
        <v>-66951623.4666983</v>
      </c>
      <c r="E9" s="48" t="n">
        <f aca="false">E7+E8</f>
        <v>24571502.5109543</v>
      </c>
      <c r="F9" s="48" t="n">
        <f aca="false">F7+F8</f>
        <v>24315615.7767755</v>
      </c>
      <c r="G9" s="48" t="n">
        <f aca="false">G7+G8</f>
        <v>31029817.7391138</v>
      </c>
      <c r="H9" s="48" t="n">
        <f aca="false">H7+H8</f>
        <v>33392969.0426698</v>
      </c>
      <c r="I9" s="48" t="n">
        <f aca="false">I7+I8</f>
        <v>34162519.8508402</v>
      </c>
      <c r="J9" s="48" t="n">
        <f aca="false">J7+J8</f>
        <v>34908653.271245</v>
      </c>
      <c r="K9" s="48" t="n">
        <f aca="false">SUM(D9:J9)</f>
        <v>115429454.7249</v>
      </c>
    </row>
    <row r="10" customFormat="false" ht="15" hidden="false" customHeight="false" outlineLevel="0" collapsed="false">
      <c r="B10" s="19" t="s">
        <v>581</v>
      </c>
      <c r="C10" s="20" t="s">
        <v>262</v>
      </c>
      <c r="D10" s="13" t="n">
        <f aca="false">Исх_данные!$E$6</f>
        <v>0.111708147552152</v>
      </c>
      <c r="E10" s="13" t="n">
        <f aca="false">Исх_данные!$E$6</f>
        <v>0.111708147552152</v>
      </c>
      <c r="F10" s="13" t="n">
        <f aca="false">Исх_данные!$E$6</f>
        <v>0.111708147552152</v>
      </c>
      <c r="G10" s="13" t="n">
        <f aca="false">Исх_данные!$E$6</f>
        <v>0.111708147552152</v>
      </c>
      <c r="H10" s="13" t="n">
        <f aca="false">Исх_данные!$E$6</f>
        <v>0.111708147552152</v>
      </c>
      <c r="I10" s="13" t="n">
        <f aca="false">Исх_данные!$E$6</f>
        <v>0.111708147552152</v>
      </c>
      <c r="J10" s="13" t="n">
        <f aca="false">Исх_данные!$E$6</f>
        <v>0.111708147552152</v>
      </c>
    </row>
    <row r="11" customFormat="false" ht="15" hidden="false" customHeight="false" outlineLevel="0" collapsed="false">
      <c r="B11" s="19" t="s">
        <v>582</v>
      </c>
      <c r="C11" s="20"/>
      <c r="D11" s="75" t="n">
        <f aca="false">1/(1+D10)^D6</f>
        <v>0.899516660197085</v>
      </c>
      <c r="E11" s="75" t="n">
        <f aca="false">1/(1+E10)^E6</f>
        <v>0.809130221972119</v>
      </c>
      <c r="F11" s="75" t="n">
        <f aca="false">1/(1+F10)^F6</f>
        <v>0.727826114932887</v>
      </c>
      <c r="G11" s="75" t="n">
        <f aca="false">1/(1+G10)^G6</f>
        <v>0.65469171610865</v>
      </c>
      <c r="H11" s="75" t="n">
        <f aca="false">1/(1+H10)^H6</f>
        <v>0.588906105932752</v>
      </c>
      <c r="I11" s="75" t="n">
        <f aca="false">1/(1+I10)^I6</f>
        <v>0.5297308535783</v>
      </c>
      <c r="J11" s="75" t="n">
        <f aca="false">1/(1+J10)^J6</f>
        <v>0.476501728214103</v>
      </c>
    </row>
    <row r="12" customFormat="false" ht="15" hidden="false" customHeight="false" outlineLevel="0" collapsed="false">
      <c r="B12" s="19" t="s">
        <v>583</v>
      </c>
      <c r="C12" s="20" t="s">
        <v>32</v>
      </c>
      <c r="D12" s="12" t="n">
        <f aca="false">D9*D11</f>
        <v>-60224100.7355372</v>
      </c>
      <c r="E12" s="12" t="n">
        <f aca="false">E9*E11</f>
        <v>19881545.280877</v>
      </c>
      <c r="F12" s="12" t="n">
        <f aca="false">F9*F11</f>
        <v>17697540.1630113</v>
      </c>
      <c r="G12" s="12" t="n">
        <f aca="false">G9*G11</f>
        <v>20314964.626159</v>
      </c>
      <c r="H12" s="12" t="n">
        <f aca="false">H9*H11</f>
        <v>19665323.3644516</v>
      </c>
      <c r="I12" s="12" t="n">
        <f aca="false">I9*I11</f>
        <v>18096940.8009712</v>
      </c>
      <c r="J12" s="12" t="n">
        <f aca="false">J9*J11</f>
        <v>16634033.6133752</v>
      </c>
      <c r="K12" s="12" t="n">
        <f aca="false">SUM(D12:J12)</f>
        <v>52066247.1133081</v>
      </c>
    </row>
    <row r="13" customFormat="false" ht="15" hidden="false" customHeight="false" outlineLevel="0" collapsed="false">
      <c r="B13" s="19" t="s">
        <v>584</v>
      </c>
      <c r="C13" s="20" t="s">
        <v>32</v>
      </c>
      <c r="D13" s="12" t="n">
        <f aca="false">D9</f>
        <v>-66951623.4666983</v>
      </c>
      <c r="E13" s="12" t="n">
        <f aca="false">D13+E9</f>
        <v>-42380120.9557439</v>
      </c>
      <c r="F13" s="12" t="n">
        <f aca="false">E13+F9</f>
        <v>-18064505.1789684</v>
      </c>
      <c r="G13" s="12" t="n">
        <f aca="false">F13+G9</f>
        <v>12965312.5601454</v>
      </c>
      <c r="H13" s="12" t="n">
        <f aca="false">G13+H9</f>
        <v>46358281.6028152</v>
      </c>
      <c r="I13" s="12" t="n">
        <f aca="false">H13+I9</f>
        <v>80520801.4536554</v>
      </c>
      <c r="J13" s="12" t="n">
        <f aca="false">I13+J9</f>
        <v>115429454.7249</v>
      </c>
      <c r="K13" s="12" t="n">
        <f aca="false">J13</f>
        <v>115429454.7249</v>
      </c>
    </row>
    <row r="14" customFormat="false" ht="23.85" hidden="false" customHeight="false" outlineLevel="0" collapsed="false">
      <c r="B14" s="19" t="s">
        <v>585</v>
      </c>
      <c r="C14" s="20" t="s">
        <v>32</v>
      </c>
      <c r="D14" s="12" t="n">
        <f aca="false">D12</f>
        <v>-60224100.7355372</v>
      </c>
      <c r="E14" s="12" t="n">
        <f aca="false">D14+E12</f>
        <v>-40342555.4546603</v>
      </c>
      <c r="F14" s="12" t="n">
        <f aca="false">E14+F12</f>
        <v>-22645015.2916489</v>
      </c>
      <c r="G14" s="12" t="n">
        <f aca="false">F14+G12</f>
        <v>-2330050.66548989</v>
      </c>
      <c r="H14" s="12" t="n">
        <f aca="false">G14+H12</f>
        <v>17335272.6989617</v>
      </c>
      <c r="I14" s="12" t="n">
        <f aca="false">H14+I12</f>
        <v>35432213.4999329</v>
      </c>
      <c r="J14" s="12" t="n">
        <f aca="false">I14+J12</f>
        <v>52066247.1133081</v>
      </c>
      <c r="K14" s="12" t="n">
        <f aca="false">J14</f>
        <v>52066247.1133081</v>
      </c>
    </row>
    <row r="15" customFormat="false" ht="15" hidden="false" customHeight="false" outlineLevel="0" collapsed="false">
      <c r="B15" s="19" t="s">
        <v>586</v>
      </c>
      <c r="C15" s="20"/>
      <c r="D15" s="76" t="str">
        <f aca="false">""</f>
        <v/>
      </c>
      <c r="E15" s="76" t="str">
        <f aca="false">IF(AND(D13&lt;0,E13&gt;=0),D6-D13/E9,"")</f>
        <v/>
      </c>
      <c r="F15" s="76" t="str">
        <f aca="false">IF(AND(E13&lt;0,F13&gt;=0),E6-E13/F9,"")</f>
        <v/>
      </c>
      <c r="G15" s="76" t="n">
        <f aca="false">IF(AND(F13&lt;0,G13&gt;=0),F6-F13/G9,"")</f>
        <v>3.58216600983117</v>
      </c>
      <c r="H15" s="76" t="str">
        <f aca="false">IF(AND(G13&lt;0,H13&gt;=0),G6-G13/H9,"")</f>
        <v/>
      </c>
      <c r="I15" s="76" t="str">
        <f aca="false">IF(AND(H13&lt;0,I13&gt;=0),H6-H13/I9,"")</f>
        <v/>
      </c>
      <c r="J15" s="76" t="str">
        <f aca="false">IF(AND(I13&lt;0,J13&gt;=0),I6-I13/J9,"")</f>
        <v/>
      </c>
    </row>
    <row r="16" customFormat="false" ht="15" hidden="false" customHeight="false" outlineLevel="0" collapsed="false">
      <c r="B16" s="19" t="s">
        <v>587</v>
      </c>
      <c r="C16" s="20"/>
      <c r="D16" s="76" t="str">
        <f aca="false">""</f>
        <v/>
      </c>
      <c r="E16" s="76" t="str">
        <f aca="false">IF(AND(D14&lt;0,E14&gt;=0),D6-D14/E12,"")</f>
        <v/>
      </c>
      <c r="F16" s="76" t="str">
        <f aca="false">IF(AND(E14&lt;0,F14&gt;=0),E6-E14/F12,"")</f>
        <v/>
      </c>
      <c r="G16" s="76" t="str">
        <f aca="false">IF(AND(F14&lt;0,G14&gt;=0),F6-F14/G12,"")</f>
        <v/>
      </c>
      <c r="H16" s="76" t="n">
        <f aca="false">IF(AND(G14&lt;0,H14&gt;=0),G6-G14/H12,"")</f>
        <v>4.11848524543979</v>
      </c>
      <c r="I16" s="76" t="str">
        <f aca="false">IF(AND(H14&lt;0,I14&gt;=0),H6-H14/I12,"")</f>
        <v/>
      </c>
      <c r="J16" s="76" t="str">
        <f aca="false">IF(AND(I14&lt;0,J14&gt;=0),I6-I14/J12,"")</f>
        <v/>
      </c>
    </row>
    <row r="18" customFormat="false" ht="15" hidden="false" customHeight="false" outlineLevel="0" collapsed="false">
      <c r="B18" s="14" t="s">
        <v>588</v>
      </c>
      <c r="D18" s="15" t="n">
        <f aca="false">SUM(D12:J12)</f>
        <v>52066247.1133081</v>
      </c>
    </row>
    <row r="19" customFormat="false" ht="15" hidden="false" customHeight="false" outlineLevel="0" collapsed="false">
      <c r="B19" s="14" t="s">
        <v>589</v>
      </c>
      <c r="D19" s="16" t="n">
        <f aca="false">IRR(D9:J9)</f>
        <v>0.354467121773312</v>
      </c>
    </row>
    <row r="20" customFormat="false" ht="15" hidden="false" customHeight="false" outlineLevel="0" collapsed="false">
      <c r="B20" s="14" t="s">
        <v>73</v>
      </c>
      <c r="D20" s="77" t="n">
        <f aca="false">IFERROR(SUM(E12:J12)/-D12,0)</f>
        <v>1.8645417113316</v>
      </c>
    </row>
    <row r="21" customFormat="false" ht="15" hidden="false" customHeight="false" outlineLevel="0" collapsed="false">
      <c r="B21" s="14" t="s">
        <v>590</v>
      </c>
      <c r="D21" s="78" t="n">
        <f aca="false">IF(COUNT(E15:J15)&gt;0,SUM(E15:J15),"&gt; 7")</f>
        <v>3.58216600983117</v>
      </c>
    </row>
    <row r="22" customFormat="false" ht="15" hidden="false" customHeight="false" outlineLevel="0" collapsed="false">
      <c r="B22" s="14" t="s">
        <v>75</v>
      </c>
      <c r="D22" s="78" t="n">
        <f aca="false">IF(COUNT(E16:J16)&gt;0,SUM(E16:J16),"&gt; 7")</f>
        <v>4.11848524543979</v>
      </c>
    </row>
    <row r="24" customFormat="false" ht="15" hidden="false" customHeight="false" outlineLevel="0" collapsed="false">
      <c r="B24" s="33" t="s">
        <v>591</v>
      </c>
    </row>
    <row r="25" customFormat="false" ht="15" hidden="false" customHeight="false" outlineLevel="0" collapsed="false">
      <c r="B25" s="6" t="s">
        <v>592</v>
      </c>
      <c r="D25" s="12" t="n">
        <f aca="false">Исх_данные!$E$18</f>
        <v>102185997.913603</v>
      </c>
    </row>
    <row r="26" customFormat="false" ht="15" hidden="false" customHeight="false" outlineLevel="0" collapsed="false">
      <c r="B26" s="6" t="s">
        <v>593</v>
      </c>
      <c r="D26" s="13" t="n">
        <f aca="false">Исх_данные!$E$19</f>
        <v>0.371853111642586</v>
      </c>
    </row>
    <row r="27" customFormat="false" ht="15" hidden="false" customHeight="false" outlineLevel="0" collapsed="false">
      <c r="B27" s="6" t="s">
        <v>594</v>
      </c>
      <c r="D27" s="79" t="n">
        <f aca="false">Исх_данные!$E$20</f>
        <v>4.54463471619761</v>
      </c>
    </row>
    <row r="28" customFormat="false" ht="15" hidden="false" customHeight="false" outlineLevel="0" collapsed="false">
      <c r="B28" s="6" t="s">
        <v>75</v>
      </c>
      <c r="D28" s="79" t="n">
        <f aca="false">Исх_данные!$E$21</f>
        <v>5.19208755878714</v>
      </c>
    </row>
    <row r="29" customFormat="false" ht="15" hidden="false" customHeight="false" outlineLevel="0" collapsed="false">
      <c r="B29" s="6" t="s">
        <v>595</v>
      </c>
      <c r="D29" s="76" t="n">
        <f aca="false">Исх_данные!$E$22</f>
        <v>2.95840914076681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0"/>
    <col collapsed="false" customWidth="true" hidden="false" outlineLevel="0" max="4" min="3" style="0" width="16"/>
    <col collapsed="false" customWidth="true" hidden="false" outlineLevel="0" max="5" min="5" style="0" width="12"/>
  </cols>
  <sheetData>
    <row r="2" customFormat="false" ht="15" hidden="false" customHeight="false" outlineLevel="0" collapsed="false">
      <c r="B2" s="2" t="s">
        <v>596</v>
      </c>
    </row>
    <row r="4" customFormat="false" ht="15" hidden="false" customHeight="false" outlineLevel="0" collapsed="false">
      <c r="B4" s="17" t="s">
        <v>597</v>
      </c>
      <c r="C4" s="17" t="s">
        <v>598</v>
      </c>
      <c r="D4" s="17" t="s">
        <v>599</v>
      </c>
      <c r="E4" s="17" t="s">
        <v>600</v>
      </c>
    </row>
    <row r="5" customFormat="false" ht="15" hidden="false" customHeight="false" outlineLevel="0" collapsed="false">
      <c r="B5" s="19" t="s">
        <v>601</v>
      </c>
      <c r="C5" s="29" t="n">
        <f aca="false">SUMPRODUCT(ABS(ProfLoss!D10:J10-Исх_данные!F53:L53))</f>
        <v>0</v>
      </c>
      <c r="D5" s="29" t="n">
        <v>1</v>
      </c>
      <c r="E5" s="27" t="str">
        <f aca="false">IF(ABS(C5)&lt;=D5,"OK","ОШИБКА")</f>
        <v>OK</v>
      </c>
    </row>
    <row r="6" customFormat="false" ht="15" hidden="false" customHeight="false" outlineLevel="0" collapsed="false">
      <c r="B6" s="19" t="s">
        <v>602</v>
      </c>
      <c r="C6" s="29" t="n">
        <f aca="false">SUMPRODUCT(ABS(ProfLoss!D27:J27-Исх_данные!F66:L66))</f>
        <v>0</v>
      </c>
      <c r="D6" s="29" t="n">
        <v>1</v>
      </c>
      <c r="E6" s="27" t="str">
        <f aca="false">IF(ABS(C6)&lt;=D6,"OK","ОШИБКА")</f>
        <v>OK</v>
      </c>
    </row>
    <row r="7" customFormat="false" ht="23.85" hidden="false" customHeight="false" outlineLevel="0" collapsed="false">
      <c r="B7" s="19" t="s">
        <v>603</v>
      </c>
      <c r="C7" s="29" t="n">
        <f aca="false">SUMPRODUCT(ABS(CostSold!D20:J20-Depreciate!G17:M17-Исх_данные!F81:L81))</f>
        <v>0</v>
      </c>
      <c r="D7" s="29" t="n">
        <v>1</v>
      </c>
      <c r="E7" s="27" t="str">
        <f aca="false">IF(ABS(C7)&lt;=D7,"OK","ОШИБКА")</f>
        <v>OK</v>
      </c>
    </row>
    <row r="8" customFormat="false" ht="15" hidden="false" customHeight="false" outlineLevel="0" collapsed="false">
      <c r="B8" s="19" t="s">
        <v>604</v>
      </c>
      <c r="C8" s="29" t="n">
        <f aca="false">SUMPRODUCT(ABS(ProdPlan!D17:J17-Исх_данные!F30:L30))</f>
        <v>0</v>
      </c>
      <c r="D8" s="29" t="n">
        <v>0.5</v>
      </c>
      <c r="E8" s="27" t="str">
        <f aca="false">IF(ABS(C8)&lt;=D8,"OK","ОШИБКА")</f>
        <v>OK</v>
      </c>
    </row>
    <row r="9" customFormat="false" ht="15" hidden="false" customHeight="false" outlineLevel="0" collapsed="false">
      <c r="B9" s="19" t="s">
        <v>605</v>
      </c>
      <c r="C9" s="29" t="n">
        <f aca="false">ABS(ProdPlan!J28-Исх_данные!$L$33)</f>
        <v>3.97903932025656E-013</v>
      </c>
      <c r="D9" s="29" t="n">
        <v>0.5</v>
      </c>
      <c r="E9" s="27" t="str">
        <f aca="false">IF(ABS(C9)&lt;=D9,"OK","ОШИБКА")</f>
        <v>OK</v>
      </c>
    </row>
    <row r="10" customFormat="false" ht="15" hidden="false" customHeight="false" outlineLevel="0" collapsed="false">
      <c r="B10" s="19" t="s">
        <v>606</v>
      </c>
      <c r="C10" s="29" t="n">
        <f aca="false">ProjCost!E20-FinPlan!E15</f>
        <v>0</v>
      </c>
      <c r="D10" s="29" t="n">
        <v>1</v>
      </c>
      <c r="E10" s="27" t="str">
        <f aca="false">IF(ABS(C10)&lt;=D10,"OK","ОШИБКА")</f>
        <v>OK</v>
      </c>
    </row>
    <row r="11" customFormat="false" ht="15" hidden="false" customHeight="false" outlineLevel="0" collapsed="false">
      <c r="B11" s="19" t="s">
        <v>607</v>
      </c>
      <c r="C11" s="29" t="n">
        <f aca="false">FinPlan!E14-ИНФОРМАЦИЯ!$C$26</f>
        <v>0</v>
      </c>
      <c r="D11" s="29" t="n">
        <v>1</v>
      </c>
      <c r="E11" s="27" t="str">
        <f aca="false">IF(ABS(C11)&lt;=D11,"OK","ОШИБКА")</f>
        <v>OK</v>
      </c>
    </row>
    <row r="12" customFormat="false" ht="15" hidden="false" customHeight="false" outlineLevel="0" collapsed="false">
      <c r="B12" s="19" t="s">
        <v>608</v>
      </c>
      <c r="C12" s="29" t="n">
        <f aca="false">LOANS!$I$108</f>
        <v>0</v>
      </c>
      <c r="D12" s="29" t="n">
        <v>1</v>
      </c>
      <c r="E12" s="27" t="str">
        <f aca="false">IF(ABS(C12)&lt;=D12,"OK","ОШИБКА")</f>
        <v>OK</v>
      </c>
    </row>
    <row r="13" customFormat="false" ht="15" hidden="false" customHeight="false" outlineLevel="0" collapsed="false">
      <c r="B13" s="19" t="s">
        <v>609</v>
      </c>
      <c r="C13" s="29" t="n">
        <f aca="false">ИНФОРМАЦИЯ!O43-78000000</f>
        <v>0</v>
      </c>
      <c r="D13" s="29" t="n">
        <v>1</v>
      </c>
      <c r="E13" s="27" t="str">
        <f aca="false">IF(ABS(C13)&lt;=D13,"OK","ОШИБКА")</f>
        <v>OK</v>
      </c>
    </row>
    <row r="14" customFormat="false" ht="15" hidden="false" customHeight="false" outlineLevel="0" collapsed="false">
      <c r="B14" s="19" t="s">
        <v>610</v>
      </c>
      <c r="C14" s="29" t="n">
        <f aca="false">MIN(CashFlow!D26:J26)</f>
        <v>903741.604225551</v>
      </c>
      <c r="D14" s="29" t="n">
        <v>0</v>
      </c>
      <c r="E14" s="27" t="str">
        <f aca="false">IF(C14&gt;D14,"OK","ОШИБКА")</f>
        <v>OK</v>
      </c>
    </row>
    <row r="15" customFormat="false" ht="15" hidden="false" customHeight="false" outlineLevel="0" collapsed="false">
      <c r="B15" s="19" t="s">
        <v>611</v>
      </c>
      <c r="C15" s="29" t="n">
        <f aca="false">MIN(CashFlow!D27:J27)</f>
        <v>903741.604225551</v>
      </c>
      <c r="D15" s="29" t="n">
        <v>0</v>
      </c>
      <c r="E15" s="27" t="str">
        <f aca="false">IF(C15&gt;D15,"OK","ОШИБКА")</f>
        <v>OK</v>
      </c>
    </row>
    <row r="16" customFormat="false" ht="15" hidden="false" customHeight="false" outlineLevel="0" collapsed="false">
      <c r="B16" s="19" t="s">
        <v>612</v>
      </c>
      <c r="C16" s="29" t="n">
        <f aca="false">MIN(ProfLoss!D22:J22)</f>
        <v>54544.3369456178</v>
      </c>
      <c r="D16" s="29" t="n">
        <v>0</v>
      </c>
      <c r="E16" s="27" t="str">
        <f aca="false">IF(C16&gt;D16,"OK","ОШИБКА")</f>
        <v>OK</v>
      </c>
    </row>
    <row r="17" customFormat="false" ht="15" hidden="false" customHeight="false" outlineLevel="0" collapsed="false">
      <c r="B17" s="19" t="s">
        <v>613</v>
      </c>
      <c r="C17" s="21" t="n">
        <f aca="false">CashFlow!K31</f>
        <v>5.81233238806438</v>
      </c>
      <c r="D17" s="21" t="n">
        <v>1.2</v>
      </c>
      <c r="E17" s="27" t="str">
        <f aca="false">IF(C17&gt;=D17,"OK","ОШИБКА")</f>
        <v>OK</v>
      </c>
    </row>
    <row r="18" customFormat="false" ht="15" hidden="false" customHeight="false" outlineLevel="0" collapsed="false">
      <c r="B18" s="19" t="s">
        <v>614</v>
      </c>
      <c r="C18" s="29" t="n">
        <f aca="false">SUMPRODUCT(ABS(Depreciate!G18:M18-Depreciate!G17:M17-Исх_данные!F65:L65+Исх_данные!F67:L67))</f>
        <v>9.31322574615479E-010</v>
      </c>
      <c r="D18" s="29" t="n">
        <v>1</v>
      </c>
      <c r="E18" s="27" t="str">
        <f aca="false">IF(ABS(C18)&lt;=D18,"OK","ОШИБКА")</f>
        <v>OK</v>
      </c>
    </row>
    <row r="19" customFormat="false" ht="23.85" hidden="false" customHeight="false" outlineLevel="0" collapsed="false">
      <c r="B19" s="19" t="s">
        <v>615</v>
      </c>
      <c r="C19" s="29" t="n">
        <f aca="false">CostTotal!C22-CostSold!G20-CostSold!G31-CostSold!G39</f>
        <v>0</v>
      </c>
      <c r="D19" s="29" t="n">
        <v>1</v>
      </c>
      <c r="E19" s="27" t="str">
        <f aca="false">IF(ABS(C19)&lt;=D19,"OK","ОШИБКА")</f>
        <v>OK</v>
      </c>
    </row>
    <row r="20" customFormat="false" ht="23.85" hidden="false" customHeight="false" outlineLevel="0" collapsed="false">
      <c r="B20" s="19" t="s">
        <v>616</v>
      </c>
      <c r="C20" s="29" t="n">
        <f aca="false">RawMat!F20+RawMat!F27+Labour!F11+Labour!F29-(CostSold!G20-CostSold!G16)</f>
        <v>0</v>
      </c>
      <c r="D20" s="29" t="n">
        <v>1</v>
      </c>
      <c r="E20" s="27" t="str">
        <f aca="false">IF(ABS(C20)&lt;=D20,"OK","ОШИБКА")</f>
        <v>OK</v>
      </c>
    </row>
    <row r="21" customFormat="false" ht="15" hidden="false" customHeight="false" outlineLevel="0" collapsed="false">
      <c r="B21" s="19" t="s">
        <v>617</v>
      </c>
      <c r="C21" s="29" t="n">
        <f aca="false">Labour!F51-Исх_данные!$I$85</f>
        <v>0</v>
      </c>
      <c r="D21" s="29" t="n">
        <v>1</v>
      </c>
      <c r="E21" s="27" t="str">
        <f aca="false">IF(ABS(C21)&lt;=D21,"OK","ОШИБКА")</f>
        <v>OK</v>
      </c>
    </row>
    <row r="22" customFormat="false" ht="23.85" hidden="false" customHeight="false" outlineLevel="0" collapsed="false">
      <c r="B22" s="19" t="s">
        <v>618</v>
      </c>
      <c r="C22" s="29" t="n">
        <f aca="false">CashFlow!D27-ProjCost!E18</f>
        <v>721823.464565152</v>
      </c>
      <c r="D22" s="29" t="n">
        <v>0</v>
      </c>
      <c r="E22" s="27" t="str">
        <f aca="false">IF(C22&gt;=-0.01,"OK","ОШИБКА")</f>
        <v>OK</v>
      </c>
    </row>
    <row r="24" customFormat="false" ht="15" hidden="false" customHeight="false" outlineLevel="0" collapsed="false">
      <c r="B24" s="14" t="s">
        <v>619</v>
      </c>
      <c r="E24" s="80" t="str">
        <f aca="false">IF(COUNTIF(E5:E22,"OK")=18,"ВСЕ OK","ЕСТЬ ОШИБКИ")</f>
        <v>ВСЕ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L2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12" min="5" style="0" width="15"/>
  </cols>
  <sheetData>
    <row r="2" customFormat="false" ht="15" hidden="false" customHeight="false" outlineLevel="0" collapsed="false">
      <c r="B2" s="2" t="s">
        <v>620</v>
      </c>
    </row>
    <row r="3" customFormat="false" ht="15" hidden="false" customHeight="false" outlineLevel="0" collapsed="false">
      <c r="B3" s="52" t="s">
        <v>621</v>
      </c>
    </row>
    <row r="4" customFormat="false" ht="23.85" hidden="false" customHeight="false" outlineLevel="0" collapsed="false">
      <c r="A4" s="18" t="s">
        <v>622</v>
      </c>
      <c r="B4" s="18" t="s">
        <v>623</v>
      </c>
      <c r="C4" s="18" t="s">
        <v>43</v>
      </c>
      <c r="D4" s="18" t="s">
        <v>624</v>
      </c>
      <c r="E4" s="18" t="s">
        <v>625</v>
      </c>
      <c r="F4" s="18" t="s">
        <v>52</v>
      </c>
      <c r="G4" s="18" t="s">
        <v>53</v>
      </c>
      <c r="H4" s="18" t="s">
        <v>54</v>
      </c>
      <c r="I4" s="18" t="s">
        <v>55</v>
      </c>
      <c r="J4" s="18" t="s">
        <v>56</v>
      </c>
      <c r="K4" s="18" t="s">
        <v>57</v>
      </c>
      <c r="L4" s="18" t="s">
        <v>58</v>
      </c>
    </row>
    <row r="5" customFormat="false" ht="15" hidden="false" customHeight="false" outlineLevel="0" collapsed="false">
      <c r="A5" s="60"/>
      <c r="B5" s="10" t="s">
        <v>626</v>
      </c>
    </row>
    <row r="6" customFormat="false" ht="15" hidden="false" customHeight="false" outlineLevel="0" collapsed="false">
      <c r="A6" s="53" t="s">
        <v>627</v>
      </c>
      <c r="B6" s="19" t="s">
        <v>628</v>
      </c>
      <c r="C6" s="20" t="s">
        <v>262</v>
      </c>
      <c r="D6" s="53" t="s">
        <v>629</v>
      </c>
      <c r="E6" s="30" t="n">
        <v>0.111708147552152</v>
      </c>
    </row>
    <row r="7" customFormat="false" ht="15" hidden="false" customHeight="false" outlineLevel="0" collapsed="false">
      <c r="A7" s="53" t="s">
        <v>630</v>
      </c>
      <c r="B7" s="19" t="s">
        <v>631</v>
      </c>
      <c r="C7" s="20" t="s">
        <v>632</v>
      </c>
      <c r="D7" s="53" t="s">
        <v>633</v>
      </c>
      <c r="E7" s="31" t="n">
        <v>15</v>
      </c>
    </row>
    <row r="8" customFormat="false" ht="15" hidden="false" customHeight="false" outlineLevel="0" collapsed="false">
      <c r="A8" s="53" t="s">
        <v>634</v>
      </c>
      <c r="B8" s="19" t="s">
        <v>635</v>
      </c>
      <c r="C8" s="20" t="s">
        <v>636</v>
      </c>
      <c r="D8" s="53" t="s">
        <v>637</v>
      </c>
      <c r="E8" s="31" t="n">
        <v>3</v>
      </c>
    </row>
    <row r="9" customFormat="false" ht="15" hidden="false" customHeight="false" outlineLevel="0" collapsed="false">
      <c r="A9" s="53" t="s">
        <v>638</v>
      </c>
      <c r="B9" s="19" t="s">
        <v>639</v>
      </c>
      <c r="C9" s="20" t="s">
        <v>470</v>
      </c>
      <c r="D9" s="53" t="s">
        <v>640</v>
      </c>
      <c r="E9" s="31" t="n">
        <v>30</v>
      </c>
    </row>
    <row r="10" customFormat="false" ht="15" hidden="false" customHeight="false" outlineLevel="0" collapsed="false">
      <c r="A10" s="53" t="s">
        <v>641</v>
      </c>
      <c r="B10" s="19" t="s">
        <v>642</v>
      </c>
      <c r="C10" s="20" t="s">
        <v>470</v>
      </c>
      <c r="D10" s="53" t="s">
        <v>643</v>
      </c>
      <c r="E10" s="31" t="n">
        <v>15</v>
      </c>
    </row>
    <row r="11" customFormat="false" ht="15" hidden="false" customHeight="false" outlineLevel="0" collapsed="false">
      <c r="A11" s="53" t="s">
        <v>644</v>
      </c>
      <c r="B11" s="19" t="s">
        <v>645</v>
      </c>
      <c r="C11" s="20" t="s">
        <v>470</v>
      </c>
      <c r="D11" s="53" t="s">
        <v>646</v>
      </c>
      <c r="E11" s="31" t="n">
        <v>10</v>
      </c>
    </row>
    <row r="12" customFormat="false" ht="15" hidden="false" customHeight="false" outlineLevel="0" collapsed="false">
      <c r="A12" s="53" t="s">
        <v>647</v>
      </c>
      <c r="B12" s="19" t="s">
        <v>648</v>
      </c>
      <c r="C12" s="20" t="s">
        <v>470</v>
      </c>
      <c r="D12" s="53" t="s">
        <v>649</v>
      </c>
      <c r="E12" s="31" t="n">
        <v>15</v>
      </c>
    </row>
    <row r="13" customFormat="false" ht="15" hidden="false" customHeight="false" outlineLevel="0" collapsed="false">
      <c r="A13" s="53" t="s">
        <v>650</v>
      </c>
      <c r="B13" s="19" t="s">
        <v>651</v>
      </c>
      <c r="C13" s="20" t="s">
        <v>470</v>
      </c>
      <c r="D13" s="53" t="s">
        <v>652</v>
      </c>
      <c r="E13" s="31" t="n">
        <v>0</v>
      </c>
    </row>
    <row r="14" customFormat="false" ht="15" hidden="false" customHeight="false" outlineLevel="0" collapsed="false">
      <c r="A14" s="53" t="s">
        <v>653</v>
      </c>
      <c r="B14" s="19" t="s">
        <v>654</v>
      </c>
      <c r="C14" s="20" t="s">
        <v>470</v>
      </c>
      <c r="D14" s="53" t="s">
        <v>655</v>
      </c>
      <c r="E14" s="31" t="n">
        <v>30</v>
      </c>
    </row>
    <row r="15" customFormat="false" ht="15" hidden="false" customHeight="false" outlineLevel="0" collapsed="false">
      <c r="A15" s="53" t="s">
        <v>656</v>
      </c>
      <c r="B15" s="19" t="s">
        <v>657</v>
      </c>
      <c r="C15" s="20" t="s">
        <v>470</v>
      </c>
      <c r="D15" s="53" t="s">
        <v>658</v>
      </c>
      <c r="E15" s="31" t="n">
        <v>90</v>
      </c>
    </row>
    <row r="16" customFormat="false" ht="15" hidden="false" customHeight="false" outlineLevel="0" collapsed="false">
      <c r="A16" s="53" t="s">
        <v>659</v>
      </c>
      <c r="B16" s="19" t="s">
        <v>660</v>
      </c>
      <c r="C16" s="20" t="s">
        <v>470</v>
      </c>
      <c r="D16" s="53" t="s">
        <v>661</v>
      </c>
      <c r="E16" s="31" t="n">
        <v>540</v>
      </c>
    </row>
    <row r="17" customFormat="false" ht="15" hidden="false" customHeight="false" outlineLevel="0" collapsed="false">
      <c r="A17" s="53" t="s">
        <v>662</v>
      </c>
      <c r="B17" s="19" t="s">
        <v>663</v>
      </c>
      <c r="C17" s="20" t="s">
        <v>262</v>
      </c>
      <c r="D17" s="53" t="s">
        <v>664</v>
      </c>
      <c r="E17" s="30" t="n">
        <v>0.12</v>
      </c>
    </row>
    <row r="18" customFormat="false" ht="23.85" hidden="false" customHeight="false" outlineLevel="0" collapsed="false">
      <c r="A18" s="53" t="s">
        <v>665</v>
      </c>
      <c r="B18" s="19" t="s">
        <v>666</v>
      </c>
      <c r="C18" s="20"/>
      <c r="D18" s="53" t="s">
        <v>198</v>
      </c>
      <c r="E18" s="34" t="n">
        <v>102185997.913603</v>
      </c>
    </row>
    <row r="19" customFormat="false" ht="15" hidden="false" customHeight="false" outlineLevel="0" collapsed="false">
      <c r="A19" s="53" t="s">
        <v>667</v>
      </c>
      <c r="B19" s="19" t="s">
        <v>668</v>
      </c>
      <c r="C19" s="20"/>
      <c r="D19" s="53" t="s">
        <v>669</v>
      </c>
      <c r="E19" s="30" t="n">
        <v>0.371853111642586</v>
      </c>
    </row>
    <row r="20" customFormat="false" ht="15" hidden="false" customHeight="false" outlineLevel="0" collapsed="false">
      <c r="A20" s="53" t="s">
        <v>670</v>
      </c>
      <c r="B20" s="19" t="s">
        <v>671</v>
      </c>
      <c r="C20" s="20"/>
      <c r="D20" s="53" t="s">
        <v>672</v>
      </c>
      <c r="E20" s="36" t="n">
        <v>4.54463471619761</v>
      </c>
    </row>
    <row r="21" customFormat="false" ht="15" hidden="false" customHeight="false" outlineLevel="0" collapsed="false">
      <c r="A21" s="53" t="s">
        <v>673</v>
      </c>
      <c r="B21" s="19" t="s">
        <v>674</v>
      </c>
      <c r="C21" s="20"/>
      <c r="D21" s="53" t="s">
        <v>675</v>
      </c>
      <c r="E21" s="36" t="n">
        <v>5.19208755878714</v>
      </c>
    </row>
    <row r="22" customFormat="false" ht="15" hidden="false" customHeight="false" outlineLevel="0" collapsed="false">
      <c r="A22" s="53" t="s">
        <v>676</v>
      </c>
      <c r="B22" s="19" t="s">
        <v>677</v>
      </c>
      <c r="C22" s="20"/>
      <c r="D22" s="53" t="s">
        <v>678</v>
      </c>
      <c r="E22" s="81" t="n">
        <v>2.95840914076681</v>
      </c>
    </row>
    <row r="23" customFormat="false" ht="15" hidden="false" customHeight="false" outlineLevel="0" collapsed="false">
      <c r="A23" s="60"/>
      <c r="B23" s="10" t="s">
        <v>679</v>
      </c>
    </row>
    <row r="24" customFormat="false" ht="15" hidden="false" customHeight="false" outlineLevel="0" collapsed="false">
      <c r="A24" s="53" t="s">
        <v>680</v>
      </c>
      <c r="B24" s="19" t="s">
        <v>681</v>
      </c>
      <c r="C24" s="20" t="s">
        <v>682</v>
      </c>
      <c r="D24" s="53" t="s">
        <v>683</v>
      </c>
      <c r="E24" s="35" t="n">
        <v>11705.2561010604</v>
      </c>
      <c r="F24" s="35" t="n">
        <v>12218.0628881788</v>
      </c>
      <c r="G24" s="35" t="n">
        <v>12629.7660974805</v>
      </c>
      <c r="H24" s="35" t="n">
        <v>12975.3143244923</v>
      </c>
      <c r="I24" s="35" t="n">
        <v>13328.7849928583</v>
      </c>
      <c r="J24" s="35" t="n">
        <v>13691.759630362</v>
      </c>
      <c r="K24" s="35" t="n">
        <v>14064.618933838</v>
      </c>
      <c r="L24" s="35" t="n">
        <v>14447.63208634</v>
      </c>
    </row>
    <row r="25" customFormat="false" ht="15" hidden="false" customHeight="false" outlineLevel="0" collapsed="false">
      <c r="A25" s="53" t="s">
        <v>684</v>
      </c>
      <c r="B25" s="19" t="s">
        <v>685</v>
      </c>
      <c r="C25" s="20" t="s">
        <v>262</v>
      </c>
      <c r="D25" s="53" t="s">
        <v>686</v>
      </c>
      <c r="E25" s="30" t="n">
        <v>0.15</v>
      </c>
      <c r="F25" s="30" t="n">
        <v>0.15</v>
      </c>
      <c r="G25" s="30" t="n">
        <v>0.15</v>
      </c>
      <c r="H25" s="30" t="n">
        <v>0.15</v>
      </c>
      <c r="I25" s="30" t="n">
        <v>0.15</v>
      </c>
      <c r="J25" s="30" t="n">
        <v>0.15</v>
      </c>
      <c r="K25" s="30" t="n">
        <v>0.15</v>
      </c>
      <c r="L25" s="30" t="n">
        <v>0.15</v>
      </c>
    </row>
    <row r="26" customFormat="false" ht="15" hidden="false" customHeight="false" outlineLevel="0" collapsed="false">
      <c r="A26" s="53" t="s">
        <v>687</v>
      </c>
      <c r="B26" s="19" t="s">
        <v>688</v>
      </c>
      <c r="C26" s="20" t="s">
        <v>262</v>
      </c>
      <c r="D26" s="53" t="s">
        <v>689</v>
      </c>
      <c r="E26" s="30" t="n">
        <v>0.12</v>
      </c>
      <c r="F26" s="30" t="n">
        <v>0.12</v>
      </c>
      <c r="G26" s="30" t="n">
        <v>0.12</v>
      </c>
      <c r="H26" s="30" t="n">
        <v>0.12</v>
      </c>
      <c r="I26" s="30" t="n">
        <v>0.12</v>
      </c>
      <c r="J26" s="30" t="n">
        <v>0.12</v>
      </c>
      <c r="K26" s="30" t="n">
        <v>0.12</v>
      </c>
      <c r="L26" s="30" t="n">
        <v>0.12</v>
      </c>
    </row>
    <row r="27" customFormat="false" ht="15" hidden="false" customHeight="false" outlineLevel="0" collapsed="false">
      <c r="A27" s="60"/>
      <c r="B27" s="10" t="s">
        <v>690</v>
      </c>
    </row>
    <row r="28" customFormat="false" ht="15" hidden="false" customHeight="false" outlineLevel="0" collapsed="false">
      <c r="A28" s="53" t="s">
        <v>691</v>
      </c>
      <c r="B28" s="19" t="s">
        <v>692</v>
      </c>
      <c r="C28" s="20" t="s">
        <v>256</v>
      </c>
      <c r="D28" s="53" t="s">
        <v>693</v>
      </c>
      <c r="E28" s="82" t="n">
        <v>1983.07</v>
      </c>
    </row>
    <row r="29" customFormat="false" ht="15" hidden="false" customHeight="false" outlineLevel="0" collapsed="false">
      <c r="A29" s="53" t="s">
        <v>694</v>
      </c>
      <c r="B29" s="19" t="s">
        <v>695</v>
      </c>
      <c r="C29" s="20" t="s">
        <v>262</v>
      </c>
      <c r="D29" s="53" t="s">
        <v>693</v>
      </c>
      <c r="E29" s="30" t="n">
        <v>0</v>
      </c>
      <c r="F29" s="30" t="n">
        <v>0.15</v>
      </c>
      <c r="G29" s="30" t="n">
        <v>0.65</v>
      </c>
      <c r="H29" s="30" t="n">
        <v>0.85</v>
      </c>
      <c r="I29" s="30" t="n">
        <v>1</v>
      </c>
      <c r="J29" s="30" t="n">
        <v>1</v>
      </c>
      <c r="K29" s="30" t="n">
        <v>1</v>
      </c>
      <c r="L29" s="30" t="n">
        <v>1</v>
      </c>
    </row>
    <row r="30" customFormat="false" ht="15" hidden="false" customHeight="false" outlineLevel="0" collapsed="false">
      <c r="A30" s="53" t="s">
        <v>696</v>
      </c>
      <c r="B30" s="19" t="s">
        <v>697</v>
      </c>
      <c r="C30" s="20" t="s">
        <v>256</v>
      </c>
      <c r="D30" s="53" t="s">
        <v>698</v>
      </c>
      <c r="E30" s="82" t="n">
        <v>0</v>
      </c>
      <c r="F30" s="82" t="n">
        <v>297.4605</v>
      </c>
      <c r="G30" s="82" t="n">
        <v>1288.9955</v>
      </c>
      <c r="H30" s="82" t="n">
        <v>1685.6095</v>
      </c>
      <c r="I30" s="82" t="n">
        <v>1983.07</v>
      </c>
      <c r="J30" s="82" t="n">
        <v>1983.07</v>
      </c>
      <c r="K30" s="82" t="n">
        <v>1983.07</v>
      </c>
      <c r="L30" s="82" t="n">
        <v>1983.07</v>
      </c>
    </row>
    <row r="31" customFormat="false" ht="15" hidden="false" customHeight="false" outlineLevel="0" collapsed="false">
      <c r="A31" s="53" t="s">
        <v>699</v>
      </c>
      <c r="B31" s="19" t="s">
        <v>700</v>
      </c>
      <c r="C31" s="20" t="s">
        <v>256</v>
      </c>
      <c r="D31" s="53" t="s">
        <v>701</v>
      </c>
      <c r="E31" s="82" t="n">
        <v>0</v>
      </c>
      <c r="F31" s="82" t="n">
        <v>247.88375</v>
      </c>
      <c r="G31" s="82" t="n">
        <v>1284.86410416667</v>
      </c>
      <c r="H31" s="82" t="n">
        <v>1669.08391666667</v>
      </c>
      <c r="I31" s="82" t="n">
        <v>1970.6758125</v>
      </c>
      <c r="J31" s="82" t="n">
        <v>1983.07</v>
      </c>
      <c r="K31" s="82" t="n">
        <v>1983.07</v>
      </c>
      <c r="L31" s="82" t="n">
        <v>1983.07</v>
      </c>
    </row>
    <row r="32" customFormat="false" ht="15" hidden="false" customHeight="false" outlineLevel="0" collapsed="false">
      <c r="A32" s="53" t="s">
        <v>702</v>
      </c>
      <c r="B32" s="19" t="s">
        <v>703</v>
      </c>
      <c r="C32" s="20" t="s">
        <v>256</v>
      </c>
      <c r="D32" s="53" t="s">
        <v>704</v>
      </c>
      <c r="E32" s="82" t="n">
        <v>0</v>
      </c>
      <c r="F32" s="82" t="n">
        <v>0</v>
      </c>
      <c r="G32" s="82" t="n">
        <v>0</v>
      </c>
      <c r="H32" s="82" t="n">
        <v>0</v>
      </c>
      <c r="I32" s="82" t="n">
        <v>0</v>
      </c>
      <c r="J32" s="82" t="n">
        <v>0</v>
      </c>
      <c r="K32" s="82" t="n">
        <v>0</v>
      </c>
      <c r="L32" s="82" t="n">
        <v>0</v>
      </c>
    </row>
    <row r="33" customFormat="false" ht="15" hidden="false" customHeight="false" outlineLevel="0" collapsed="false">
      <c r="A33" s="53" t="s">
        <v>705</v>
      </c>
      <c r="B33" s="19" t="s">
        <v>706</v>
      </c>
      <c r="C33" s="20" t="s">
        <v>256</v>
      </c>
      <c r="D33" s="53" t="s">
        <v>707</v>
      </c>
      <c r="E33" s="82" t="n">
        <v>0</v>
      </c>
      <c r="F33" s="82" t="n">
        <v>49.57675</v>
      </c>
      <c r="G33" s="82" t="n">
        <v>53.7081458333333</v>
      </c>
      <c r="H33" s="82" t="n">
        <v>70.2337291666666</v>
      </c>
      <c r="I33" s="82" t="n">
        <v>82.6279166666666</v>
      </c>
      <c r="J33" s="82" t="n">
        <v>82.6279166666666</v>
      </c>
      <c r="K33" s="82" t="n">
        <v>82.6279166666666</v>
      </c>
      <c r="L33" s="82" t="n">
        <v>82.6279166666666</v>
      </c>
    </row>
    <row r="34" customFormat="false" ht="15" hidden="false" customHeight="false" outlineLevel="0" collapsed="false">
      <c r="A34" s="53" t="s">
        <v>708</v>
      </c>
      <c r="B34" s="19" t="s">
        <v>709</v>
      </c>
      <c r="C34" s="20" t="s">
        <v>273</v>
      </c>
      <c r="D34" s="53" t="s">
        <v>710</v>
      </c>
      <c r="E34" s="35" t="n">
        <v>0</v>
      </c>
      <c r="F34" s="35" t="n">
        <v>36542.2638937014</v>
      </c>
      <c r="G34" s="35" t="n">
        <v>37029.2013031179</v>
      </c>
      <c r="H34" s="35" t="n">
        <v>37843.8437317865</v>
      </c>
      <c r="I34" s="35" t="n">
        <v>38676.4082938858</v>
      </c>
      <c r="J34" s="35" t="n">
        <v>39527.2892763513</v>
      </c>
      <c r="K34" s="35" t="n">
        <v>40396.889640431</v>
      </c>
      <c r="L34" s="35" t="n">
        <v>41285.6212125205</v>
      </c>
    </row>
    <row r="35" customFormat="false" ht="15" hidden="false" customHeight="false" outlineLevel="0" collapsed="false">
      <c r="A35" s="53" t="s">
        <v>711</v>
      </c>
      <c r="B35" s="19" t="s">
        <v>712</v>
      </c>
      <c r="C35" s="20" t="s">
        <v>32</v>
      </c>
      <c r="D35" s="53" t="s">
        <v>713</v>
      </c>
      <c r="E35" s="34" t="n">
        <v>0</v>
      </c>
      <c r="F35" s="34" t="n">
        <v>9058233.40746031</v>
      </c>
      <c r="G35" s="34" t="n">
        <v>47577491.5603378</v>
      </c>
      <c r="H35" s="34" t="n">
        <v>63164550.9175715</v>
      </c>
      <c r="I35" s="34" t="n">
        <v>76218662.3391351</v>
      </c>
      <c r="J35" s="34" t="n">
        <v>78385381.545254</v>
      </c>
      <c r="K35" s="34" t="n">
        <v>80109859.9392496</v>
      </c>
      <c r="L35" s="34" t="n">
        <v>81872276.857913</v>
      </c>
    </row>
    <row r="36" customFormat="false" ht="15" hidden="false" customHeight="false" outlineLevel="0" collapsed="false">
      <c r="A36" s="53" t="s">
        <v>714</v>
      </c>
      <c r="B36" s="19" t="s">
        <v>715</v>
      </c>
      <c r="C36" s="20" t="s">
        <v>256</v>
      </c>
      <c r="D36" s="53" t="s">
        <v>716</v>
      </c>
      <c r="E36" s="82" t="n">
        <v>609.57</v>
      </c>
    </row>
    <row r="37" customFormat="false" ht="15" hidden="false" customHeight="false" outlineLevel="0" collapsed="false">
      <c r="A37" s="53" t="s">
        <v>717</v>
      </c>
      <c r="B37" s="19" t="s">
        <v>718</v>
      </c>
      <c r="C37" s="20" t="s">
        <v>262</v>
      </c>
      <c r="D37" s="53" t="s">
        <v>716</v>
      </c>
      <c r="E37" s="30" t="n">
        <v>0</v>
      </c>
      <c r="F37" s="30" t="n">
        <v>0.15</v>
      </c>
      <c r="G37" s="30" t="n">
        <v>0.65</v>
      </c>
      <c r="H37" s="30" t="n">
        <v>0.85</v>
      </c>
      <c r="I37" s="30" t="n">
        <v>1</v>
      </c>
      <c r="J37" s="30" t="n">
        <v>1</v>
      </c>
      <c r="K37" s="30" t="n">
        <v>1</v>
      </c>
      <c r="L37" s="30" t="n">
        <v>1</v>
      </c>
    </row>
    <row r="38" customFormat="false" ht="15" hidden="false" customHeight="false" outlineLevel="0" collapsed="false">
      <c r="A38" s="53" t="s">
        <v>719</v>
      </c>
      <c r="B38" s="19" t="s">
        <v>720</v>
      </c>
      <c r="C38" s="20" t="s">
        <v>256</v>
      </c>
      <c r="D38" s="53" t="s">
        <v>721</v>
      </c>
      <c r="E38" s="82" t="n">
        <v>0</v>
      </c>
      <c r="F38" s="82" t="n">
        <v>91.4355</v>
      </c>
      <c r="G38" s="82" t="n">
        <v>396.2205</v>
      </c>
      <c r="H38" s="82" t="n">
        <v>518.1345</v>
      </c>
      <c r="I38" s="82" t="n">
        <v>609.57</v>
      </c>
      <c r="J38" s="82" t="n">
        <v>609.57</v>
      </c>
      <c r="K38" s="82" t="n">
        <v>609.57</v>
      </c>
      <c r="L38" s="82" t="n">
        <v>609.57</v>
      </c>
    </row>
    <row r="39" customFormat="false" ht="15" hidden="false" customHeight="false" outlineLevel="0" collapsed="false">
      <c r="A39" s="53" t="s">
        <v>722</v>
      </c>
      <c r="B39" s="19" t="s">
        <v>723</v>
      </c>
      <c r="C39" s="20" t="s">
        <v>256</v>
      </c>
      <c r="D39" s="53" t="s">
        <v>724</v>
      </c>
      <c r="E39" s="82" t="n">
        <v>0</v>
      </c>
      <c r="F39" s="82" t="n">
        <v>0</v>
      </c>
      <c r="G39" s="82" t="n">
        <v>0</v>
      </c>
      <c r="H39" s="82" t="n">
        <v>0</v>
      </c>
      <c r="I39" s="82" t="n">
        <v>0</v>
      </c>
      <c r="J39" s="82" t="n">
        <v>0</v>
      </c>
      <c r="K39" s="82" t="n">
        <v>0</v>
      </c>
      <c r="L39" s="82" t="n">
        <v>0</v>
      </c>
    </row>
    <row r="40" customFormat="false" ht="15" hidden="false" customHeight="false" outlineLevel="0" collapsed="false">
      <c r="A40" s="53" t="s">
        <v>725</v>
      </c>
      <c r="B40" s="19" t="s">
        <v>726</v>
      </c>
      <c r="C40" s="20" t="s">
        <v>256</v>
      </c>
      <c r="D40" s="53" t="s">
        <v>727</v>
      </c>
      <c r="E40" s="82" t="n">
        <v>0</v>
      </c>
      <c r="F40" s="82" t="n">
        <v>76.19625</v>
      </c>
      <c r="G40" s="82" t="n">
        <v>394.9505625</v>
      </c>
      <c r="H40" s="82" t="n">
        <v>513.05475</v>
      </c>
      <c r="I40" s="82" t="n">
        <v>605.7601875</v>
      </c>
      <c r="J40" s="82" t="n">
        <v>609.57</v>
      </c>
      <c r="K40" s="82" t="n">
        <v>609.57</v>
      </c>
      <c r="L40" s="82" t="n">
        <v>609.57</v>
      </c>
    </row>
    <row r="41" customFormat="false" ht="15" hidden="false" customHeight="false" outlineLevel="0" collapsed="false">
      <c r="A41" s="53" t="s">
        <v>728</v>
      </c>
      <c r="B41" s="19" t="s">
        <v>729</v>
      </c>
      <c r="C41" s="20" t="s">
        <v>256</v>
      </c>
      <c r="D41" s="53" t="s">
        <v>730</v>
      </c>
      <c r="E41" s="82" t="n">
        <v>0</v>
      </c>
      <c r="F41" s="82" t="n">
        <v>15.23925</v>
      </c>
      <c r="G41" s="82" t="n">
        <v>16.5091875</v>
      </c>
      <c r="H41" s="82" t="n">
        <v>21.5889375</v>
      </c>
      <c r="I41" s="82" t="n">
        <v>25.39875</v>
      </c>
      <c r="J41" s="82" t="n">
        <v>25.39875</v>
      </c>
      <c r="K41" s="82" t="n">
        <v>25.39875</v>
      </c>
      <c r="L41" s="82" t="n">
        <v>25.39875</v>
      </c>
    </row>
    <row r="42" customFormat="false" ht="15" hidden="false" customHeight="false" outlineLevel="0" collapsed="false">
      <c r="A42" s="53" t="s">
        <v>731</v>
      </c>
      <c r="B42" s="19" t="s">
        <v>732</v>
      </c>
      <c r="C42" s="20" t="s">
        <v>273</v>
      </c>
      <c r="D42" s="53" t="s">
        <v>733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0</v>
      </c>
      <c r="J42" s="35" t="n">
        <v>0</v>
      </c>
      <c r="K42" s="35" t="n">
        <v>0</v>
      </c>
      <c r="L42" s="35" t="n">
        <v>0</v>
      </c>
    </row>
    <row r="43" customFormat="false" ht="15" hidden="false" customHeight="false" outlineLevel="0" collapsed="false">
      <c r="A43" s="53" t="s">
        <v>734</v>
      </c>
      <c r="B43" s="19" t="s">
        <v>735</v>
      </c>
      <c r="C43" s="20" t="s">
        <v>32</v>
      </c>
      <c r="D43" s="53" t="s">
        <v>736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</row>
    <row r="44" customFormat="false" ht="15" hidden="false" customHeight="false" outlineLevel="0" collapsed="false">
      <c r="A44" s="53" t="s">
        <v>737</v>
      </c>
      <c r="B44" s="19" t="s">
        <v>738</v>
      </c>
      <c r="C44" s="20" t="s">
        <v>256</v>
      </c>
      <c r="D44" s="53" t="s">
        <v>739</v>
      </c>
      <c r="E44" s="82" t="n">
        <v>3000</v>
      </c>
    </row>
    <row r="45" customFormat="false" ht="15" hidden="false" customHeight="false" outlineLevel="0" collapsed="false">
      <c r="A45" s="53" t="s">
        <v>740</v>
      </c>
      <c r="B45" s="19" t="s">
        <v>741</v>
      </c>
      <c r="C45" s="20" t="s">
        <v>262</v>
      </c>
      <c r="D45" s="53" t="s">
        <v>739</v>
      </c>
      <c r="E45" s="30" t="n">
        <v>0</v>
      </c>
      <c r="F45" s="30" t="n">
        <v>0.15</v>
      </c>
      <c r="G45" s="30" t="n">
        <v>0.65</v>
      </c>
      <c r="H45" s="30" t="n">
        <v>0.85</v>
      </c>
      <c r="I45" s="30" t="n">
        <v>1</v>
      </c>
      <c r="J45" s="30" t="n">
        <v>1</v>
      </c>
      <c r="K45" s="30" t="n">
        <v>1</v>
      </c>
      <c r="L45" s="30" t="n">
        <v>1</v>
      </c>
    </row>
    <row r="46" customFormat="false" ht="15" hidden="false" customHeight="false" outlineLevel="0" collapsed="false">
      <c r="A46" s="53" t="s">
        <v>742</v>
      </c>
      <c r="B46" s="19" t="s">
        <v>743</v>
      </c>
      <c r="C46" s="20" t="s">
        <v>256</v>
      </c>
      <c r="D46" s="53" t="s">
        <v>744</v>
      </c>
      <c r="E46" s="82" t="n">
        <v>0</v>
      </c>
      <c r="F46" s="82" t="n">
        <v>450</v>
      </c>
      <c r="G46" s="82" t="n">
        <v>1950</v>
      </c>
      <c r="H46" s="82" t="n">
        <v>2550</v>
      </c>
      <c r="I46" s="82" t="n">
        <v>3000</v>
      </c>
      <c r="J46" s="82" t="n">
        <v>3000</v>
      </c>
      <c r="K46" s="82" t="n">
        <v>3000</v>
      </c>
      <c r="L46" s="82" t="n">
        <v>3000</v>
      </c>
    </row>
    <row r="47" customFormat="false" ht="15" hidden="false" customHeight="false" outlineLevel="0" collapsed="false">
      <c r="A47" s="53" t="s">
        <v>745</v>
      </c>
      <c r="B47" s="19" t="s">
        <v>746</v>
      </c>
      <c r="C47" s="20" t="s">
        <v>256</v>
      </c>
      <c r="D47" s="53" t="s">
        <v>747</v>
      </c>
      <c r="E47" s="82" t="n">
        <v>0</v>
      </c>
      <c r="F47" s="82" t="n">
        <v>0</v>
      </c>
      <c r="G47" s="82" t="n">
        <v>0</v>
      </c>
      <c r="H47" s="82" t="n">
        <v>0</v>
      </c>
      <c r="I47" s="82" t="n">
        <v>0</v>
      </c>
      <c r="J47" s="82" t="n">
        <v>0</v>
      </c>
      <c r="K47" s="82" t="n">
        <v>0</v>
      </c>
      <c r="L47" s="82" t="n">
        <v>0</v>
      </c>
    </row>
    <row r="48" customFormat="false" ht="15" hidden="false" customHeight="false" outlineLevel="0" collapsed="false">
      <c r="A48" s="53" t="s">
        <v>748</v>
      </c>
      <c r="B48" s="19" t="s">
        <v>749</v>
      </c>
      <c r="C48" s="20" t="s">
        <v>256</v>
      </c>
      <c r="D48" s="53" t="s">
        <v>750</v>
      </c>
      <c r="E48" s="82" t="n">
        <v>0</v>
      </c>
      <c r="F48" s="82" t="n">
        <v>375</v>
      </c>
      <c r="G48" s="82" t="n">
        <v>1943.75</v>
      </c>
      <c r="H48" s="82" t="n">
        <v>2525</v>
      </c>
      <c r="I48" s="82" t="n">
        <v>2981.25</v>
      </c>
      <c r="J48" s="82" t="n">
        <v>3000</v>
      </c>
      <c r="K48" s="82" t="n">
        <v>3000</v>
      </c>
      <c r="L48" s="82" t="n">
        <v>3000</v>
      </c>
    </row>
    <row r="49" customFormat="false" ht="15" hidden="false" customHeight="false" outlineLevel="0" collapsed="false">
      <c r="A49" s="53" t="s">
        <v>751</v>
      </c>
      <c r="B49" s="19" t="s">
        <v>752</v>
      </c>
      <c r="C49" s="20" t="s">
        <v>256</v>
      </c>
      <c r="D49" s="53" t="s">
        <v>753</v>
      </c>
      <c r="E49" s="82" t="n">
        <v>0</v>
      </c>
      <c r="F49" s="82" t="n">
        <v>75</v>
      </c>
      <c r="G49" s="82" t="n">
        <v>81.25</v>
      </c>
      <c r="H49" s="82" t="n">
        <v>106.25</v>
      </c>
      <c r="I49" s="82" t="n">
        <v>125</v>
      </c>
      <c r="J49" s="82" t="n">
        <v>125</v>
      </c>
      <c r="K49" s="82" t="n">
        <v>125</v>
      </c>
      <c r="L49" s="82" t="n">
        <v>125</v>
      </c>
    </row>
    <row r="50" customFormat="false" ht="15" hidden="false" customHeight="false" outlineLevel="0" collapsed="false">
      <c r="A50" s="53" t="s">
        <v>754</v>
      </c>
      <c r="B50" s="19" t="s">
        <v>755</v>
      </c>
      <c r="C50" s="20" t="s">
        <v>273</v>
      </c>
      <c r="D50" s="53" t="s">
        <v>756</v>
      </c>
      <c r="E50" s="35" t="n">
        <v>0</v>
      </c>
      <c r="F50" s="35" t="n">
        <v>0</v>
      </c>
      <c r="G50" s="35" t="n">
        <v>0</v>
      </c>
      <c r="H50" s="35" t="n">
        <v>0</v>
      </c>
      <c r="I50" s="35" t="n">
        <v>0</v>
      </c>
      <c r="J50" s="35" t="n">
        <v>0</v>
      </c>
      <c r="K50" s="35" t="n">
        <v>0</v>
      </c>
      <c r="L50" s="35" t="n">
        <v>0</v>
      </c>
    </row>
    <row r="51" customFormat="false" ht="15" hidden="false" customHeight="false" outlineLevel="0" collapsed="false">
      <c r="A51" s="53" t="s">
        <v>757</v>
      </c>
      <c r="B51" s="19" t="s">
        <v>758</v>
      </c>
      <c r="C51" s="20" t="s">
        <v>32</v>
      </c>
      <c r="D51" s="53" t="s">
        <v>759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0</v>
      </c>
      <c r="J51" s="34" t="n">
        <v>0</v>
      </c>
      <c r="K51" s="34" t="n">
        <v>0</v>
      </c>
      <c r="L51" s="34" t="n">
        <v>0</v>
      </c>
    </row>
    <row r="52" customFormat="false" ht="15" hidden="false" customHeight="false" outlineLevel="0" collapsed="false">
      <c r="A52" s="60"/>
      <c r="B52" s="10" t="s">
        <v>760</v>
      </c>
    </row>
    <row r="53" customFormat="false" ht="15" hidden="false" customHeight="false" outlineLevel="0" collapsed="false">
      <c r="A53" s="53" t="s">
        <v>761</v>
      </c>
      <c r="B53" s="19" t="s">
        <v>762</v>
      </c>
      <c r="C53" s="20" t="s">
        <v>32</v>
      </c>
      <c r="D53" s="53" t="s">
        <v>763</v>
      </c>
      <c r="E53" s="34" t="n">
        <v>0</v>
      </c>
      <c r="F53" s="34" t="n">
        <v>9058233.40746031</v>
      </c>
      <c r="G53" s="34" t="n">
        <v>47577491.5603378</v>
      </c>
      <c r="H53" s="34" t="n">
        <v>63164550.9175715</v>
      </c>
      <c r="I53" s="34" t="n">
        <v>76218662.3391351</v>
      </c>
      <c r="J53" s="34" t="n">
        <v>78385381.545254</v>
      </c>
      <c r="K53" s="34" t="n">
        <v>80109859.9392496</v>
      </c>
      <c r="L53" s="34" t="n">
        <v>81872276.857913</v>
      </c>
    </row>
    <row r="54" customFormat="false" ht="15" hidden="false" customHeight="false" outlineLevel="0" collapsed="false">
      <c r="A54" s="53" t="s">
        <v>764</v>
      </c>
      <c r="B54" s="19" t="s">
        <v>765</v>
      </c>
      <c r="C54" s="20" t="s">
        <v>32</v>
      </c>
      <c r="D54" s="53" t="s">
        <v>766</v>
      </c>
      <c r="E54" s="34" t="n">
        <v>0</v>
      </c>
      <c r="F54" s="34" t="n">
        <v>3987949.12860812</v>
      </c>
      <c r="G54" s="34" t="n">
        <v>22767848.3515379</v>
      </c>
      <c r="H54" s="34" t="n">
        <v>28787180.7307415</v>
      </c>
      <c r="I54" s="34" t="n">
        <v>33977009.5316005</v>
      </c>
      <c r="J54" s="34" t="n">
        <v>35032678.2003427</v>
      </c>
      <c r="K54" s="34" t="n">
        <v>35802261.2892601</v>
      </c>
      <c r="L54" s="34" t="n">
        <v>36587588.0904002</v>
      </c>
    </row>
    <row r="55" customFormat="false" ht="15" hidden="false" customHeight="false" outlineLevel="0" collapsed="false">
      <c r="A55" s="53" t="s">
        <v>767</v>
      </c>
      <c r="B55" s="19" t="s">
        <v>768</v>
      </c>
      <c r="C55" s="20" t="s">
        <v>32</v>
      </c>
      <c r="D55" s="53" t="s">
        <v>769</v>
      </c>
      <c r="E55" s="34" t="n">
        <v>0</v>
      </c>
      <c r="F55" s="34" t="n">
        <v>571002.82177378</v>
      </c>
      <c r="G55" s="34" t="n">
        <v>2342467.7436725</v>
      </c>
      <c r="H55" s="34" t="n">
        <v>2396427.54974393</v>
      </c>
      <c r="I55" s="34" t="n">
        <v>2450387.35581536</v>
      </c>
      <c r="J55" s="34" t="n">
        <v>2504347.16188679</v>
      </c>
      <c r="K55" s="34" t="n">
        <v>2558306.96795821</v>
      </c>
      <c r="L55" s="34" t="n">
        <v>2612266.77402964</v>
      </c>
    </row>
    <row r="56" customFormat="false" ht="15" hidden="false" customHeight="false" outlineLevel="0" collapsed="false">
      <c r="A56" s="53" t="s">
        <v>770</v>
      </c>
      <c r="B56" s="19" t="s">
        <v>415</v>
      </c>
      <c r="C56" s="20" t="s">
        <v>32</v>
      </c>
      <c r="D56" s="53" t="s">
        <v>771</v>
      </c>
      <c r="E56" s="34" t="n">
        <v>0</v>
      </c>
      <c r="F56" s="34" t="n">
        <v>45291.1670373016</v>
      </c>
      <c r="G56" s="34" t="n">
        <v>237887.457801689</v>
      </c>
      <c r="H56" s="34" t="n">
        <v>315822.754587857</v>
      </c>
      <c r="I56" s="34" t="n">
        <v>381093.311695676</v>
      </c>
      <c r="J56" s="34" t="n">
        <v>391926.90772627</v>
      </c>
      <c r="K56" s="34" t="n">
        <v>400549.299696248</v>
      </c>
      <c r="L56" s="34" t="n">
        <v>409361.384289565</v>
      </c>
    </row>
    <row r="57" customFormat="false" ht="15" hidden="false" customHeight="false" outlineLevel="0" collapsed="false">
      <c r="A57" s="53" t="s">
        <v>772</v>
      </c>
      <c r="B57" s="19" t="s">
        <v>773</v>
      </c>
      <c r="C57" s="20" t="s">
        <v>32</v>
      </c>
      <c r="D57" s="53" t="s">
        <v>774</v>
      </c>
      <c r="E57" s="34" t="n">
        <v>759593.231832033</v>
      </c>
      <c r="F57" s="34" t="n">
        <v>3363017.71966501</v>
      </c>
      <c r="G57" s="34" t="n">
        <v>4312795.54177049</v>
      </c>
      <c r="H57" s="34" t="n">
        <v>4631549.67947897</v>
      </c>
      <c r="I57" s="34" t="n">
        <v>4902996.63777164</v>
      </c>
      <c r="J57" s="34" t="n">
        <v>5001962.2361679</v>
      </c>
      <c r="K57" s="34" t="n">
        <v>5103105.07772887</v>
      </c>
      <c r="L57" s="34" t="n">
        <v>5206473.06180418</v>
      </c>
    </row>
    <row r="58" customFormat="false" ht="15" hidden="false" customHeight="false" outlineLevel="0" collapsed="false">
      <c r="A58" s="53" t="s">
        <v>775</v>
      </c>
      <c r="B58" s="19" t="s">
        <v>776</v>
      </c>
      <c r="C58" s="20" t="s">
        <v>32</v>
      </c>
      <c r="D58" s="53" t="s">
        <v>777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</row>
    <row r="59" customFormat="false" ht="23.85" hidden="false" customHeight="false" outlineLevel="0" collapsed="false">
      <c r="A59" s="53" t="s">
        <v>778</v>
      </c>
      <c r="B59" s="19" t="s">
        <v>779</v>
      </c>
      <c r="C59" s="20" t="s">
        <v>32</v>
      </c>
      <c r="D59" s="53" t="s">
        <v>780</v>
      </c>
      <c r="E59" s="34" t="n">
        <v>434660.833414813</v>
      </c>
      <c r="F59" s="34" t="n">
        <v>1602669.36489101</v>
      </c>
      <c r="G59" s="34" t="n">
        <v>1009836.41676061</v>
      </c>
      <c r="H59" s="34" t="n">
        <v>1132637.4735102</v>
      </c>
      <c r="I59" s="34" t="n">
        <v>1229820.51746776</v>
      </c>
      <c r="J59" s="34" t="n">
        <v>1235459.47855843</v>
      </c>
      <c r="K59" s="34" t="n">
        <v>1241406.31528898</v>
      </c>
      <c r="L59" s="34" t="n">
        <v>1247716.79178696</v>
      </c>
    </row>
    <row r="60" customFormat="false" ht="15" hidden="false" customHeight="false" outlineLevel="0" collapsed="false">
      <c r="A60" s="53" t="s">
        <v>781</v>
      </c>
      <c r="B60" s="19" t="s">
        <v>782</v>
      </c>
      <c r="C60" s="20" t="s">
        <v>32</v>
      </c>
      <c r="D60" s="53" t="s">
        <v>783</v>
      </c>
      <c r="E60" s="34" t="n">
        <v>-1194254.06524685</v>
      </c>
      <c r="F60" s="34" t="n">
        <v>59306.0272588739</v>
      </c>
      <c r="G60" s="34" t="n">
        <v>19249123.792467</v>
      </c>
      <c r="H60" s="34" t="n">
        <v>28297360.2792529</v>
      </c>
      <c r="I60" s="34" t="n">
        <v>35727742.3405996</v>
      </c>
      <c r="J60" s="34" t="n">
        <v>36723354.7224587</v>
      </c>
      <c r="K60" s="34" t="n">
        <v>37562537.9572753</v>
      </c>
      <c r="L60" s="34" t="n">
        <v>38421137.5296321</v>
      </c>
    </row>
    <row r="61" customFormat="false" ht="15" hidden="false" customHeight="false" outlineLevel="0" collapsed="false">
      <c r="A61" s="53" t="s">
        <v>784</v>
      </c>
      <c r="B61" s="19" t="s">
        <v>785</v>
      </c>
      <c r="C61" s="20" t="s">
        <v>32</v>
      </c>
      <c r="D61" s="53" t="s">
        <v>786</v>
      </c>
      <c r="E61" s="34" t="n">
        <v>0</v>
      </c>
      <c r="F61" s="34" t="n">
        <v>607047.818303571</v>
      </c>
      <c r="G61" s="34" t="n">
        <v>2246982.96924307</v>
      </c>
      <c r="H61" s="34" t="n">
        <v>1848324.7005064</v>
      </c>
      <c r="I61" s="34" t="n">
        <v>1413424.77097548</v>
      </c>
      <c r="J61" s="34" t="n">
        <v>978524.841444563</v>
      </c>
      <c r="K61" s="34" t="n">
        <v>543624.911913646</v>
      </c>
      <c r="L61" s="34" t="n">
        <v>163087.473574094</v>
      </c>
    </row>
    <row r="62" customFormat="false" ht="15" hidden="false" customHeight="false" outlineLevel="0" collapsed="false">
      <c r="A62" s="53" t="s">
        <v>787</v>
      </c>
      <c r="B62" s="19" t="s">
        <v>788</v>
      </c>
      <c r="C62" s="20" t="s">
        <v>32</v>
      </c>
      <c r="D62" s="53" t="s">
        <v>789</v>
      </c>
      <c r="E62" s="34" t="n">
        <v>-1194254.06524685</v>
      </c>
      <c r="F62" s="34" t="n">
        <v>-547741.791044698</v>
      </c>
      <c r="G62" s="34" t="n">
        <v>17002140.823224</v>
      </c>
      <c r="H62" s="34" t="n">
        <v>26449035.5787465</v>
      </c>
      <c r="I62" s="34" t="n">
        <v>34314317.5696241</v>
      </c>
      <c r="J62" s="34" t="n">
        <v>35744829.8810141</v>
      </c>
      <c r="K62" s="34" t="n">
        <v>37018913.0453617</v>
      </c>
      <c r="L62" s="34" t="n">
        <v>38258050.056058</v>
      </c>
    </row>
    <row r="63" customFormat="false" ht="15" hidden="false" customHeight="false" outlineLevel="0" collapsed="false">
      <c r="A63" s="53" t="s">
        <v>790</v>
      </c>
      <c r="B63" s="19" t="s">
        <v>791</v>
      </c>
      <c r="C63" s="20" t="s">
        <v>32</v>
      </c>
      <c r="D63" s="53" t="s">
        <v>792</v>
      </c>
      <c r="E63" s="34" t="n">
        <v>-179138.109787027</v>
      </c>
      <c r="F63" s="34" t="n">
        <v>-82161.2686567048</v>
      </c>
      <c r="G63" s="34" t="n">
        <v>2550321.1234836</v>
      </c>
      <c r="H63" s="34" t="n">
        <v>3967355.33681198</v>
      </c>
      <c r="I63" s="34" t="n">
        <v>5147147.63544362</v>
      </c>
      <c r="J63" s="34" t="n">
        <v>5361724.48215212</v>
      </c>
      <c r="K63" s="34" t="n">
        <v>5552836.95680425</v>
      </c>
      <c r="L63" s="34" t="n">
        <v>5738707.5084087</v>
      </c>
    </row>
    <row r="64" customFormat="false" ht="15" hidden="false" customHeight="false" outlineLevel="0" collapsed="false">
      <c r="A64" s="53" t="s">
        <v>793</v>
      </c>
      <c r="B64" s="19" t="s">
        <v>62</v>
      </c>
      <c r="C64" s="20" t="s">
        <v>32</v>
      </c>
      <c r="D64" s="53" t="s">
        <v>794</v>
      </c>
      <c r="E64" s="34" t="n">
        <v>-1015115.95545982</v>
      </c>
      <c r="F64" s="34" t="n">
        <v>-465580.522387993</v>
      </c>
      <c r="G64" s="34" t="n">
        <v>14451819.6997404</v>
      </c>
      <c r="H64" s="34" t="n">
        <v>22481680.2419345</v>
      </c>
      <c r="I64" s="34" t="n">
        <v>29167169.9341805</v>
      </c>
      <c r="J64" s="34" t="n">
        <v>30383105.398862</v>
      </c>
      <c r="K64" s="34" t="n">
        <v>31466076.0885574</v>
      </c>
      <c r="L64" s="34" t="n">
        <v>32519342.5476493</v>
      </c>
    </row>
    <row r="65" customFormat="false" ht="15" hidden="false" customHeight="false" outlineLevel="0" collapsed="false">
      <c r="A65" s="53" t="s">
        <v>795</v>
      </c>
      <c r="B65" s="19" t="s">
        <v>796</v>
      </c>
      <c r="C65" s="20" t="s">
        <v>32</v>
      </c>
      <c r="D65" s="53" t="s">
        <v>797</v>
      </c>
      <c r="E65" s="34" t="n">
        <v>0</v>
      </c>
      <c r="F65" s="34" t="n">
        <v>672142.908531994</v>
      </c>
      <c r="G65" s="34" t="n">
        <v>2747028.09070536</v>
      </c>
      <c r="H65" s="34" t="n">
        <v>2800987.89677679</v>
      </c>
      <c r="I65" s="34" t="n">
        <v>2854947.70284821</v>
      </c>
      <c r="J65" s="34" t="n">
        <v>2908907.50891964</v>
      </c>
      <c r="K65" s="34" t="n">
        <v>2962867.31499107</v>
      </c>
      <c r="L65" s="34" t="n">
        <v>3016827.1210625</v>
      </c>
    </row>
    <row r="66" customFormat="false" ht="15" hidden="false" customHeight="false" outlineLevel="0" collapsed="false">
      <c r="A66" s="53" t="s">
        <v>798</v>
      </c>
      <c r="B66" s="19" t="s">
        <v>61</v>
      </c>
      <c r="C66" s="20" t="s">
        <v>32</v>
      </c>
      <c r="D66" s="53" t="s">
        <v>799</v>
      </c>
      <c r="E66" s="34" t="n">
        <v>-1194254.06524685</v>
      </c>
      <c r="F66" s="34" t="n">
        <v>731448.935790868</v>
      </c>
      <c r="G66" s="34" t="n">
        <v>21996151.8831724</v>
      </c>
      <c r="H66" s="34" t="n">
        <v>31098348.1760297</v>
      </c>
      <c r="I66" s="34" t="n">
        <v>38582690.0434478</v>
      </c>
      <c r="J66" s="34" t="n">
        <v>39632262.2313783</v>
      </c>
      <c r="K66" s="34" t="n">
        <v>40525405.2722664</v>
      </c>
      <c r="L66" s="34" t="n">
        <v>41437964.6506946</v>
      </c>
    </row>
    <row r="67" customFormat="false" ht="15" hidden="false" customHeight="false" outlineLevel="0" collapsed="false">
      <c r="A67" s="53" t="s">
        <v>800</v>
      </c>
      <c r="B67" s="19" t="s">
        <v>801</v>
      </c>
      <c r="C67" s="20" t="s">
        <v>32</v>
      </c>
      <c r="D67" s="53" t="s">
        <v>802</v>
      </c>
      <c r="E67" s="34" t="n">
        <v>0</v>
      </c>
      <c r="F67" s="34" t="n">
        <v>26382.3386361607</v>
      </c>
      <c r="G67" s="34" t="n">
        <v>105529.354544643</v>
      </c>
      <c r="H67" s="34" t="n">
        <v>105529.354544643</v>
      </c>
      <c r="I67" s="34" t="n">
        <v>105529.354544643</v>
      </c>
      <c r="J67" s="34" t="n">
        <v>105529.354544643</v>
      </c>
      <c r="K67" s="34" t="n">
        <v>105529.354544643</v>
      </c>
      <c r="L67" s="34" t="n">
        <v>105529.354544643</v>
      </c>
    </row>
    <row r="68" customFormat="false" ht="15" hidden="false" customHeight="false" outlineLevel="0" collapsed="false">
      <c r="A68" s="53" t="s">
        <v>803</v>
      </c>
      <c r="B68" s="19" t="s">
        <v>804</v>
      </c>
      <c r="C68" s="20" t="s">
        <v>32</v>
      </c>
      <c r="D68" s="53" t="s">
        <v>805</v>
      </c>
      <c r="E68" s="34" t="n">
        <v>0</v>
      </c>
      <c r="F68" s="34" t="n">
        <v>233014.780518688</v>
      </c>
      <c r="G68" s="34" t="n">
        <v>1014598.57878761</v>
      </c>
      <c r="H68" s="34" t="n">
        <v>1337150.46492738</v>
      </c>
      <c r="I68" s="34" t="n">
        <v>1585583.83830092</v>
      </c>
      <c r="J68" s="34" t="n">
        <v>1598323.72674354</v>
      </c>
      <c r="K68" s="34" t="n">
        <v>1611343.89273189</v>
      </c>
      <c r="L68" s="34" t="n">
        <v>1624650.502372</v>
      </c>
    </row>
    <row r="69" customFormat="false" ht="15" hidden="false" customHeight="false" outlineLevel="0" collapsed="false">
      <c r="A69" s="53" t="s">
        <v>806</v>
      </c>
      <c r="B69" s="19" t="s">
        <v>807</v>
      </c>
      <c r="C69" s="20" t="s">
        <v>32</v>
      </c>
      <c r="D69" s="53" t="s">
        <v>808</v>
      </c>
      <c r="E69" s="34" t="n">
        <v>0</v>
      </c>
      <c r="F69" s="34" t="n">
        <v>9058233.40746031</v>
      </c>
      <c r="G69" s="34" t="n">
        <v>47577491.5603378</v>
      </c>
      <c r="H69" s="34" t="n">
        <v>63164550.9175715</v>
      </c>
      <c r="I69" s="34" t="n">
        <v>76218662.3391351</v>
      </c>
      <c r="J69" s="34" t="n">
        <v>78385381.545254</v>
      </c>
      <c r="K69" s="34" t="n">
        <v>80109859.9392496</v>
      </c>
      <c r="L69" s="34" t="n">
        <v>81872276.857913</v>
      </c>
    </row>
    <row r="70" customFormat="false" ht="15" hidden="false" customHeight="false" outlineLevel="0" collapsed="false">
      <c r="A70" s="60"/>
      <c r="B70" s="10" t="s">
        <v>809</v>
      </c>
    </row>
    <row r="71" customFormat="false" ht="15" hidden="false" customHeight="false" outlineLevel="0" collapsed="false">
      <c r="A71" s="53" t="s">
        <v>810</v>
      </c>
      <c r="B71" s="19" t="s">
        <v>301</v>
      </c>
      <c r="C71" s="20" t="s">
        <v>32</v>
      </c>
      <c r="D71" s="53" t="s">
        <v>811</v>
      </c>
      <c r="E71" s="34" t="n">
        <v>0</v>
      </c>
      <c r="F71" s="34" t="n">
        <v>3497193.11069234</v>
      </c>
      <c r="G71" s="34" t="n">
        <v>15362010.073546</v>
      </c>
      <c r="H71" s="34" t="n">
        <v>20530735.6167529</v>
      </c>
      <c r="I71" s="34" t="n">
        <v>24685190.3533194</v>
      </c>
      <c r="J71" s="34" t="n">
        <v>25228264.5410924</v>
      </c>
      <c r="K71" s="34" t="n">
        <v>25783286.3609964</v>
      </c>
      <c r="L71" s="34" t="n">
        <v>26350518.6609384</v>
      </c>
    </row>
    <row r="72" customFormat="false" ht="15" hidden="false" customHeight="false" outlineLevel="0" collapsed="false">
      <c r="A72" s="53" t="s">
        <v>812</v>
      </c>
      <c r="B72" s="19" t="s">
        <v>295</v>
      </c>
      <c r="C72" s="20" t="s">
        <v>32</v>
      </c>
      <c r="D72" s="53" t="s">
        <v>813</v>
      </c>
      <c r="E72" s="34" t="n">
        <v>0</v>
      </c>
      <c r="F72" s="34" t="n">
        <v>375595.881475553</v>
      </c>
      <c r="G72" s="34" t="n">
        <v>1649868.20349407</v>
      </c>
      <c r="H72" s="34" t="n">
        <v>2204985.39750046</v>
      </c>
      <c r="I72" s="34" t="n">
        <v>2651170.67793585</v>
      </c>
      <c r="J72" s="34" t="n">
        <v>2709496.43285044</v>
      </c>
      <c r="K72" s="34" t="n">
        <v>2769105.35437315</v>
      </c>
      <c r="L72" s="34" t="n">
        <v>2830025.67216936</v>
      </c>
    </row>
    <row r="73" customFormat="false" ht="15" hidden="false" customHeight="false" outlineLevel="0" collapsed="false">
      <c r="A73" s="53" t="s">
        <v>814</v>
      </c>
      <c r="B73" s="19" t="s">
        <v>815</v>
      </c>
      <c r="C73" s="20" t="s">
        <v>32</v>
      </c>
      <c r="D73" s="53" t="s">
        <v>816</v>
      </c>
      <c r="E73" s="34" t="n">
        <v>0</v>
      </c>
      <c r="F73" s="34" t="n">
        <v>187583.888966231</v>
      </c>
      <c r="G73" s="34" t="n">
        <v>798120.722992851</v>
      </c>
      <c r="H73" s="34" t="n">
        <v>969024.434846021</v>
      </c>
      <c r="I73" s="34" t="n">
        <v>1107881.95779626</v>
      </c>
      <c r="J73" s="34" t="n">
        <v>1132255.36086778</v>
      </c>
      <c r="K73" s="34" t="n">
        <v>1157164.97880687</v>
      </c>
      <c r="L73" s="34" t="n">
        <v>1182622.60834062</v>
      </c>
    </row>
    <row r="74" customFormat="false" ht="15" hidden="false" customHeight="false" outlineLevel="0" collapsed="false">
      <c r="A74" s="53" t="s">
        <v>817</v>
      </c>
      <c r="B74" s="19" t="s">
        <v>818</v>
      </c>
      <c r="C74" s="20" t="s">
        <v>32</v>
      </c>
      <c r="D74" s="53" t="s">
        <v>819</v>
      </c>
      <c r="E74" s="34" t="n">
        <v>0</v>
      </c>
      <c r="F74" s="34" t="n">
        <v>72356.5877125413</v>
      </c>
      <c r="G74" s="34" t="n">
        <v>317838.504808052</v>
      </c>
      <c r="H74" s="34" t="n">
        <v>424778.937118084</v>
      </c>
      <c r="I74" s="34" t="n">
        <v>510734.204393743</v>
      </c>
      <c r="J74" s="34" t="n">
        <v>521970.356890405</v>
      </c>
      <c r="K74" s="34" t="n">
        <v>533453.704741994</v>
      </c>
      <c r="L74" s="34" t="n">
        <v>545189.686246318</v>
      </c>
    </row>
    <row r="75" customFormat="false" ht="15" hidden="false" customHeight="false" outlineLevel="0" collapsed="false">
      <c r="A75" s="53" t="s">
        <v>820</v>
      </c>
      <c r="B75" s="19" t="s">
        <v>821</v>
      </c>
      <c r="C75" s="20" t="s">
        <v>32</v>
      </c>
      <c r="D75" s="53" t="s">
        <v>822</v>
      </c>
      <c r="E75" s="34" t="n">
        <v>0</v>
      </c>
      <c r="F75" s="34" t="n">
        <v>0</v>
      </c>
      <c r="G75" s="34" t="n">
        <v>0</v>
      </c>
      <c r="H75" s="34" t="n">
        <v>0</v>
      </c>
      <c r="I75" s="34" t="n">
        <v>0</v>
      </c>
      <c r="J75" s="34" t="n">
        <v>0</v>
      </c>
      <c r="K75" s="34" t="n">
        <v>0</v>
      </c>
      <c r="L75" s="34" t="n">
        <v>0</v>
      </c>
    </row>
    <row r="76" customFormat="false" ht="15" hidden="false" customHeight="false" outlineLevel="0" collapsed="false">
      <c r="A76" s="53" t="s">
        <v>823</v>
      </c>
      <c r="B76" s="19" t="s">
        <v>824</v>
      </c>
      <c r="C76" s="20" t="s">
        <v>32</v>
      </c>
      <c r="D76" s="53" t="s">
        <v>825</v>
      </c>
      <c r="E76" s="34" t="n">
        <v>367182.220569129</v>
      </c>
      <c r="F76" s="34" t="n">
        <v>1522055.83050613</v>
      </c>
      <c r="G76" s="34" t="n">
        <v>1545971.55621953</v>
      </c>
      <c r="H76" s="34" t="n">
        <v>1579815.83120086</v>
      </c>
      <c r="I76" s="34" t="n">
        <v>1614557.01552136</v>
      </c>
      <c r="J76" s="34" t="n">
        <v>1650077.26986283</v>
      </c>
      <c r="K76" s="34" t="n">
        <v>1686378.96979982</v>
      </c>
      <c r="L76" s="34" t="n">
        <v>1723479.30713541</v>
      </c>
    </row>
    <row r="77" customFormat="false" ht="15" hidden="false" customHeight="false" outlineLevel="0" collapsed="false">
      <c r="A77" s="53" t="s">
        <v>826</v>
      </c>
      <c r="B77" s="19" t="s">
        <v>827</v>
      </c>
      <c r="C77" s="20" t="s">
        <v>32</v>
      </c>
      <c r="D77" s="53" t="s">
        <v>828</v>
      </c>
      <c r="E77" s="34" t="n">
        <v>44061.8664682954</v>
      </c>
      <c r="F77" s="34" t="n">
        <v>182646.699660735</v>
      </c>
      <c r="G77" s="34" t="n">
        <v>185516.586746344</v>
      </c>
      <c r="H77" s="34" t="n">
        <v>189577.899744103</v>
      </c>
      <c r="I77" s="34" t="n">
        <v>193746.841862564</v>
      </c>
      <c r="J77" s="34" t="n">
        <v>198009.27238354</v>
      </c>
      <c r="K77" s="34" t="n">
        <v>202365.476375978</v>
      </c>
      <c r="L77" s="34" t="n">
        <v>206817.516856249</v>
      </c>
    </row>
    <row r="78" customFormat="false" ht="15" hidden="false" customHeight="false" outlineLevel="0" collapsed="false">
      <c r="A78" s="53" t="s">
        <v>829</v>
      </c>
      <c r="B78" s="19" t="s">
        <v>830</v>
      </c>
      <c r="C78" s="20" t="s">
        <v>32</v>
      </c>
      <c r="D78" s="53" t="s">
        <v>831</v>
      </c>
      <c r="E78" s="34" t="n">
        <v>0</v>
      </c>
      <c r="F78" s="34" t="n">
        <v>544620.483137619</v>
      </c>
      <c r="G78" s="34" t="n">
        <v>2236938.38912786</v>
      </c>
      <c r="H78" s="34" t="n">
        <v>2290898.19519929</v>
      </c>
      <c r="I78" s="34" t="n">
        <v>2344858.00127071</v>
      </c>
      <c r="J78" s="34" t="n">
        <v>2398817.80734214</v>
      </c>
      <c r="K78" s="34" t="n">
        <v>2452777.61341357</v>
      </c>
      <c r="L78" s="34" t="n">
        <v>2506737.419485</v>
      </c>
    </row>
    <row r="79" customFormat="false" ht="15" hidden="false" customHeight="false" outlineLevel="0" collapsed="false">
      <c r="A79" s="53" t="s">
        <v>832</v>
      </c>
      <c r="B79" s="19" t="s">
        <v>833</v>
      </c>
      <c r="C79" s="20" t="s">
        <v>32</v>
      </c>
      <c r="D79" s="53" t="s">
        <v>834</v>
      </c>
      <c r="E79" s="34" t="n">
        <v>0</v>
      </c>
      <c r="F79" s="34" t="n">
        <v>144249.287126937</v>
      </c>
      <c r="G79" s="34" t="n">
        <v>633639.302093656</v>
      </c>
      <c r="H79" s="34" t="n">
        <v>846834.556505783</v>
      </c>
      <c r="I79" s="34" t="n">
        <v>1018194.0197046</v>
      </c>
      <c r="J79" s="34" t="n">
        <v>1040594.2881381</v>
      </c>
      <c r="K79" s="34" t="n">
        <v>1063487.36247714</v>
      </c>
      <c r="L79" s="34" t="n">
        <v>1086884.08445164</v>
      </c>
    </row>
    <row r="80" customFormat="false" ht="15" hidden="false" customHeight="false" outlineLevel="0" collapsed="false">
      <c r="A80" s="53" t="s">
        <v>835</v>
      </c>
      <c r="B80" s="19" t="s">
        <v>836</v>
      </c>
      <c r="C80" s="20" t="s">
        <v>32</v>
      </c>
      <c r="D80" s="53" t="s">
        <v>837</v>
      </c>
      <c r="E80" s="34" t="n">
        <v>0</v>
      </c>
      <c r="F80" s="34" t="n">
        <v>13320.9330409666</v>
      </c>
      <c r="G80" s="34" t="n">
        <v>58514.44317979</v>
      </c>
      <c r="H80" s="34" t="n">
        <v>78202.3027542824</v>
      </c>
      <c r="I80" s="34" t="n">
        <v>94026.7687233843</v>
      </c>
      <c r="J80" s="34" t="n">
        <v>96095.3576352987</v>
      </c>
      <c r="K80" s="34" t="n">
        <v>98209.4555032753</v>
      </c>
      <c r="L80" s="34" t="n">
        <v>100370.063524347</v>
      </c>
    </row>
    <row r="81" customFormat="false" ht="15" hidden="false" customHeight="false" outlineLevel="0" collapsed="false">
      <c r="A81" s="53" t="s">
        <v>838</v>
      </c>
      <c r="B81" s="19" t="s">
        <v>839</v>
      </c>
      <c r="C81" s="20" t="s">
        <v>32</v>
      </c>
      <c r="D81" s="53" t="s">
        <v>840</v>
      </c>
      <c r="E81" s="34" t="n">
        <v>411244.087037424</v>
      </c>
      <c r="F81" s="34" t="n">
        <v>6539622.70231905</v>
      </c>
      <c r="G81" s="34" t="n">
        <v>22788417.7822081</v>
      </c>
      <c r="H81" s="34" t="n">
        <v>29114853.1716218</v>
      </c>
      <c r="I81" s="34" t="n">
        <v>34220359.8405279</v>
      </c>
      <c r="J81" s="34" t="n">
        <v>34975580.6870629</v>
      </c>
      <c r="K81" s="34" t="n">
        <v>35746229.2764882</v>
      </c>
      <c r="L81" s="34" t="n">
        <v>36532645.0191473</v>
      </c>
    </row>
    <row r="82" customFormat="false" ht="15" hidden="false" customHeight="false" outlineLevel="0" collapsed="false">
      <c r="A82" s="53" t="s">
        <v>841</v>
      </c>
      <c r="B82" s="19" t="s">
        <v>842</v>
      </c>
      <c r="C82" s="20" t="s">
        <v>32</v>
      </c>
      <c r="D82" s="53" t="s">
        <v>843</v>
      </c>
      <c r="E82" s="34" t="n">
        <v>0</v>
      </c>
      <c r="F82" s="34" t="n">
        <v>0</v>
      </c>
      <c r="G82" s="34" t="n">
        <v>0</v>
      </c>
      <c r="H82" s="34" t="n">
        <v>0</v>
      </c>
      <c r="I82" s="34" t="n">
        <v>0</v>
      </c>
      <c r="J82" s="34" t="n">
        <v>0</v>
      </c>
      <c r="K82" s="34" t="n">
        <v>0</v>
      </c>
      <c r="L82" s="34" t="n">
        <v>0</v>
      </c>
    </row>
    <row r="83" customFormat="false" ht="15" hidden="false" customHeight="false" outlineLevel="0" collapsed="false">
      <c r="A83" s="53" t="s">
        <v>844</v>
      </c>
      <c r="B83" s="19" t="s">
        <v>845</v>
      </c>
      <c r="C83" s="20" t="s">
        <v>32</v>
      </c>
      <c r="D83" s="53" t="s">
        <v>846</v>
      </c>
      <c r="E83" s="34" t="n">
        <v>0</v>
      </c>
      <c r="F83" s="34" t="n">
        <v>4056158.57297142</v>
      </c>
      <c r="G83" s="34" t="n">
        <v>17817360.061524</v>
      </c>
      <c r="H83" s="34" t="n">
        <v>23812216.4391476</v>
      </c>
      <c r="I83" s="34" t="n">
        <v>28630688.4715398</v>
      </c>
      <c r="J83" s="34" t="n">
        <v>29260563.6179137</v>
      </c>
      <c r="K83" s="34" t="n">
        <v>29904296.0175078</v>
      </c>
      <c r="L83" s="34" t="n">
        <v>30562190.529893</v>
      </c>
    </row>
    <row r="84" customFormat="false" ht="15" hidden="false" customHeight="false" outlineLevel="0" collapsed="false">
      <c r="A84" s="60"/>
      <c r="B84" s="10" t="s">
        <v>847</v>
      </c>
    </row>
    <row r="85" customFormat="false" ht="15" hidden="false" customHeight="false" outlineLevel="0" collapsed="false">
      <c r="A85" s="53" t="s">
        <v>848</v>
      </c>
      <c r="B85" s="19" t="s">
        <v>849</v>
      </c>
      <c r="C85" s="20" t="s">
        <v>32</v>
      </c>
      <c r="D85" s="53" t="s">
        <v>850</v>
      </c>
      <c r="E85" s="34" t="n">
        <v>89561.3142243003</v>
      </c>
      <c r="F85" s="34" t="n">
        <v>371252.508608933</v>
      </c>
      <c r="G85" s="34" t="n">
        <v>377085.916942813</v>
      </c>
      <c r="H85" s="34" t="n">
        <v>385341.049072027</v>
      </c>
      <c r="I85" s="34" t="n">
        <v>393814.950996336</v>
      </c>
      <c r="J85" s="34" t="n">
        <v>402478.879918256</v>
      </c>
      <c r="K85" s="34" t="n">
        <v>411333.415276458</v>
      </c>
      <c r="L85" s="34" t="n">
        <v>420382.75041254</v>
      </c>
    </row>
    <row r="86" customFormat="false" ht="15" hidden="false" customHeight="false" outlineLevel="0" collapsed="false">
      <c r="A86" s="53" t="s">
        <v>851</v>
      </c>
      <c r="B86" s="19" t="s">
        <v>852</v>
      </c>
      <c r="C86" s="20" t="s">
        <v>32</v>
      </c>
      <c r="D86" s="53" t="s">
        <v>853</v>
      </c>
      <c r="E86" s="34" t="n">
        <v>653582.154126236</v>
      </c>
      <c r="F86" s="34" t="n">
        <v>2650825.03553061</v>
      </c>
      <c r="G86" s="34" t="n">
        <v>2709090.10207161</v>
      </c>
      <c r="H86" s="34" t="n">
        <v>2768690.08431719</v>
      </c>
      <c r="I86" s="34" t="n">
        <v>2829601.26617216</v>
      </c>
      <c r="J86" s="34" t="n">
        <v>2891852.49402795</v>
      </c>
      <c r="K86" s="34" t="n">
        <v>2955473.24889657</v>
      </c>
      <c r="L86" s="34" t="n">
        <v>3020493.66037229</v>
      </c>
    </row>
    <row r="87" customFormat="false" ht="15" hidden="false" customHeight="false" outlineLevel="0" collapsed="false">
      <c r="A87" s="53" t="s">
        <v>854</v>
      </c>
      <c r="B87" s="19" t="s">
        <v>855</v>
      </c>
      <c r="C87" s="20" t="s">
        <v>32</v>
      </c>
      <c r="D87" s="53" t="s">
        <v>856</v>
      </c>
      <c r="E87" s="34" t="n">
        <v>16449.763481497</v>
      </c>
      <c r="F87" s="34" t="n">
        <v>285091.255804559</v>
      </c>
      <c r="G87" s="34" t="n">
        <v>1059946.6335249</v>
      </c>
      <c r="H87" s="34" t="n">
        <v>1388780.95364476</v>
      </c>
      <c r="I87" s="34" t="n">
        <v>1656113.38526596</v>
      </c>
      <c r="J87" s="34" t="n">
        <v>1694997.4229151</v>
      </c>
      <c r="K87" s="34" t="n">
        <v>1732287.36621923</v>
      </c>
      <c r="L87" s="34" t="n">
        <v>1770397.68827606</v>
      </c>
    </row>
    <row r="88" customFormat="false" ht="15" hidden="false" customHeight="false" outlineLevel="0" collapsed="false">
      <c r="A88" s="53" t="s">
        <v>857</v>
      </c>
      <c r="B88" s="19" t="s">
        <v>858</v>
      </c>
      <c r="C88" s="20" t="s">
        <v>32</v>
      </c>
      <c r="D88" s="53" t="s">
        <v>859</v>
      </c>
      <c r="E88" s="34" t="n">
        <v>0</v>
      </c>
      <c r="F88" s="34" t="n">
        <v>101140.086758214</v>
      </c>
      <c r="G88" s="34" t="n">
        <v>404560.347032858</v>
      </c>
      <c r="H88" s="34" t="n">
        <v>404560.347032858</v>
      </c>
      <c r="I88" s="34" t="n">
        <v>404560.347032858</v>
      </c>
      <c r="J88" s="34" t="n">
        <v>404560.347032858</v>
      </c>
      <c r="K88" s="34" t="n">
        <v>404560.347032858</v>
      </c>
      <c r="L88" s="34" t="n">
        <v>404560.347032858</v>
      </c>
    </row>
    <row r="89" customFormat="false" ht="15" hidden="false" customHeight="false" outlineLevel="0" collapsed="false">
      <c r="A89" s="53" t="s">
        <v>860</v>
      </c>
      <c r="B89" s="19" t="s">
        <v>861</v>
      </c>
      <c r="C89" s="20" t="s">
        <v>32</v>
      </c>
      <c r="D89" s="53" t="s">
        <v>862</v>
      </c>
      <c r="E89" s="34" t="n">
        <v>23416.7463773891</v>
      </c>
      <c r="F89" s="34" t="n">
        <v>186043.420382511</v>
      </c>
      <c r="G89" s="34" t="n">
        <v>493952.040912392</v>
      </c>
      <c r="H89" s="34" t="n">
        <v>627335.341269129</v>
      </c>
      <c r="I89" s="34" t="n">
        <v>735100.628833832</v>
      </c>
      <c r="J89" s="34" t="n">
        <v>751321.833531642</v>
      </c>
      <c r="K89" s="34" t="n">
        <v>767850.913869338</v>
      </c>
      <c r="L89" s="34" t="n">
        <v>784743.633974464</v>
      </c>
    </row>
    <row r="90" customFormat="false" ht="15" hidden="false" customHeight="false" outlineLevel="0" collapsed="false">
      <c r="A90" s="53" t="s">
        <v>863</v>
      </c>
      <c r="B90" s="19" t="s">
        <v>864</v>
      </c>
      <c r="C90" s="20" t="s">
        <v>32</v>
      </c>
      <c r="D90" s="53" t="s">
        <v>865</v>
      </c>
      <c r="E90" s="34" t="n">
        <v>0</v>
      </c>
      <c r="F90" s="34" t="n">
        <v>131837.118272321</v>
      </c>
      <c r="G90" s="34" t="n">
        <v>515884.375848214</v>
      </c>
      <c r="H90" s="34" t="n">
        <v>505302.132241071</v>
      </c>
      <c r="I90" s="34" t="n">
        <v>494719.888633929</v>
      </c>
      <c r="J90" s="34" t="n">
        <v>484137.645026786</v>
      </c>
      <c r="K90" s="34" t="n">
        <v>473555.401419643</v>
      </c>
      <c r="L90" s="34" t="n">
        <v>462973.1578125</v>
      </c>
    </row>
    <row r="91" customFormat="false" ht="15" hidden="false" customHeight="false" outlineLevel="0" collapsed="false">
      <c r="A91" s="53" t="s">
        <v>866</v>
      </c>
      <c r="B91" s="19" t="s">
        <v>867</v>
      </c>
      <c r="C91" s="20" t="s">
        <v>32</v>
      </c>
      <c r="D91" s="53" t="s">
        <v>868</v>
      </c>
      <c r="E91" s="34" t="n">
        <v>0</v>
      </c>
      <c r="F91" s="34" t="n">
        <v>0</v>
      </c>
      <c r="G91" s="34" t="n">
        <v>0</v>
      </c>
      <c r="H91" s="34" t="n">
        <v>0</v>
      </c>
      <c r="I91" s="34" t="n">
        <v>0</v>
      </c>
      <c r="J91" s="34" t="n">
        <v>0</v>
      </c>
      <c r="K91" s="34" t="n">
        <v>0</v>
      </c>
      <c r="L91" s="34" t="n">
        <v>0</v>
      </c>
    </row>
    <row r="92" customFormat="false" ht="15" hidden="false" customHeight="false" outlineLevel="0" collapsed="false">
      <c r="A92" s="53" t="s">
        <v>869</v>
      </c>
      <c r="B92" s="19" t="s">
        <v>417</v>
      </c>
      <c r="C92" s="20" t="s">
        <v>32</v>
      </c>
      <c r="D92" s="53" t="s">
        <v>870</v>
      </c>
      <c r="E92" s="34" t="n">
        <v>0</v>
      </c>
      <c r="F92" s="34" t="n">
        <v>0</v>
      </c>
      <c r="G92" s="34" t="n">
        <v>0</v>
      </c>
      <c r="H92" s="34" t="n">
        <v>0</v>
      </c>
      <c r="I92" s="34" t="n">
        <v>0</v>
      </c>
      <c r="J92" s="34" t="n">
        <v>0</v>
      </c>
      <c r="K92" s="34" t="n">
        <v>0</v>
      </c>
      <c r="L92" s="34" t="n">
        <v>0</v>
      </c>
    </row>
    <row r="93" customFormat="false" ht="15" hidden="false" customHeight="false" outlineLevel="0" collapsed="false">
      <c r="A93" s="53" t="s">
        <v>871</v>
      </c>
      <c r="B93" s="19" t="s">
        <v>872</v>
      </c>
      <c r="C93" s="20" t="s">
        <v>32</v>
      </c>
      <c r="D93" s="53" t="s">
        <v>873</v>
      </c>
      <c r="E93" s="34" t="n">
        <v>0</v>
      </c>
      <c r="F93" s="34" t="n">
        <v>0</v>
      </c>
      <c r="G93" s="34" t="n">
        <v>0</v>
      </c>
      <c r="H93" s="34" t="n">
        <v>0</v>
      </c>
      <c r="I93" s="34" t="n">
        <v>0</v>
      </c>
      <c r="J93" s="34" t="n">
        <v>0</v>
      </c>
      <c r="K93" s="34" t="n">
        <v>0</v>
      </c>
      <c r="L93" s="34" t="n">
        <v>0</v>
      </c>
    </row>
    <row r="94" customFormat="false" ht="15" hidden="false" customHeight="false" outlineLevel="0" collapsed="false">
      <c r="A94" s="53" t="s">
        <v>874</v>
      </c>
      <c r="B94" s="19" t="s">
        <v>875</v>
      </c>
      <c r="C94" s="20" t="s">
        <v>32</v>
      </c>
      <c r="D94" s="53" t="s">
        <v>876</v>
      </c>
      <c r="E94" s="34" t="n">
        <v>80403.8301129279</v>
      </c>
      <c r="F94" s="34" t="n">
        <v>867145.917641968</v>
      </c>
      <c r="G94" s="34" t="n">
        <v>2710683.35828531</v>
      </c>
      <c r="H94" s="34" t="n">
        <v>3505443.87401274</v>
      </c>
      <c r="I94" s="34" t="n">
        <v>4146349.51599736</v>
      </c>
      <c r="J94" s="34" t="n">
        <v>4237863.1505301</v>
      </c>
      <c r="K94" s="34" t="n">
        <v>4331096.13984176</v>
      </c>
      <c r="L94" s="34" t="n">
        <v>4426380.25491828</v>
      </c>
    </row>
    <row r="95" customFormat="false" ht="15" hidden="false" customHeight="false" outlineLevel="0" collapsed="false">
      <c r="A95" s="53" t="s">
        <v>877</v>
      </c>
      <c r="B95" s="19" t="s">
        <v>878</v>
      </c>
      <c r="C95" s="20" t="s">
        <v>32</v>
      </c>
      <c r="D95" s="53" t="s">
        <v>879</v>
      </c>
      <c r="E95" s="34" t="n">
        <v>2495134.64571429</v>
      </c>
      <c r="F95" s="34" t="n">
        <v>3996230.02467857</v>
      </c>
      <c r="G95" s="34" t="n">
        <v>64751.7672857143</v>
      </c>
      <c r="H95" s="34" t="n">
        <v>64751.7672857143</v>
      </c>
      <c r="I95" s="34" t="n">
        <v>64751.7672857143</v>
      </c>
      <c r="J95" s="34" t="n">
        <v>64751.7672857143</v>
      </c>
      <c r="K95" s="34" t="n">
        <v>64751.7672857143</v>
      </c>
      <c r="L95" s="34" t="n">
        <v>64751.7672857143</v>
      </c>
    </row>
    <row r="96" customFormat="false" ht="15" hidden="false" customHeight="false" outlineLevel="0" collapsed="false">
      <c r="A96" s="53" t="s">
        <v>880</v>
      </c>
      <c r="B96" s="19" t="s">
        <v>881</v>
      </c>
      <c r="C96" s="20" t="s">
        <v>32</v>
      </c>
      <c r="D96" s="53" t="s">
        <v>882</v>
      </c>
      <c r="E96" s="34" t="n">
        <v>-2575538.47582721</v>
      </c>
      <c r="F96" s="34" t="n">
        <v>-4863375.94232054</v>
      </c>
      <c r="G96" s="34" t="n">
        <v>-2775435.12557102</v>
      </c>
      <c r="H96" s="34" t="n">
        <v>-3570195.64129845</v>
      </c>
      <c r="I96" s="34" t="n">
        <v>-4211101.28328307</v>
      </c>
      <c r="J96" s="34" t="n">
        <v>-4302614.91781581</v>
      </c>
      <c r="K96" s="34" t="n">
        <v>-4395847.90712747</v>
      </c>
      <c r="L96" s="34" t="n">
        <v>-4491132.02220399</v>
      </c>
    </row>
    <row r="97" customFormat="false" ht="15" hidden="false" customHeight="false" outlineLevel="0" collapsed="false">
      <c r="A97" s="60"/>
      <c r="B97" s="10" t="s">
        <v>883</v>
      </c>
    </row>
    <row r="98" customFormat="false" ht="23.85" hidden="false" customHeight="false" outlineLevel="0" collapsed="false">
      <c r="A98" s="53" t="s">
        <v>884</v>
      </c>
      <c r="B98" s="19" t="s">
        <v>885</v>
      </c>
      <c r="C98" s="20" t="s">
        <v>32</v>
      </c>
      <c r="D98" s="53" t="s">
        <v>886</v>
      </c>
      <c r="E98" s="34" t="n">
        <v>-3624383.90748514</v>
      </c>
      <c r="F98" s="34" t="n">
        <v>-9222908.50138027</v>
      </c>
      <c r="G98" s="34" t="n">
        <v>27822061.1818091</v>
      </c>
      <c r="H98" s="34" t="n">
        <v>28956210.9824387</v>
      </c>
      <c r="I98" s="34" t="n">
        <v>36817248.0905645</v>
      </c>
      <c r="J98" s="34" t="n">
        <v>39362019.087985</v>
      </c>
      <c r="K98" s="34" t="n">
        <v>40289555.7224746</v>
      </c>
      <c r="L98" s="34" t="n">
        <v>41196926.4108074</v>
      </c>
    </row>
    <row r="99" customFormat="false" ht="15" hidden="false" customHeight="false" outlineLevel="0" collapsed="false">
      <c r="A99" s="53" t="s">
        <v>887</v>
      </c>
      <c r="B99" s="19" t="s">
        <v>888</v>
      </c>
      <c r="C99" s="20" t="s">
        <v>32</v>
      </c>
      <c r="D99" s="53" t="s">
        <v>889</v>
      </c>
      <c r="E99" s="34" t="n">
        <v>0</v>
      </c>
      <c r="F99" s="34" t="n">
        <v>-1919043.57801892</v>
      </c>
      <c r="G99" s="34" t="n">
        <v>-199440.578664643</v>
      </c>
      <c r="H99" s="34" t="n">
        <v>-668428.209282973</v>
      </c>
      <c r="I99" s="34" t="n">
        <v>-537947.061431008</v>
      </c>
      <c r="J99" s="34" t="n">
        <v>-73146.9074027455</v>
      </c>
      <c r="K99" s="34" t="n">
        <v>-74756.1393656069</v>
      </c>
      <c r="L99" s="34" t="n">
        <v>-76400.7744316496</v>
      </c>
    </row>
    <row r="100" customFormat="false" ht="15" hidden="false" customHeight="false" outlineLevel="0" collapsed="false">
      <c r="A100" s="53" t="s">
        <v>890</v>
      </c>
      <c r="B100" s="19" t="s">
        <v>891</v>
      </c>
      <c r="C100" s="20" t="s">
        <v>32</v>
      </c>
      <c r="D100" s="53" t="s">
        <v>892</v>
      </c>
      <c r="E100" s="34" t="n">
        <v>0</v>
      </c>
      <c r="F100" s="34" t="n">
        <v>-3511500.37585394</v>
      </c>
      <c r="G100" s="34" t="n">
        <v>-398978.382529982</v>
      </c>
      <c r="H100" s="34" t="n">
        <v>-1281128.16634798</v>
      </c>
      <c r="I100" s="34" t="n">
        <v>-1072940.66478605</v>
      </c>
      <c r="J100" s="34" t="n">
        <v>-178086.510091957</v>
      </c>
      <c r="K100" s="34" t="n">
        <v>-141737.950191419</v>
      </c>
      <c r="L100" s="34" t="n">
        <v>-144856.18509563</v>
      </c>
    </row>
    <row r="101" customFormat="false" ht="15" hidden="false" customHeight="false" outlineLevel="0" collapsed="false">
      <c r="A101" s="53" t="s">
        <v>893</v>
      </c>
      <c r="B101" s="19" t="s">
        <v>894</v>
      </c>
      <c r="C101" s="20" t="s">
        <v>32</v>
      </c>
      <c r="D101" s="53" t="s">
        <v>895</v>
      </c>
      <c r="E101" s="34" t="n">
        <v>-2573812.52900226</v>
      </c>
      <c r="F101" s="34" t="n">
        <v>-4526930.56522663</v>
      </c>
      <c r="G101" s="34" t="n">
        <v>6416389.22764974</v>
      </c>
      <c r="H101" s="34" t="n">
        <v>-195968.34634375</v>
      </c>
      <c r="I101" s="34" t="n">
        <v>-158031.528160592</v>
      </c>
      <c r="J101" s="34" t="n">
        <v>-22565.0057751947</v>
      </c>
      <c r="K101" s="34" t="n">
        <v>-22988.9562686298</v>
      </c>
      <c r="L101" s="34" t="n">
        <v>-23494.7133065388</v>
      </c>
    </row>
    <row r="102" customFormat="false" ht="15" hidden="false" customHeight="false" outlineLevel="0" collapsed="false">
      <c r="A102" s="53" t="s">
        <v>896</v>
      </c>
      <c r="B102" s="19" t="s">
        <v>897</v>
      </c>
      <c r="C102" s="20" t="s">
        <v>32</v>
      </c>
      <c r="D102" s="53" t="s">
        <v>898</v>
      </c>
      <c r="E102" s="34" t="n">
        <v>0</v>
      </c>
      <c r="F102" s="34" t="n">
        <v>0</v>
      </c>
      <c r="G102" s="34" t="n">
        <v>0</v>
      </c>
      <c r="H102" s="34" t="n">
        <v>0</v>
      </c>
      <c r="I102" s="34" t="n">
        <v>0</v>
      </c>
      <c r="J102" s="34" t="n">
        <v>0</v>
      </c>
      <c r="K102" s="34" t="n">
        <v>0</v>
      </c>
      <c r="L102" s="34" t="n">
        <v>0</v>
      </c>
    </row>
    <row r="103" customFormat="false" ht="15" hidden="false" customHeight="false" outlineLevel="0" collapsed="false">
      <c r="A103" s="53" t="s">
        <v>899</v>
      </c>
      <c r="B103" s="19" t="s">
        <v>900</v>
      </c>
      <c r="C103" s="20" t="s">
        <v>32</v>
      </c>
      <c r="D103" s="53" t="s">
        <v>901</v>
      </c>
      <c r="E103" s="34" t="n">
        <v>143682.686763966</v>
      </c>
      <c r="F103" s="34" t="n">
        <v>3117.08192835757</v>
      </c>
      <c r="G103" s="34" t="n">
        <v>7939.03218160159</v>
      </c>
      <c r="H103" s="34" t="n">
        <v>3387.52838368146</v>
      </c>
      <c r="I103" s="34" t="n">
        <v>3477.30149436943</v>
      </c>
      <c r="J103" s="34" t="n">
        <v>3555.2798765435</v>
      </c>
      <c r="K103" s="34" t="n">
        <v>3633.49603382743</v>
      </c>
      <c r="L103" s="34" t="n">
        <v>3713.43294657167</v>
      </c>
    </row>
    <row r="104" customFormat="false" ht="15" hidden="false" customHeight="false" outlineLevel="0" collapsed="false">
      <c r="A104" s="53" t="s">
        <v>902</v>
      </c>
      <c r="B104" s="19" t="s">
        <v>903</v>
      </c>
      <c r="C104" s="20" t="s">
        <v>32</v>
      </c>
      <c r="D104" s="53" t="s">
        <v>904</v>
      </c>
      <c r="E104" s="34" t="n">
        <v>0</v>
      </c>
      <c r="F104" s="34" t="n">
        <v>1919043.57801892</v>
      </c>
      <c r="G104" s="34" t="n">
        <v>2118484.15668356</v>
      </c>
      <c r="H104" s="34" t="n">
        <v>2786912.36596653</v>
      </c>
      <c r="I104" s="34" t="n">
        <v>3324859.42739754</v>
      </c>
      <c r="J104" s="34" t="n">
        <v>3398006.33480029</v>
      </c>
      <c r="K104" s="34" t="n">
        <v>3472762.47416589</v>
      </c>
      <c r="L104" s="34" t="n">
        <v>3549163.24859754</v>
      </c>
    </row>
    <row r="105" customFormat="false" ht="15" hidden="false" customHeight="false" outlineLevel="0" collapsed="false">
      <c r="A105" s="53" t="s">
        <v>905</v>
      </c>
      <c r="B105" s="19" t="s">
        <v>906</v>
      </c>
      <c r="C105" s="20" t="s">
        <v>32</v>
      </c>
      <c r="D105" s="53" t="s">
        <v>907</v>
      </c>
      <c r="E105" s="34" t="n">
        <v>0</v>
      </c>
      <c r="F105" s="34" t="n">
        <v>3511500.37585394</v>
      </c>
      <c r="G105" s="34" t="n">
        <v>3910478.75838393</v>
      </c>
      <c r="H105" s="34" t="n">
        <v>5191606.9247319</v>
      </c>
      <c r="I105" s="34" t="n">
        <v>6264547.58951796</v>
      </c>
      <c r="J105" s="34" t="n">
        <v>6442634.09960991</v>
      </c>
      <c r="K105" s="34" t="n">
        <v>6584372.04980133</v>
      </c>
      <c r="L105" s="34" t="n">
        <v>6729228.23489696</v>
      </c>
    </row>
    <row r="106" customFormat="false" ht="15" hidden="false" customHeight="false" outlineLevel="0" collapsed="false">
      <c r="A106" s="53" t="s">
        <v>908</v>
      </c>
      <c r="B106" s="19" t="s">
        <v>909</v>
      </c>
      <c r="C106" s="20" t="s">
        <v>32</v>
      </c>
      <c r="D106" s="53" t="s">
        <v>910</v>
      </c>
      <c r="E106" s="34" t="n">
        <v>2573812.52900226</v>
      </c>
      <c r="F106" s="34" t="n">
        <v>7100743.0942289</v>
      </c>
      <c r="G106" s="34" t="n">
        <v>684353.866579156</v>
      </c>
      <c r="H106" s="34" t="n">
        <v>880322.212922906</v>
      </c>
      <c r="I106" s="34" t="n">
        <v>1038353.7410835</v>
      </c>
      <c r="J106" s="34" t="n">
        <v>1060918.74685869</v>
      </c>
      <c r="K106" s="34" t="n">
        <v>1083907.70312732</v>
      </c>
      <c r="L106" s="34" t="n">
        <v>1107402.41643386</v>
      </c>
    </row>
    <row r="107" customFormat="false" ht="15" hidden="false" customHeight="false" outlineLevel="0" collapsed="false">
      <c r="A107" s="53" t="s">
        <v>911</v>
      </c>
      <c r="B107" s="19" t="s">
        <v>912</v>
      </c>
      <c r="C107" s="20" t="s">
        <v>32</v>
      </c>
      <c r="D107" s="53" t="s">
        <v>913</v>
      </c>
      <c r="E107" s="34" t="n">
        <v>0</v>
      </c>
      <c r="F107" s="34" t="n">
        <v>0</v>
      </c>
      <c r="G107" s="34" t="n">
        <v>0</v>
      </c>
      <c r="H107" s="34" t="n">
        <v>0</v>
      </c>
      <c r="I107" s="34" t="n">
        <v>0</v>
      </c>
      <c r="J107" s="34" t="n">
        <v>0</v>
      </c>
      <c r="K107" s="34" t="n">
        <v>0</v>
      </c>
      <c r="L107" s="34" t="n">
        <v>0</v>
      </c>
    </row>
    <row r="108" customFormat="false" ht="15" hidden="false" customHeight="false" outlineLevel="0" collapsed="false">
      <c r="A108" s="53" t="s">
        <v>914</v>
      </c>
      <c r="B108" s="19" t="s">
        <v>915</v>
      </c>
      <c r="C108" s="20" t="s">
        <v>32</v>
      </c>
      <c r="D108" s="53" t="s">
        <v>916</v>
      </c>
      <c r="E108" s="34" t="n">
        <v>143682.686763966</v>
      </c>
      <c r="F108" s="34" t="n">
        <v>146799.768692324</v>
      </c>
      <c r="G108" s="34" t="n">
        <v>154738.800873925</v>
      </c>
      <c r="H108" s="34" t="n">
        <v>158126.329257607</v>
      </c>
      <c r="I108" s="34" t="n">
        <v>161603.630751976</v>
      </c>
      <c r="J108" s="34" t="n">
        <v>165158.91062852</v>
      </c>
      <c r="K108" s="34" t="n">
        <v>168792.406662347</v>
      </c>
      <c r="L108" s="34" t="n">
        <v>172505.839608919</v>
      </c>
    </row>
    <row r="109" customFormat="false" ht="15" hidden="false" customHeight="false" outlineLevel="0" collapsed="false">
      <c r="A109" s="53" t="s">
        <v>917</v>
      </c>
      <c r="B109" s="19" t="s">
        <v>918</v>
      </c>
      <c r="C109" s="20" t="s">
        <v>32</v>
      </c>
      <c r="D109" s="53" t="s">
        <v>919</v>
      </c>
      <c r="E109" s="34" t="n">
        <v>20792788.7142857</v>
      </c>
      <c r="F109" s="34" t="n">
        <v>33301916.8723214</v>
      </c>
      <c r="G109" s="34" t="n">
        <v>539598.060714286</v>
      </c>
      <c r="H109" s="34" t="n">
        <v>539598.060714286</v>
      </c>
      <c r="I109" s="34" t="n">
        <v>539598.060714286</v>
      </c>
      <c r="J109" s="34" t="n">
        <v>539598.060714286</v>
      </c>
      <c r="K109" s="34" t="n">
        <v>539598.060714286</v>
      </c>
      <c r="L109" s="34" t="n">
        <v>539598.060714286</v>
      </c>
    </row>
    <row r="110" customFormat="false" ht="15" hidden="false" customHeight="false" outlineLevel="0" collapsed="false">
      <c r="A110" s="60"/>
      <c r="B110" s="10" t="s">
        <v>920</v>
      </c>
    </row>
    <row r="111" customFormat="false" ht="23.85" hidden="false" customHeight="false" outlineLevel="0" collapsed="false">
      <c r="A111" s="53" t="s">
        <v>921</v>
      </c>
      <c r="B111" s="19" t="s">
        <v>922</v>
      </c>
      <c r="C111" s="20" t="s">
        <v>32</v>
      </c>
      <c r="D111" s="53" t="s">
        <v>923</v>
      </c>
      <c r="E111" s="34" t="n">
        <v>477455.357142857</v>
      </c>
      <c r="F111" s="34" t="n">
        <v>0</v>
      </c>
      <c r="G111" s="34" t="n">
        <v>0</v>
      </c>
      <c r="H111" s="34" t="n">
        <v>0</v>
      </c>
      <c r="I111" s="34" t="n">
        <v>0</v>
      </c>
      <c r="J111" s="34" t="n">
        <v>0</v>
      </c>
      <c r="K111" s="34" t="n">
        <v>0</v>
      </c>
      <c r="L111" s="34" t="n">
        <v>0</v>
      </c>
    </row>
    <row r="112" customFormat="false" ht="15" hidden="false" customHeight="false" outlineLevel="0" collapsed="false">
      <c r="A112" s="53" t="s">
        <v>924</v>
      </c>
      <c r="B112" s="19" t="s">
        <v>925</v>
      </c>
      <c r="C112" s="20" t="s">
        <v>32</v>
      </c>
      <c r="D112" s="53" t="s">
        <v>923</v>
      </c>
      <c r="E112" s="34" t="n">
        <v>0</v>
      </c>
      <c r="F112" s="34" t="n">
        <v>2387.27678571429</v>
      </c>
      <c r="G112" s="34" t="n">
        <v>9549.10714285714</v>
      </c>
      <c r="H112" s="34" t="n">
        <v>9549.10714285714</v>
      </c>
      <c r="I112" s="34" t="n">
        <v>9549.10714285714</v>
      </c>
      <c r="J112" s="34" t="n">
        <v>9549.10714285714</v>
      </c>
      <c r="K112" s="34" t="n">
        <v>9549.10714285714</v>
      </c>
      <c r="L112" s="34" t="n">
        <v>9549.10714285714</v>
      </c>
    </row>
    <row r="113" customFormat="false" ht="23.85" hidden="false" customHeight="false" outlineLevel="0" collapsed="false">
      <c r="A113" s="53" t="s">
        <v>926</v>
      </c>
      <c r="B113" s="19" t="s">
        <v>927</v>
      </c>
      <c r="C113" s="20" t="s">
        <v>32</v>
      </c>
      <c r="D113" s="53" t="s">
        <v>928</v>
      </c>
      <c r="E113" s="34" t="n">
        <v>3989601.54922795</v>
      </c>
      <c r="F113" s="34" t="n">
        <v>3989601.54922795</v>
      </c>
      <c r="G113" s="34" t="n">
        <v>0</v>
      </c>
      <c r="H113" s="34" t="n">
        <v>0</v>
      </c>
      <c r="I113" s="34" t="n">
        <v>0</v>
      </c>
      <c r="J113" s="34" t="n">
        <v>0</v>
      </c>
      <c r="K113" s="34" t="n">
        <v>0</v>
      </c>
      <c r="L113" s="34" t="n">
        <v>0</v>
      </c>
    </row>
    <row r="114" customFormat="false" ht="15" hidden="false" customHeight="false" outlineLevel="0" collapsed="false">
      <c r="A114" s="53" t="s">
        <v>929</v>
      </c>
      <c r="B114" s="19" t="s">
        <v>930</v>
      </c>
      <c r="C114" s="20" t="s">
        <v>32</v>
      </c>
      <c r="D114" s="53" t="s">
        <v>928</v>
      </c>
      <c r="E114" s="34" t="n">
        <v>0</v>
      </c>
      <c r="F114" s="34" t="n">
        <v>39896.0154922795</v>
      </c>
      <c r="G114" s="34" t="n">
        <v>159584.061969118</v>
      </c>
      <c r="H114" s="34" t="n">
        <v>159584.061969118</v>
      </c>
      <c r="I114" s="34" t="n">
        <v>159584.061969118</v>
      </c>
      <c r="J114" s="34" t="n">
        <v>159584.061969118</v>
      </c>
      <c r="K114" s="34" t="n">
        <v>159584.061969118</v>
      </c>
      <c r="L114" s="34" t="n">
        <v>159584.061969118</v>
      </c>
    </row>
    <row r="115" customFormat="false" ht="23.85" hidden="false" customHeight="false" outlineLevel="0" collapsed="false">
      <c r="A115" s="53" t="s">
        <v>931</v>
      </c>
      <c r="B115" s="19" t="s">
        <v>932</v>
      </c>
      <c r="C115" s="20" t="s">
        <v>32</v>
      </c>
      <c r="D115" s="53" t="s">
        <v>933</v>
      </c>
      <c r="E115" s="34" t="n">
        <v>4226733.45077205</v>
      </c>
      <c r="F115" s="34" t="n">
        <v>4226733.45077205</v>
      </c>
      <c r="G115" s="34" t="n">
        <v>0</v>
      </c>
      <c r="H115" s="34" t="n">
        <v>0</v>
      </c>
      <c r="I115" s="34" t="n">
        <v>0</v>
      </c>
      <c r="J115" s="34" t="n">
        <v>0</v>
      </c>
      <c r="K115" s="34" t="n">
        <v>0</v>
      </c>
      <c r="L115" s="34" t="n">
        <v>0</v>
      </c>
    </row>
    <row r="116" customFormat="false" ht="15" hidden="false" customHeight="false" outlineLevel="0" collapsed="false">
      <c r="A116" s="53" t="s">
        <v>934</v>
      </c>
      <c r="B116" s="19" t="s">
        <v>935</v>
      </c>
      <c r="C116" s="20" t="s">
        <v>32</v>
      </c>
      <c r="D116" s="53" t="s">
        <v>933</v>
      </c>
      <c r="E116" s="34" t="n">
        <v>0</v>
      </c>
      <c r="F116" s="34" t="n">
        <v>42267.3345077205</v>
      </c>
      <c r="G116" s="34" t="n">
        <v>169069.338030882</v>
      </c>
      <c r="H116" s="34" t="n">
        <v>169069.338030882</v>
      </c>
      <c r="I116" s="34" t="n">
        <v>169069.338030882</v>
      </c>
      <c r="J116" s="34" t="n">
        <v>169069.338030882</v>
      </c>
      <c r="K116" s="34" t="n">
        <v>169069.338030882</v>
      </c>
      <c r="L116" s="34" t="n">
        <v>169069.338030882</v>
      </c>
    </row>
    <row r="117" customFormat="false" ht="23.85" hidden="false" customHeight="false" outlineLevel="0" collapsed="false">
      <c r="A117" s="53" t="s">
        <v>936</v>
      </c>
      <c r="B117" s="19" t="s">
        <v>937</v>
      </c>
      <c r="C117" s="20" t="s">
        <v>32</v>
      </c>
      <c r="D117" s="53" t="s">
        <v>938</v>
      </c>
      <c r="E117" s="34" t="n">
        <v>200000</v>
      </c>
      <c r="F117" s="34" t="n">
        <v>8036950</v>
      </c>
      <c r="G117" s="34" t="n">
        <v>0</v>
      </c>
      <c r="H117" s="34" t="n">
        <v>0</v>
      </c>
      <c r="I117" s="34" t="n">
        <v>0</v>
      </c>
      <c r="J117" s="34" t="n">
        <v>0</v>
      </c>
      <c r="K117" s="34" t="n">
        <v>0</v>
      </c>
      <c r="L117" s="34" t="n">
        <v>0</v>
      </c>
    </row>
    <row r="118" customFormat="false" ht="15" hidden="false" customHeight="false" outlineLevel="0" collapsed="false">
      <c r="A118" s="53" t="s">
        <v>939</v>
      </c>
      <c r="B118" s="19" t="s">
        <v>940</v>
      </c>
      <c r="C118" s="20" t="s">
        <v>32</v>
      </c>
      <c r="D118" s="53" t="s">
        <v>938</v>
      </c>
      <c r="E118" s="34" t="n">
        <v>0</v>
      </c>
      <c r="F118" s="34" t="n">
        <v>41184.75</v>
      </c>
      <c r="G118" s="34" t="n">
        <v>164739</v>
      </c>
      <c r="H118" s="34" t="n">
        <v>164739</v>
      </c>
      <c r="I118" s="34" t="n">
        <v>164739</v>
      </c>
      <c r="J118" s="34" t="n">
        <v>164739</v>
      </c>
      <c r="K118" s="34" t="n">
        <v>164739</v>
      </c>
      <c r="L118" s="34" t="n">
        <v>164739</v>
      </c>
    </row>
    <row r="119" customFormat="false" ht="23.85" hidden="false" customHeight="false" outlineLevel="0" collapsed="false">
      <c r="A119" s="53" t="s">
        <v>941</v>
      </c>
      <c r="B119" s="19" t="s">
        <v>942</v>
      </c>
      <c r="C119" s="20" t="s">
        <v>32</v>
      </c>
      <c r="D119" s="53" t="s">
        <v>943</v>
      </c>
      <c r="E119" s="34" t="n">
        <v>2226168</v>
      </c>
      <c r="F119" s="34" t="n">
        <v>1484112</v>
      </c>
      <c r="G119" s="34" t="n">
        <v>0</v>
      </c>
      <c r="H119" s="34" t="n">
        <v>0</v>
      </c>
      <c r="I119" s="34" t="n">
        <v>0</v>
      </c>
      <c r="J119" s="34" t="n">
        <v>0</v>
      </c>
      <c r="K119" s="34" t="n">
        <v>0</v>
      </c>
      <c r="L119" s="34" t="n">
        <v>0</v>
      </c>
    </row>
    <row r="120" customFormat="false" ht="15" hidden="false" customHeight="false" outlineLevel="0" collapsed="false">
      <c r="A120" s="53" t="s">
        <v>944</v>
      </c>
      <c r="B120" s="19" t="s">
        <v>945</v>
      </c>
      <c r="C120" s="20" t="s">
        <v>32</v>
      </c>
      <c r="D120" s="53" t="s">
        <v>943</v>
      </c>
      <c r="E120" s="34" t="n">
        <v>0</v>
      </c>
      <c r="F120" s="34" t="n">
        <v>18551.4</v>
      </c>
      <c r="G120" s="34" t="n">
        <v>74205.6</v>
      </c>
      <c r="H120" s="34" t="n">
        <v>74205.6</v>
      </c>
      <c r="I120" s="34" t="n">
        <v>74205.6</v>
      </c>
      <c r="J120" s="34" t="n">
        <v>74205.6</v>
      </c>
      <c r="K120" s="34" t="n">
        <v>74205.6</v>
      </c>
      <c r="L120" s="34" t="n">
        <v>74205.6</v>
      </c>
    </row>
    <row r="121" customFormat="false" ht="23.85" hidden="false" customHeight="false" outlineLevel="0" collapsed="false">
      <c r="A121" s="53" t="s">
        <v>946</v>
      </c>
      <c r="B121" s="19" t="s">
        <v>947</v>
      </c>
      <c r="C121" s="20" t="s">
        <v>32</v>
      </c>
      <c r="D121" s="53" t="s">
        <v>948</v>
      </c>
      <c r="E121" s="34" t="n">
        <v>300000</v>
      </c>
      <c r="F121" s="34" t="n">
        <v>1173000</v>
      </c>
      <c r="G121" s="34" t="n">
        <v>0</v>
      </c>
      <c r="H121" s="34" t="n">
        <v>0</v>
      </c>
      <c r="I121" s="34" t="n">
        <v>0</v>
      </c>
      <c r="J121" s="34" t="n">
        <v>0</v>
      </c>
      <c r="K121" s="34" t="n">
        <v>0</v>
      </c>
      <c r="L121" s="34" t="n">
        <v>0</v>
      </c>
    </row>
    <row r="122" customFormat="false" ht="15" hidden="false" customHeight="false" outlineLevel="0" collapsed="false">
      <c r="A122" s="53" t="s">
        <v>949</v>
      </c>
      <c r="B122" s="19" t="s">
        <v>950</v>
      </c>
      <c r="C122" s="20" t="s">
        <v>32</v>
      </c>
      <c r="D122" s="53" t="s">
        <v>948</v>
      </c>
      <c r="E122" s="34" t="n">
        <v>0</v>
      </c>
      <c r="F122" s="34" t="n">
        <v>7365</v>
      </c>
      <c r="G122" s="34" t="n">
        <v>29460</v>
      </c>
      <c r="H122" s="34" t="n">
        <v>29460</v>
      </c>
      <c r="I122" s="34" t="n">
        <v>29460</v>
      </c>
      <c r="J122" s="34" t="n">
        <v>29460</v>
      </c>
      <c r="K122" s="34" t="n">
        <v>29460</v>
      </c>
      <c r="L122" s="34" t="n">
        <v>29460</v>
      </c>
    </row>
    <row r="123" customFormat="false" ht="23.85" hidden="false" customHeight="false" outlineLevel="0" collapsed="false">
      <c r="A123" s="53" t="s">
        <v>951</v>
      </c>
      <c r="B123" s="19" t="s">
        <v>952</v>
      </c>
      <c r="C123" s="20" t="s">
        <v>32</v>
      </c>
      <c r="D123" s="53" t="s">
        <v>953</v>
      </c>
      <c r="E123" s="34" t="n">
        <v>8165375.31213298</v>
      </c>
      <c r="F123" s="34" t="n">
        <v>8165375.31213298</v>
      </c>
      <c r="G123" s="34" t="n">
        <v>0</v>
      </c>
      <c r="H123" s="34" t="n">
        <v>0</v>
      </c>
      <c r="I123" s="34" t="n">
        <v>0</v>
      </c>
      <c r="J123" s="34" t="n">
        <v>0</v>
      </c>
      <c r="K123" s="34" t="n">
        <v>0</v>
      </c>
      <c r="L123" s="34" t="n">
        <v>0</v>
      </c>
    </row>
    <row r="124" customFormat="false" ht="15" hidden="false" customHeight="false" outlineLevel="0" collapsed="false">
      <c r="A124" s="53" t="s">
        <v>954</v>
      </c>
      <c r="B124" s="19" t="s">
        <v>955</v>
      </c>
      <c r="C124" s="20" t="s">
        <v>32</v>
      </c>
      <c r="D124" s="53" t="s">
        <v>953</v>
      </c>
      <c r="E124" s="34" t="n">
        <v>0</v>
      </c>
      <c r="F124" s="34" t="n">
        <v>408268.765606649</v>
      </c>
      <c r="G124" s="34" t="n">
        <v>1633075.0624266</v>
      </c>
      <c r="H124" s="34" t="n">
        <v>1633075.0624266</v>
      </c>
      <c r="I124" s="34" t="n">
        <v>1633075.0624266</v>
      </c>
      <c r="J124" s="34" t="n">
        <v>1633075.0624266</v>
      </c>
      <c r="K124" s="34" t="n">
        <v>1633075.0624266</v>
      </c>
      <c r="L124" s="34" t="n">
        <v>1633075.0624266</v>
      </c>
    </row>
    <row r="125" customFormat="false" ht="23.85" hidden="false" customHeight="false" outlineLevel="0" collapsed="false">
      <c r="A125" s="53" t="s">
        <v>956</v>
      </c>
      <c r="B125" s="19" t="s">
        <v>957</v>
      </c>
      <c r="C125" s="20" t="s">
        <v>32</v>
      </c>
      <c r="D125" s="53" t="s">
        <v>958</v>
      </c>
      <c r="E125" s="34" t="n">
        <v>1177455.04500988</v>
      </c>
      <c r="F125" s="34" t="n">
        <v>1177455.04500988</v>
      </c>
      <c r="G125" s="34" t="n">
        <v>0</v>
      </c>
      <c r="H125" s="34" t="n">
        <v>0</v>
      </c>
      <c r="I125" s="34" t="n">
        <v>0</v>
      </c>
      <c r="J125" s="34" t="n">
        <v>0</v>
      </c>
      <c r="K125" s="34" t="n">
        <v>0</v>
      </c>
      <c r="L125" s="34" t="n">
        <v>0</v>
      </c>
    </row>
    <row r="126" customFormat="false" ht="15" hidden="false" customHeight="false" outlineLevel="0" collapsed="false">
      <c r="A126" s="53" t="s">
        <v>959</v>
      </c>
      <c r="B126" s="19" t="s">
        <v>960</v>
      </c>
      <c r="C126" s="20" t="s">
        <v>32</v>
      </c>
      <c r="D126" s="53" t="s">
        <v>958</v>
      </c>
      <c r="E126" s="34" t="n">
        <v>0</v>
      </c>
      <c r="F126" s="34" t="n">
        <v>58872.7522504939</v>
      </c>
      <c r="G126" s="34" t="n">
        <v>235491.009001976</v>
      </c>
      <c r="H126" s="34" t="n">
        <v>235491.009001976</v>
      </c>
      <c r="I126" s="34" t="n">
        <v>235491.009001976</v>
      </c>
      <c r="J126" s="34" t="n">
        <v>235491.009001976</v>
      </c>
      <c r="K126" s="34" t="n">
        <v>235491.009001976</v>
      </c>
      <c r="L126" s="34" t="n">
        <v>235491.009001976</v>
      </c>
    </row>
    <row r="127" customFormat="false" ht="23.85" hidden="false" customHeight="false" outlineLevel="0" collapsed="false">
      <c r="A127" s="53" t="s">
        <v>961</v>
      </c>
      <c r="B127" s="19" t="s">
        <v>962</v>
      </c>
      <c r="C127" s="20" t="s">
        <v>32</v>
      </c>
      <c r="D127" s="53" t="s">
        <v>963</v>
      </c>
      <c r="E127" s="34" t="n">
        <v>30000</v>
      </c>
      <c r="F127" s="34" t="n">
        <v>4913790</v>
      </c>
      <c r="G127" s="34" t="n">
        <v>0</v>
      </c>
      <c r="H127" s="34" t="n">
        <v>0</v>
      </c>
      <c r="I127" s="34" t="n">
        <v>0</v>
      </c>
      <c r="J127" s="34" t="n">
        <v>0</v>
      </c>
      <c r="K127" s="34" t="n">
        <v>0</v>
      </c>
      <c r="L127" s="34" t="n">
        <v>0</v>
      </c>
    </row>
    <row r="128" customFormat="false" ht="15" hidden="false" customHeight="false" outlineLevel="0" collapsed="false">
      <c r="A128" s="53" t="s">
        <v>964</v>
      </c>
      <c r="B128" s="19" t="s">
        <v>965</v>
      </c>
      <c r="C128" s="20" t="s">
        <v>32</v>
      </c>
      <c r="D128" s="53" t="s">
        <v>963</v>
      </c>
      <c r="E128" s="34" t="n">
        <v>0</v>
      </c>
      <c r="F128" s="34" t="n">
        <v>24718.95</v>
      </c>
      <c r="G128" s="34" t="n">
        <v>98875.8</v>
      </c>
      <c r="H128" s="34" t="n">
        <v>98875.8</v>
      </c>
      <c r="I128" s="34" t="n">
        <v>98875.8</v>
      </c>
      <c r="J128" s="34" t="n">
        <v>98875.8</v>
      </c>
      <c r="K128" s="34" t="n">
        <v>98875.8</v>
      </c>
      <c r="L128" s="34" t="n">
        <v>98875.8</v>
      </c>
    </row>
    <row r="129" customFormat="false" ht="23.85" hidden="false" customHeight="false" outlineLevel="0" collapsed="false">
      <c r="A129" s="53" t="s">
        <v>966</v>
      </c>
      <c r="B129" s="19" t="s">
        <v>967</v>
      </c>
      <c r="C129" s="20" t="s">
        <v>32</v>
      </c>
      <c r="D129" s="53" t="s">
        <v>968</v>
      </c>
      <c r="E129" s="34" t="n">
        <v>0</v>
      </c>
      <c r="F129" s="34" t="n">
        <v>134899.515178571</v>
      </c>
      <c r="G129" s="34" t="n">
        <v>539598.060714286</v>
      </c>
      <c r="H129" s="34" t="n">
        <v>539598.060714286</v>
      </c>
      <c r="I129" s="34" t="n">
        <v>539598.060714286</v>
      </c>
      <c r="J129" s="34" t="n">
        <v>539598.060714286</v>
      </c>
      <c r="K129" s="34" t="n">
        <v>539598.060714286</v>
      </c>
      <c r="L129" s="34" t="n">
        <v>539598.060714286</v>
      </c>
    </row>
    <row r="130" customFormat="false" ht="23.85" hidden="false" customHeight="false" outlineLevel="0" collapsed="false">
      <c r="A130" s="53" t="s">
        <v>969</v>
      </c>
      <c r="B130" s="19" t="s">
        <v>970</v>
      </c>
      <c r="C130" s="20" t="s">
        <v>32</v>
      </c>
      <c r="D130" s="53" t="s">
        <v>968</v>
      </c>
      <c r="E130" s="34" t="n">
        <v>0</v>
      </c>
      <c r="F130" s="34" t="n">
        <v>2248.32525297619</v>
      </c>
      <c r="G130" s="34" t="n">
        <v>67449.7575892857</v>
      </c>
      <c r="H130" s="34" t="n">
        <v>121409.563660714</v>
      </c>
      <c r="I130" s="34" t="n">
        <v>175369.369732143</v>
      </c>
      <c r="J130" s="34" t="n">
        <v>229329.175803571</v>
      </c>
      <c r="K130" s="34" t="n">
        <v>283288.981875</v>
      </c>
      <c r="L130" s="34" t="n">
        <v>337248.787946429</v>
      </c>
    </row>
    <row r="131" customFormat="false" ht="15" hidden="false" customHeight="false" outlineLevel="0" collapsed="false">
      <c r="A131" s="60"/>
      <c r="B131" s="10" t="s">
        <v>971</v>
      </c>
    </row>
    <row r="132" customFormat="false" ht="15" hidden="false" customHeight="false" outlineLevel="0" collapsed="false">
      <c r="A132" s="53" t="s">
        <v>972</v>
      </c>
      <c r="B132" s="19" t="s">
        <v>973</v>
      </c>
      <c r="C132" s="20" t="s">
        <v>256</v>
      </c>
      <c r="D132" s="53" t="s">
        <v>974</v>
      </c>
      <c r="E132" s="82" t="n">
        <v>0</v>
      </c>
      <c r="F132" s="82" t="n">
        <v>750</v>
      </c>
      <c r="G132" s="82" t="n">
        <v>3250</v>
      </c>
      <c r="H132" s="82" t="n">
        <v>4250</v>
      </c>
      <c r="I132" s="82" t="n">
        <v>5000</v>
      </c>
      <c r="J132" s="82" t="n">
        <v>5000</v>
      </c>
      <c r="K132" s="82" t="n">
        <v>5000</v>
      </c>
      <c r="L132" s="82" t="n">
        <v>5000</v>
      </c>
    </row>
    <row r="133" customFormat="false" ht="15" hidden="false" customHeight="false" outlineLevel="0" collapsed="false">
      <c r="A133" s="53" t="s">
        <v>975</v>
      </c>
      <c r="B133" s="19" t="s">
        <v>976</v>
      </c>
      <c r="C133" s="20" t="s">
        <v>32</v>
      </c>
      <c r="D133" s="53" t="s">
        <v>977</v>
      </c>
      <c r="E133" s="34" t="n">
        <v>0</v>
      </c>
      <c r="F133" s="34" t="n">
        <v>3468834.35721344</v>
      </c>
      <c r="G133" s="34" t="n">
        <v>15362010.073546</v>
      </c>
      <c r="H133" s="34" t="n">
        <v>20530735.6167529</v>
      </c>
      <c r="I133" s="34" t="n">
        <v>24685190.3533194</v>
      </c>
      <c r="J133" s="34" t="n">
        <v>25228264.5410924</v>
      </c>
      <c r="K133" s="34" t="n">
        <v>25783286.3609964</v>
      </c>
      <c r="L133" s="34" t="n">
        <v>26350518.6609384</v>
      </c>
    </row>
    <row r="134" customFormat="false" ht="15" hidden="false" customHeight="false" outlineLevel="0" collapsed="false">
      <c r="A134" s="53" t="s">
        <v>978</v>
      </c>
      <c r="B134" s="19" t="s">
        <v>979</v>
      </c>
      <c r="C134" s="20" t="s">
        <v>256</v>
      </c>
      <c r="D134" s="53" t="s">
        <v>980</v>
      </c>
      <c r="E134" s="82" t="n">
        <v>0</v>
      </c>
      <c r="F134" s="82" t="n">
        <v>167.991</v>
      </c>
      <c r="G134" s="82" t="n">
        <v>727.961</v>
      </c>
      <c r="H134" s="82" t="n">
        <v>951.949</v>
      </c>
      <c r="I134" s="82" t="n">
        <v>1119.94</v>
      </c>
      <c r="J134" s="82" t="n">
        <v>1119.94</v>
      </c>
      <c r="K134" s="82" t="n">
        <v>1119.94</v>
      </c>
      <c r="L134" s="82" t="n">
        <v>1119.94</v>
      </c>
    </row>
    <row r="135" customFormat="false" ht="15" hidden="false" customHeight="false" outlineLevel="0" collapsed="false">
      <c r="A135" s="53" t="s">
        <v>981</v>
      </c>
      <c r="B135" s="19" t="s">
        <v>982</v>
      </c>
      <c r="C135" s="20" t="s">
        <v>32</v>
      </c>
      <c r="D135" s="53" t="s">
        <v>983</v>
      </c>
      <c r="E135" s="34" t="n">
        <v>0</v>
      </c>
      <c r="F135" s="34" t="n">
        <v>53788.0365528668</v>
      </c>
      <c r="G135" s="34" t="n">
        <v>238204.616961062</v>
      </c>
      <c r="H135" s="34" t="n">
        <v>318351.308852423</v>
      </c>
      <c r="I135" s="34" t="n">
        <v>382770.632526089</v>
      </c>
      <c r="J135" s="34" t="n">
        <v>391191.586441663</v>
      </c>
      <c r="K135" s="34" t="n">
        <v>399797.80134338</v>
      </c>
      <c r="L135" s="34" t="n">
        <v>408593.352972934</v>
      </c>
    </row>
    <row r="136" customFormat="false" ht="15" hidden="false" customHeight="false" outlineLevel="0" collapsed="false">
      <c r="A136" s="53" t="s">
        <v>984</v>
      </c>
      <c r="B136" s="19" t="s">
        <v>985</v>
      </c>
      <c r="C136" s="20" t="s">
        <v>256</v>
      </c>
      <c r="D136" s="53" t="s">
        <v>986</v>
      </c>
      <c r="E136" s="82" t="n">
        <v>0</v>
      </c>
      <c r="F136" s="82" t="n">
        <v>500.193</v>
      </c>
      <c r="G136" s="82" t="n">
        <v>2167.503</v>
      </c>
      <c r="H136" s="82" t="n">
        <v>2834.427</v>
      </c>
      <c r="I136" s="82" t="n">
        <v>3334.62</v>
      </c>
      <c r="J136" s="82" t="n">
        <v>3334.62</v>
      </c>
      <c r="K136" s="82" t="n">
        <v>3334.62</v>
      </c>
      <c r="L136" s="82" t="n">
        <v>3334.62</v>
      </c>
    </row>
    <row r="137" customFormat="false" ht="15" hidden="false" customHeight="false" outlineLevel="0" collapsed="false">
      <c r="A137" s="53" t="s">
        <v>987</v>
      </c>
      <c r="B137" s="19" t="s">
        <v>988</v>
      </c>
      <c r="C137" s="20" t="s">
        <v>32</v>
      </c>
      <c r="D137" s="53" t="s">
        <v>989</v>
      </c>
      <c r="E137" s="34" t="n">
        <v>0</v>
      </c>
      <c r="F137" s="34" t="n">
        <v>163273.177909889</v>
      </c>
      <c r="G137" s="34" t="n">
        <v>723068.312148079</v>
      </c>
      <c r="H137" s="34" t="n">
        <v>966352.988866209</v>
      </c>
      <c r="I137" s="34" t="n">
        <v>1161897.35837796</v>
      </c>
      <c r="J137" s="34" t="n">
        <v>1187459.10026227</v>
      </c>
      <c r="K137" s="34" t="n">
        <v>1213583.20046805</v>
      </c>
      <c r="L137" s="34" t="n">
        <v>1240282.03087834</v>
      </c>
    </row>
    <row r="138" customFormat="false" ht="15" hidden="false" customHeight="false" outlineLevel="0" collapsed="false">
      <c r="A138" s="53" t="s">
        <v>990</v>
      </c>
      <c r="B138" s="19" t="s">
        <v>991</v>
      </c>
      <c r="C138" s="20" t="s">
        <v>256</v>
      </c>
      <c r="D138" s="53" t="s">
        <v>992</v>
      </c>
      <c r="E138" s="82" t="n">
        <v>0</v>
      </c>
      <c r="F138" s="82" t="n">
        <v>24.384</v>
      </c>
      <c r="G138" s="82" t="n">
        <v>105.664</v>
      </c>
      <c r="H138" s="82" t="n">
        <v>138.176</v>
      </c>
      <c r="I138" s="82" t="n">
        <v>162.56</v>
      </c>
      <c r="J138" s="82" t="n">
        <v>162.56</v>
      </c>
      <c r="K138" s="82" t="n">
        <v>162.56</v>
      </c>
      <c r="L138" s="82" t="n">
        <v>162.56</v>
      </c>
    </row>
    <row r="139" customFormat="false" ht="15" hidden="false" customHeight="false" outlineLevel="0" collapsed="false">
      <c r="A139" s="53" t="s">
        <v>993</v>
      </c>
      <c r="B139" s="19" t="s">
        <v>994</v>
      </c>
      <c r="C139" s="20" t="s">
        <v>32</v>
      </c>
      <c r="D139" s="53" t="s">
        <v>995</v>
      </c>
      <c r="E139" s="34" t="n">
        <v>0</v>
      </c>
      <c r="F139" s="34" t="n">
        <v>24683.1479652259</v>
      </c>
      <c r="G139" s="34" t="n">
        <v>109311.292682545</v>
      </c>
      <c r="H139" s="34" t="n">
        <v>146090.338389734</v>
      </c>
      <c r="I139" s="34" t="n">
        <v>175652.148040362</v>
      </c>
      <c r="J139" s="34" t="n">
        <v>179516.49529725</v>
      </c>
      <c r="K139" s="34" t="n">
        <v>183465.85819379</v>
      </c>
      <c r="L139" s="34" t="n">
        <v>187502.107074053</v>
      </c>
    </row>
    <row r="140" customFormat="false" ht="15" hidden="false" customHeight="false" outlineLevel="0" collapsed="false">
      <c r="A140" s="53" t="s">
        <v>996</v>
      </c>
      <c r="B140" s="19" t="s">
        <v>997</v>
      </c>
      <c r="C140" s="20" t="s">
        <v>256</v>
      </c>
      <c r="D140" s="53" t="s">
        <v>998</v>
      </c>
      <c r="E140" s="82" t="n">
        <v>0</v>
      </c>
      <c r="F140" s="82" t="n">
        <v>7.5</v>
      </c>
      <c r="G140" s="82" t="n">
        <v>32.5</v>
      </c>
      <c r="H140" s="82" t="n">
        <v>42.5</v>
      </c>
      <c r="I140" s="82" t="n">
        <v>50</v>
      </c>
      <c r="J140" s="82" t="n">
        <v>50</v>
      </c>
      <c r="K140" s="82" t="n">
        <v>50</v>
      </c>
      <c r="L140" s="82" t="n">
        <v>50</v>
      </c>
    </row>
    <row r="141" customFormat="false" ht="15" hidden="false" customHeight="false" outlineLevel="0" collapsed="false">
      <c r="A141" s="53" t="s">
        <v>999</v>
      </c>
      <c r="B141" s="19" t="s">
        <v>1000</v>
      </c>
      <c r="C141" s="20" t="s">
        <v>32</v>
      </c>
      <c r="D141" s="53" t="s">
        <v>1001</v>
      </c>
      <c r="E141" s="34" t="n">
        <v>0</v>
      </c>
      <c r="F141" s="34" t="n">
        <v>77894.6044667107</v>
      </c>
      <c r="G141" s="34" t="n">
        <v>344962.478823506</v>
      </c>
      <c r="H141" s="34" t="n">
        <v>461029.085159968</v>
      </c>
      <c r="I141" s="34" t="n">
        <v>554319.676509986</v>
      </c>
      <c r="J141" s="34" t="n">
        <v>566514.709393205</v>
      </c>
      <c r="K141" s="34" t="n">
        <v>578978.032999856</v>
      </c>
      <c r="L141" s="34" t="n">
        <v>591715.549725853</v>
      </c>
    </row>
    <row r="142" customFormat="false" ht="15" hidden="false" customHeight="false" outlineLevel="0" collapsed="false">
      <c r="A142" s="53" t="s">
        <v>1002</v>
      </c>
      <c r="B142" s="19" t="s">
        <v>1003</v>
      </c>
      <c r="C142" s="20" t="s">
        <v>256</v>
      </c>
      <c r="D142" s="53" t="s">
        <v>1004</v>
      </c>
      <c r="E142" s="82" t="n">
        <v>0</v>
      </c>
      <c r="F142" s="82" t="n">
        <v>300</v>
      </c>
      <c r="G142" s="82" t="n">
        <v>1300</v>
      </c>
      <c r="H142" s="82" t="n">
        <v>1700</v>
      </c>
      <c r="I142" s="82" t="n">
        <v>2000</v>
      </c>
      <c r="J142" s="82" t="n">
        <v>2000</v>
      </c>
      <c r="K142" s="82" t="n">
        <v>2000</v>
      </c>
      <c r="L142" s="82" t="n">
        <v>2000</v>
      </c>
    </row>
    <row r="143" customFormat="false" ht="15" hidden="false" customHeight="false" outlineLevel="0" collapsed="false">
      <c r="A143" s="53" t="s">
        <v>1005</v>
      </c>
      <c r="B143" s="19" t="s">
        <v>1006</v>
      </c>
      <c r="C143" s="20" t="s">
        <v>32</v>
      </c>
      <c r="D143" s="53" t="s">
        <v>1007</v>
      </c>
      <c r="E143" s="34" t="n">
        <v>0</v>
      </c>
      <c r="F143" s="34" t="n">
        <v>24818.7074302613</v>
      </c>
      <c r="G143" s="34" t="n">
        <v>109911.6286032</v>
      </c>
      <c r="H143" s="34" t="n">
        <v>146892.664257846</v>
      </c>
      <c r="I143" s="34" t="n">
        <v>176616.826907669</v>
      </c>
      <c r="J143" s="34" t="n">
        <v>180502.397099638</v>
      </c>
      <c r="K143" s="34" t="n">
        <v>184473.44983583</v>
      </c>
      <c r="L143" s="34" t="n">
        <v>188531.865732218</v>
      </c>
    </row>
    <row r="144" customFormat="false" ht="15" hidden="false" customHeight="false" outlineLevel="0" collapsed="false">
      <c r="A144" s="53" t="s">
        <v>1008</v>
      </c>
      <c r="B144" s="19" t="s">
        <v>1009</v>
      </c>
      <c r="C144" s="20" t="s">
        <v>256</v>
      </c>
      <c r="D144" s="53" t="s">
        <v>1010</v>
      </c>
      <c r="E144" s="82" t="n">
        <v>0</v>
      </c>
      <c r="F144" s="82" t="n">
        <v>30.096</v>
      </c>
      <c r="G144" s="82" t="n">
        <v>130.416</v>
      </c>
      <c r="H144" s="82" t="n">
        <v>170.544</v>
      </c>
      <c r="I144" s="82" t="n">
        <v>200.64</v>
      </c>
      <c r="J144" s="82" t="n">
        <v>200.64</v>
      </c>
      <c r="K144" s="82" t="n">
        <v>200.64</v>
      </c>
      <c r="L144" s="82" t="n">
        <v>200.64</v>
      </c>
    </row>
    <row r="145" customFormat="false" ht="15" hidden="false" customHeight="false" outlineLevel="0" collapsed="false">
      <c r="A145" s="53" t="s">
        <v>1011</v>
      </c>
      <c r="B145" s="19" t="s">
        <v>1012</v>
      </c>
      <c r="C145" s="20" t="s">
        <v>32</v>
      </c>
      <c r="D145" s="53" t="s">
        <v>1013</v>
      </c>
      <c r="E145" s="34" t="n">
        <v>0</v>
      </c>
      <c r="F145" s="34" t="n">
        <v>24612.2858878074</v>
      </c>
      <c r="G145" s="34" t="n">
        <v>108997.474311578</v>
      </c>
      <c r="H145" s="34" t="n">
        <v>145670.932206874</v>
      </c>
      <c r="I145" s="34" t="n">
        <v>175147.873782853</v>
      </c>
      <c r="J145" s="34" t="n">
        <v>179001.127006076</v>
      </c>
      <c r="K145" s="34" t="n">
        <v>182939.15180021</v>
      </c>
      <c r="L145" s="34" t="n">
        <v>186963.813139814</v>
      </c>
    </row>
    <row r="146" customFormat="false" ht="15" hidden="false" customHeight="false" outlineLevel="0" collapsed="false">
      <c r="A146" s="53" t="s">
        <v>1014</v>
      </c>
      <c r="B146" s="19" t="s">
        <v>1015</v>
      </c>
      <c r="C146" s="20" t="s">
        <v>297</v>
      </c>
      <c r="D146" s="53" t="s">
        <v>1016</v>
      </c>
      <c r="E146" s="82" t="n">
        <v>0</v>
      </c>
      <c r="F146" s="82" t="n">
        <v>300</v>
      </c>
      <c r="G146" s="82" t="n">
        <v>1300</v>
      </c>
      <c r="H146" s="82" t="n">
        <v>1700</v>
      </c>
      <c r="I146" s="82" t="n">
        <v>2000</v>
      </c>
      <c r="J146" s="82" t="n">
        <v>2000</v>
      </c>
      <c r="K146" s="82" t="n">
        <v>2000</v>
      </c>
      <c r="L146" s="82" t="n">
        <v>2000</v>
      </c>
    </row>
    <row r="147" customFormat="false" ht="15" hidden="false" customHeight="false" outlineLevel="0" collapsed="false">
      <c r="A147" s="53" t="s">
        <v>1017</v>
      </c>
      <c r="B147" s="19" t="s">
        <v>1018</v>
      </c>
      <c r="C147" s="20" t="s">
        <v>32</v>
      </c>
      <c r="D147" s="53" t="s">
        <v>1019</v>
      </c>
      <c r="E147" s="34" t="n">
        <v>0</v>
      </c>
      <c r="F147" s="34" t="n">
        <v>3480.21269785891</v>
      </c>
      <c r="G147" s="34" t="n">
        <v>15412.3999641017</v>
      </c>
      <c r="H147" s="34" t="n">
        <v>20598.079767408</v>
      </c>
      <c r="I147" s="34" t="n">
        <v>24766.1617909305</v>
      </c>
      <c r="J147" s="34" t="n">
        <v>25311.017350331</v>
      </c>
      <c r="K147" s="34" t="n">
        <v>25867.8597320383</v>
      </c>
      <c r="L147" s="34" t="n">
        <v>26436.9526461431</v>
      </c>
    </row>
    <row r="148" customFormat="false" ht="15" hidden="false" customHeight="false" outlineLevel="0" collapsed="false">
      <c r="A148" s="53" t="s">
        <v>1020</v>
      </c>
      <c r="B148" s="19" t="s">
        <v>1021</v>
      </c>
      <c r="C148" s="20" t="s">
        <v>322</v>
      </c>
      <c r="D148" s="53" t="s">
        <v>1022</v>
      </c>
      <c r="E148" s="82" t="n">
        <v>0</v>
      </c>
      <c r="F148" s="82" t="n">
        <v>1142856.36</v>
      </c>
      <c r="G148" s="82" t="n">
        <v>4952377.56</v>
      </c>
      <c r="H148" s="82" t="n">
        <v>6476186.04</v>
      </c>
      <c r="I148" s="82" t="n">
        <v>7619042.4</v>
      </c>
      <c r="J148" s="82" t="n">
        <v>7619042.4</v>
      </c>
      <c r="K148" s="82" t="n">
        <v>7619042.4</v>
      </c>
      <c r="L148" s="82" t="n">
        <v>7619042.4</v>
      </c>
    </row>
    <row r="149" customFormat="false" ht="23.85" hidden="false" customHeight="false" outlineLevel="0" collapsed="false">
      <c r="A149" s="53" t="s">
        <v>1023</v>
      </c>
      <c r="B149" s="19" t="s">
        <v>1024</v>
      </c>
      <c r="C149" s="20" t="s">
        <v>32</v>
      </c>
      <c r="D149" s="53" t="s">
        <v>1025</v>
      </c>
      <c r="E149" s="34" t="n">
        <v>0</v>
      </c>
      <c r="F149" s="34" t="n">
        <v>110112.788268318</v>
      </c>
      <c r="G149" s="34" t="n">
        <v>487643.279675941</v>
      </c>
      <c r="H149" s="34" t="n">
        <v>651716.487776138</v>
      </c>
      <c r="I149" s="34" t="n">
        <v>783593.235890839</v>
      </c>
      <c r="J149" s="34" t="n">
        <v>800832.287080437</v>
      </c>
      <c r="K149" s="34" t="n">
        <v>818450.597396207</v>
      </c>
      <c r="L149" s="34" t="n">
        <v>836456.510538923</v>
      </c>
    </row>
    <row r="150" customFormat="false" ht="15" hidden="false" customHeight="false" outlineLevel="0" collapsed="false">
      <c r="A150" s="53" t="s">
        <v>1026</v>
      </c>
      <c r="B150" s="19" t="s">
        <v>1027</v>
      </c>
      <c r="C150" s="20" t="s">
        <v>324</v>
      </c>
      <c r="D150" s="53" t="s">
        <v>1028</v>
      </c>
      <c r="E150" s="82" t="n">
        <v>0</v>
      </c>
      <c r="F150" s="82" t="n">
        <v>443958.36</v>
      </c>
      <c r="G150" s="82" t="n">
        <v>1923819.56</v>
      </c>
      <c r="H150" s="82" t="n">
        <v>2515764.04</v>
      </c>
      <c r="I150" s="82" t="n">
        <v>2959722.4</v>
      </c>
      <c r="J150" s="82" t="n">
        <v>2959722.4</v>
      </c>
      <c r="K150" s="82" t="n">
        <v>2959722.4</v>
      </c>
      <c r="L150" s="82" t="n">
        <v>2959722.4</v>
      </c>
    </row>
    <row r="151" customFormat="false" ht="23.85" hidden="false" customHeight="false" outlineLevel="0" collapsed="false">
      <c r="A151" s="53" t="s">
        <v>1029</v>
      </c>
      <c r="B151" s="19" t="s">
        <v>1030</v>
      </c>
      <c r="C151" s="20" t="s">
        <v>32</v>
      </c>
      <c r="D151" s="53" t="s">
        <v>1031</v>
      </c>
      <c r="E151" s="34" t="n">
        <v>0</v>
      </c>
      <c r="F151" s="34" t="n">
        <v>71769.8478418601</v>
      </c>
      <c r="G151" s="34" t="n">
        <v>317838.504808052</v>
      </c>
      <c r="H151" s="34" t="n">
        <v>424778.937118084</v>
      </c>
      <c r="I151" s="34" t="n">
        <v>510734.204393743</v>
      </c>
      <c r="J151" s="34" t="n">
        <v>521970.356890405</v>
      </c>
      <c r="K151" s="34" t="n">
        <v>533453.704741994</v>
      </c>
      <c r="L151" s="34" t="n">
        <v>545189.686246318</v>
      </c>
    </row>
    <row r="152" customFormat="false" ht="15" hidden="false" customHeight="false" outlineLevel="0" collapsed="false">
      <c r="A152" s="60"/>
      <c r="B152" s="10" t="s">
        <v>1032</v>
      </c>
    </row>
    <row r="153" customFormat="false" ht="15" hidden="false" customHeight="false" outlineLevel="0" collapsed="false">
      <c r="A153" s="53" t="s">
        <v>1033</v>
      </c>
      <c r="B153" s="19" t="s">
        <v>1034</v>
      </c>
      <c r="C153" s="20" t="s">
        <v>1035</v>
      </c>
      <c r="D153" s="53" t="s">
        <v>1036</v>
      </c>
      <c r="E153" s="82" t="n">
        <v>1</v>
      </c>
      <c r="F153" s="82" t="n">
        <v>1</v>
      </c>
      <c r="G153" s="82" t="n">
        <v>1</v>
      </c>
      <c r="H153" s="82" t="n">
        <v>1</v>
      </c>
      <c r="I153" s="82" t="n">
        <v>1</v>
      </c>
      <c r="J153" s="82" t="n">
        <v>1</v>
      </c>
      <c r="K153" s="82" t="n">
        <v>1</v>
      </c>
      <c r="L153" s="82" t="n">
        <v>1</v>
      </c>
    </row>
    <row r="154" customFormat="false" ht="15" hidden="false" customHeight="false" outlineLevel="0" collapsed="false">
      <c r="A154" s="53" t="s">
        <v>1037</v>
      </c>
      <c r="B154" s="19" t="s">
        <v>1038</v>
      </c>
      <c r="C154" s="20" t="s">
        <v>1039</v>
      </c>
      <c r="D154" s="53" t="s">
        <v>1036</v>
      </c>
      <c r="E154" s="34" t="n">
        <v>35670000</v>
      </c>
      <c r="F154" s="34" t="n">
        <v>35670000</v>
      </c>
      <c r="G154" s="34" t="n">
        <v>35670000</v>
      </c>
      <c r="H154" s="34" t="n">
        <v>35670000</v>
      </c>
      <c r="I154" s="34" t="n">
        <v>35670000</v>
      </c>
      <c r="J154" s="34" t="n">
        <v>35670000</v>
      </c>
      <c r="K154" s="34" t="n">
        <v>35670000</v>
      </c>
      <c r="L154" s="34" t="n">
        <v>35670000</v>
      </c>
    </row>
    <row r="155" customFormat="false" ht="15" hidden="false" customHeight="false" outlineLevel="0" collapsed="false">
      <c r="A155" s="53" t="s">
        <v>1040</v>
      </c>
      <c r="B155" s="19" t="s">
        <v>1041</v>
      </c>
      <c r="C155" s="20" t="s">
        <v>32</v>
      </c>
      <c r="D155" s="53" t="s">
        <v>1036</v>
      </c>
      <c r="E155" s="34" t="n">
        <v>8984.88304818422</v>
      </c>
      <c r="F155" s="34" t="n">
        <v>37244.4330466426</v>
      </c>
      <c r="G155" s="34" t="n">
        <v>37829.6465632838</v>
      </c>
      <c r="H155" s="34" t="n">
        <v>38657.8098988791</v>
      </c>
      <c r="I155" s="34" t="n">
        <v>39507.9204450578</v>
      </c>
      <c r="J155" s="34" t="n">
        <v>40377.0946948491</v>
      </c>
      <c r="K155" s="34" t="n">
        <v>41265.3907781358</v>
      </c>
      <c r="L155" s="34" t="n">
        <v>42173.2293752548</v>
      </c>
    </row>
    <row r="156" customFormat="false" ht="15" hidden="false" customHeight="false" outlineLevel="0" collapsed="false">
      <c r="A156" s="53" t="s">
        <v>1042</v>
      </c>
      <c r="B156" s="19" t="s">
        <v>1043</v>
      </c>
      <c r="C156" s="20" t="s">
        <v>1035</v>
      </c>
      <c r="D156" s="53" t="s">
        <v>1044</v>
      </c>
      <c r="E156" s="82" t="n">
        <v>1</v>
      </c>
      <c r="F156" s="82" t="n">
        <v>1</v>
      </c>
      <c r="G156" s="82" t="n">
        <v>1</v>
      </c>
      <c r="H156" s="82" t="n">
        <v>1</v>
      </c>
      <c r="I156" s="82" t="n">
        <v>1</v>
      </c>
      <c r="J156" s="82" t="n">
        <v>1</v>
      </c>
      <c r="K156" s="82" t="n">
        <v>1</v>
      </c>
      <c r="L156" s="82" t="n">
        <v>1</v>
      </c>
    </row>
    <row r="157" customFormat="false" ht="15" hidden="false" customHeight="false" outlineLevel="0" collapsed="false">
      <c r="A157" s="53" t="s">
        <v>1045</v>
      </c>
      <c r="B157" s="19" t="s">
        <v>1046</v>
      </c>
      <c r="C157" s="20" t="s">
        <v>1039</v>
      </c>
      <c r="D157" s="53" t="s">
        <v>1044</v>
      </c>
      <c r="E157" s="34" t="n">
        <v>23780000</v>
      </c>
      <c r="F157" s="34" t="n">
        <v>23780000</v>
      </c>
      <c r="G157" s="34" t="n">
        <v>23780000</v>
      </c>
      <c r="H157" s="34" t="n">
        <v>23780000</v>
      </c>
      <c r="I157" s="34" t="n">
        <v>23780000</v>
      </c>
      <c r="J157" s="34" t="n">
        <v>23780000</v>
      </c>
      <c r="K157" s="34" t="n">
        <v>23780000</v>
      </c>
      <c r="L157" s="34" t="n">
        <v>23780000</v>
      </c>
    </row>
    <row r="158" customFormat="false" ht="15" hidden="false" customHeight="false" outlineLevel="0" collapsed="false">
      <c r="A158" s="53" t="s">
        <v>1047</v>
      </c>
      <c r="B158" s="19" t="s">
        <v>1048</v>
      </c>
      <c r="C158" s="20" t="s">
        <v>32</v>
      </c>
      <c r="D158" s="53" t="s">
        <v>1044</v>
      </c>
      <c r="E158" s="34" t="n">
        <v>5989.92203212281</v>
      </c>
      <c r="F158" s="34" t="n">
        <v>24829.622031095</v>
      </c>
      <c r="G158" s="34" t="n">
        <v>25219.7643755226</v>
      </c>
      <c r="H158" s="34" t="n">
        <v>25771.8732659194</v>
      </c>
      <c r="I158" s="34" t="n">
        <v>26338.6136300386</v>
      </c>
      <c r="J158" s="34" t="n">
        <v>26918.0631298994</v>
      </c>
      <c r="K158" s="34" t="n">
        <v>27510.2605187572</v>
      </c>
      <c r="L158" s="34" t="n">
        <v>28115.4862501698</v>
      </c>
    </row>
    <row r="159" customFormat="false" ht="15" hidden="false" customHeight="false" outlineLevel="0" collapsed="false">
      <c r="A159" s="53" t="s">
        <v>1049</v>
      </c>
      <c r="B159" s="19" t="s">
        <v>1050</v>
      </c>
      <c r="C159" s="20" t="s">
        <v>1035</v>
      </c>
      <c r="D159" s="53" t="s">
        <v>1051</v>
      </c>
      <c r="E159" s="82" t="n">
        <v>3</v>
      </c>
      <c r="F159" s="82" t="n">
        <v>3</v>
      </c>
      <c r="G159" s="82" t="n">
        <v>3</v>
      </c>
      <c r="H159" s="82" t="n">
        <v>3</v>
      </c>
      <c r="I159" s="82" t="n">
        <v>3</v>
      </c>
      <c r="J159" s="82" t="n">
        <v>3</v>
      </c>
      <c r="K159" s="82" t="n">
        <v>3</v>
      </c>
      <c r="L159" s="82" t="n">
        <v>3</v>
      </c>
    </row>
    <row r="160" customFormat="false" ht="15" hidden="false" customHeight="false" outlineLevel="0" collapsed="false">
      <c r="A160" s="53" t="s">
        <v>1052</v>
      </c>
      <c r="B160" s="19" t="s">
        <v>1053</v>
      </c>
      <c r="C160" s="20" t="s">
        <v>1039</v>
      </c>
      <c r="D160" s="53" t="s">
        <v>1051</v>
      </c>
      <c r="E160" s="34" t="n">
        <v>8323000</v>
      </c>
      <c r="F160" s="34" t="n">
        <v>8323000</v>
      </c>
      <c r="G160" s="34" t="n">
        <v>8323000</v>
      </c>
      <c r="H160" s="34" t="n">
        <v>8323000</v>
      </c>
      <c r="I160" s="34" t="n">
        <v>8323000</v>
      </c>
      <c r="J160" s="34" t="n">
        <v>8323000</v>
      </c>
      <c r="K160" s="34" t="n">
        <v>8323000</v>
      </c>
      <c r="L160" s="34" t="n">
        <v>8323000</v>
      </c>
    </row>
    <row r="161" customFormat="false" ht="15" hidden="false" customHeight="false" outlineLevel="0" collapsed="false">
      <c r="A161" s="53" t="s">
        <v>1054</v>
      </c>
      <c r="B161" s="19" t="s">
        <v>1055</v>
      </c>
      <c r="C161" s="20" t="s">
        <v>32</v>
      </c>
      <c r="D161" s="53" t="s">
        <v>1051</v>
      </c>
      <c r="E161" s="34" t="n">
        <v>6289.41813372895</v>
      </c>
      <c r="F161" s="34" t="n">
        <v>26071.1031326498</v>
      </c>
      <c r="G161" s="34" t="n">
        <v>26480.7525942987</v>
      </c>
      <c r="H161" s="34" t="n">
        <v>27060.4669292154</v>
      </c>
      <c r="I161" s="34" t="n">
        <v>27655.5443115405</v>
      </c>
      <c r="J161" s="34" t="n">
        <v>28263.9662863944</v>
      </c>
      <c r="K161" s="34" t="n">
        <v>28885.773544695</v>
      </c>
      <c r="L161" s="34" t="n">
        <v>29521.2605626783</v>
      </c>
    </row>
    <row r="162" customFormat="false" ht="15" hidden="false" customHeight="false" outlineLevel="0" collapsed="false">
      <c r="A162" s="53" t="s">
        <v>1056</v>
      </c>
      <c r="B162" s="19" t="s">
        <v>1057</v>
      </c>
      <c r="C162" s="20" t="s">
        <v>1035</v>
      </c>
      <c r="D162" s="53" t="s">
        <v>1058</v>
      </c>
      <c r="E162" s="82" t="n">
        <v>1</v>
      </c>
      <c r="F162" s="82" t="n">
        <v>1</v>
      </c>
      <c r="G162" s="82" t="n">
        <v>1</v>
      </c>
      <c r="H162" s="82" t="n">
        <v>1</v>
      </c>
      <c r="I162" s="82" t="n">
        <v>1</v>
      </c>
      <c r="J162" s="82" t="n">
        <v>1</v>
      </c>
      <c r="K162" s="82" t="n">
        <v>1</v>
      </c>
      <c r="L162" s="82" t="n">
        <v>1</v>
      </c>
    </row>
    <row r="163" customFormat="false" ht="23.85" hidden="false" customHeight="false" outlineLevel="0" collapsed="false">
      <c r="A163" s="53" t="s">
        <v>1059</v>
      </c>
      <c r="B163" s="19" t="s">
        <v>1060</v>
      </c>
      <c r="C163" s="20" t="s">
        <v>1039</v>
      </c>
      <c r="D163" s="53" t="s">
        <v>1058</v>
      </c>
      <c r="E163" s="34" t="n">
        <v>14268000</v>
      </c>
      <c r="F163" s="34" t="n">
        <v>14268000</v>
      </c>
      <c r="G163" s="34" t="n">
        <v>14268000</v>
      </c>
      <c r="H163" s="34" t="n">
        <v>14268000</v>
      </c>
      <c r="I163" s="34" t="n">
        <v>14268000</v>
      </c>
      <c r="J163" s="34" t="n">
        <v>14268000</v>
      </c>
      <c r="K163" s="34" t="n">
        <v>14268000</v>
      </c>
      <c r="L163" s="34" t="n">
        <v>14268000</v>
      </c>
    </row>
    <row r="164" customFormat="false" ht="15" hidden="false" customHeight="false" outlineLevel="0" collapsed="false">
      <c r="A164" s="53" t="s">
        <v>1061</v>
      </c>
      <c r="B164" s="19" t="s">
        <v>1062</v>
      </c>
      <c r="C164" s="20" t="s">
        <v>32</v>
      </c>
      <c r="D164" s="53" t="s">
        <v>1058</v>
      </c>
      <c r="E164" s="34" t="n">
        <v>3593.95321927369</v>
      </c>
      <c r="F164" s="34" t="n">
        <v>14897.773218657</v>
      </c>
      <c r="G164" s="34" t="n">
        <v>15131.8586253135</v>
      </c>
      <c r="H164" s="34" t="n">
        <v>15463.1239595516</v>
      </c>
      <c r="I164" s="34" t="n">
        <v>15803.1681780231</v>
      </c>
      <c r="J164" s="34" t="n">
        <v>16150.8378779396</v>
      </c>
      <c r="K164" s="34" t="n">
        <v>16506.1563112543</v>
      </c>
      <c r="L164" s="34" t="n">
        <v>16869.2917501019</v>
      </c>
    </row>
    <row r="165" customFormat="false" ht="15" hidden="false" customHeight="false" outlineLevel="0" collapsed="false">
      <c r="A165" s="53" t="s">
        <v>1063</v>
      </c>
      <c r="B165" s="19" t="s">
        <v>1064</v>
      </c>
      <c r="C165" s="20" t="s">
        <v>1035</v>
      </c>
      <c r="D165" s="53" t="s">
        <v>1065</v>
      </c>
      <c r="E165" s="82" t="n">
        <v>1</v>
      </c>
      <c r="F165" s="82" t="n">
        <v>1</v>
      </c>
      <c r="G165" s="82" t="n">
        <v>1</v>
      </c>
      <c r="H165" s="82" t="n">
        <v>1</v>
      </c>
      <c r="I165" s="82" t="n">
        <v>1</v>
      </c>
      <c r="J165" s="82" t="n">
        <v>1</v>
      </c>
      <c r="K165" s="82" t="n">
        <v>1</v>
      </c>
      <c r="L165" s="82" t="n">
        <v>1</v>
      </c>
    </row>
    <row r="166" customFormat="false" ht="15" hidden="false" customHeight="false" outlineLevel="0" collapsed="false">
      <c r="A166" s="53" t="s">
        <v>1066</v>
      </c>
      <c r="B166" s="19" t="s">
        <v>1067</v>
      </c>
      <c r="C166" s="20" t="s">
        <v>1039</v>
      </c>
      <c r="D166" s="53" t="s">
        <v>1065</v>
      </c>
      <c r="E166" s="34" t="n">
        <v>11890000</v>
      </c>
      <c r="F166" s="34" t="n">
        <v>11890000</v>
      </c>
      <c r="G166" s="34" t="n">
        <v>11890000</v>
      </c>
      <c r="H166" s="34" t="n">
        <v>11890000</v>
      </c>
      <c r="I166" s="34" t="n">
        <v>11890000</v>
      </c>
      <c r="J166" s="34" t="n">
        <v>11890000</v>
      </c>
      <c r="K166" s="34" t="n">
        <v>11890000</v>
      </c>
      <c r="L166" s="34" t="n">
        <v>11890000</v>
      </c>
    </row>
    <row r="167" customFormat="false" ht="15" hidden="false" customHeight="false" outlineLevel="0" collapsed="false">
      <c r="A167" s="53" t="s">
        <v>1068</v>
      </c>
      <c r="B167" s="19" t="s">
        <v>1069</v>
      </c>
      <c r="C167" s="20" t="s">
        <v>32</v>
      </c>
      <c r="D167" s="53" t="s">
        <v>1065</v>
      </c>
      <c r="E167" s="34" t="n">
        <v>2994.96101606141</v>
      </c>
      <c r="F167" s="34" t="n">
        <v>12414.8110155475</v>
      </c>
      <c r="G167" s="34" t="n">
        <v>12609.8821877613</v>
      </c>
      <c r="H167" s="34" t="n">
        <v>12885.9366329597</v>
      </c>
      <c r="I167" s="34" t="n">
        <v>13169.3068150193</v>
      </c>
      <c r="J167" s="34" t="n">
        <v>13459.0315649497</v>
      </c>
      <c r="K167" s="34" t="n">
        <v>13755.1302593786</v>
      </c>
      <c r="L167" s="34" t="n">
        <v>14057.7431250849</v>
      </c>
    </row>
    <row r="168" customFormat="false" ht="15" hidden="false" customHeight="false" outlineLevel="0" collapsed="false">
      <c r="A168" s="53" t="s">
        <v>1070</v>
      </c>
      <c r="B168" s="19" t="s">
        <v>1071</v>
      </c>
      <c r="C168" s="20" t="s">
        <v>1035</v>
      </c>
      <c r="D168" s="53" t="s">
        <v>1072</v>
      </c>
      <c r="E168" s="82" t="n">
        <v>1</v>
      </c>
      <c r="F168" s="82" t="n">
        <v>1</v>
      </c>
      <c r="G168" s="82" t="n">
        <v>1</v>
      </c>
      <c r="H168" s="82" t="n">
        <v>1</v>
      </c>
      <c r="I168" s="82" t="n">
        <v>1</v>
      </c>
      <c r="J168" s="82" t="n">
        <v>1</v>
      </c>
      <c r="K168" s="82" t="n">
        <v>1</v>
      </c>
      <c r="L168" s="82" t="n">
        <v>1</v>
      </c>
    </row>
    <row r="169" customFormat="false" ht="15" hidden="false" customHeight="false" outlineLevel="0" collapsed="false">
      <c r="A169" s="53" t="s">
        <v>1073</v>
      </c>
      <c r="B169" s="19" t="s">
        <v>1074</v>
      </c>
      <c r="C169" s="20" t="s">
        <v>1039</v>
      </c>
      <c r="D169" s="53" t="s">
        <v>1072</v>
      </c>
      <c r="E169" s="34" t="n">
        <v>8323000</v>
      </c>
      <c r="F169" s="34" t="n">
        <v>8323000</v>
      </c>
      <c r="G169" s="34" t="n">
        <v>8323000</v>
      </c>
      <c r="H169" s="34" t="n">
        <v>8323000</v>
      </c>
      <c r="I169" s="34" t="n">
        <v>8323000</v>
      </c>
      <c r="J169" s="34" t="n">
        <v>8323000</v>
      </c>
      <c r="K169" s="34" t="n">
        <v>8323000</v>
      </c>
      <c r="L169" s="34" t="n">
        <v>8323000</v>
      </c>
    </row>
    <row r="170" customFormat="false" ht="15" hidden="false" customHeight="false" outlineLevel="0" collapsed="false">
      <c r="A170" s="53" t="s">
        <v>1075</v>
      </c>
      <c r="B170" s="19" t="s">
        <v>1076</v>
      </c>
      <c r="C170" s="20" t="s">
        <v>32</v>
      </c>
      <c r="D170" s="53" t="s">
        <v>1072</v>
      </c>
      <c r="E170" s="34" t="n">
        <v>2096.47271124299</v>
      </c>
      <c r="F170" s="34" t="n">
        <v>8690.36771088326</v>
      </c>
      <c r="G170" s="34" t="n">
        <v>8826.91753143289</v>
      </c>
      <c r="H170" s="34" t="n">
        <v>9020.15564307179</v>
      </c>
      <c r="I170" s="34" t="n">
        <v>9218.51477051349</v>
      </c>
      <c r="J170" s="34" t="n">
        <v>9421.32209546479</v>
      </c>
      <c r="K170" s="34" t="n">
        <v>9628.59118156501</v>
      </c>
      <c r="L170" s="34" t="n">
        <v>9840.42018755944</v>
      </c>
    </row>
    <row r="171" customFormat="false" ht="15" hidden="false" customHeight="false" outlineLevel="0" collapsed="false">
      <c r="A171" s="53" t="s">
        <v>1077</v>
      </c>
      <c r="B171" s="19" t="s">
        <v>1078</v>
      </c>
      <c r="C171" s="20" t="s">
        <v>1035</v>
      </c>
      <c r="D171" s="53" t="s">
        <v>1079</v>
      </c>
      <c r="E171" s="82" t="n">
        <v>1</v>
      </c>
      <c r="F171" s="82" t="n">
        <v>1</v>
      </c>
      <c r="G171" s="82" t="n">
        <v>1</v>
      </c>
      <c r="H171" s="82" t="n">
        <v>1</v>
      </c>
      <c r="I171" s="82" t="n">
        <v>1</v>
      </c>
      <c r="J171" s="82" t="n">
        <v>1</v>
      </c>
      <c r="K171" s="82" t="n">
        <v>1</v>
      </c>
      <c r="L171" s="82" t="n">
        <v>1</v>
      </c>
    </row>
    <row r="172" customFormat="false" ht="23.85" hidden="false" customHeight="false" outlineLevel="0" collapsed="false">
      <c r="A172" s="53" t="s">
        <v>1080</v>
      </c>
      <c r="B172" s="19" t="s">
        <v>1081</v>
      </c>
      <c r="C172" s="20" t="s">
        <v>1039</v>
      </c>
      <c r="D172" s="53" t="s">
        <v>1079</v>
      </c>
      <c r="E172" s="34" t="n">
        <v>14268000</v>
      </c>
      <c r="F172" s="34" t="n">
        <v>14268000</v>
      </c>
      <c r="G172" s="34" t="n">
        <v>14268000</v>
      </c>
      <c r="H172" s="34" t="n">
        <v>14268000</v>
      </c>
      <c r="I172" s="34" t="n">
        <v>14268000</v>
      </c>
      <c r="J172" s="34" t="n">
        <v>14268000</v>
      </c>
      <c r="K172" s="34" t="n">
        <v>14268000</v>
      </c>
      <c r="L172" s="34" t="n">
        <v>14268000</v>
      </c>
    </row>
    <row r="173" customFormat="false" ht="23.85" hidden="false" customHeight="false" outlineLevel="0" collapsed="false">
      <c r="A173" s="53" t="s">
        <v>1082</v>
      </c>
      <c r="B173" s="19" t="s">
        <v>1083</v>
      </c>
      <c r="C173" s="20" t="s">
        <v>32</v>
      </c>
      <c r="D173" s="53" t="s">
        <v>1079</v>
      </c>
      <c r="E173" s="34" t="n">
        <v>3593.95321927369</v>
      </c>
      <c r="F173" s="34" t="n">
        <v>14897.773218657</v>
      </c>
      <c r="G173" s="34" t="n">
        <v>15131.8586253135</v>
      </c>
      <c r="H173" s="34" t="n">
        <v>15463.1239595516</v>
      </c>
      <c r="I173" s="34" t="n">
        <v>15803.1681780231</v>
      </c>
      <c r="J173" s="34" t="n">
        <v>16150.8378779396</v>
      </c>
      <c r="K173" s="34" t="n">
        <v>16506.1563112543</v>
      </c>
      <c r="L173" s="34" t="n">
        <v>16869.2917501019</v>
      </c>
    </row>
    <row r="174" customFormat="false" ht="15" hidden="false" customHeight="false" outlineLevel="0" collapsed="false">
      <c r="A174" s="53" t="s">
        <v>1084</v>
      </c>
      <c r="B174" s="19" t="s">
        <v>1085</v>
      </c>
      <c r="C174" s="20" t="s">
        <v>1035</v>
      </c>
      <c r="D174" s="53" t="s">
        <v>1086</v>
      </c>
      <c r="E174" s="82" t="n">
        <v>1</v>
      </c>
      <c r="F174" s="82" t="n">
        <v>1</v>
      </c>
      <c r="G174" s="82" t="n">
        <v>1</v>
      </c>
      <c r="H174" s="82" t="n">
        <v>1</v>
      </c>
      <c r="I174" s="82" t="n">
        <v>1</v>
      </c>
      <c r="J174" s="82" t="n">
        <v>1</v>
      </c>
      <c r="K174" s="82" t="n">
        <v>1</v>
      </c>
      <c r="L174" s="82" t="n">
        <v>1</v>
      </c>
    </row>
    <row r="175" customFormat="false" ht="15" hidden="false" customHeight="false" outlineLevel="0" collapsed="false">
      <c r="A175" s="53" t="s">
        <v>1087</v>
      </c>
      <c r="B175" s="19" t="s">
        <v>1088</v>
      </c>
      <c r="C175" s="20" t="s">
        <v>1039</v>
      </c>
      <c r="D175" s="53" t="s">
        <v>1086</v>
      </c>
      <c r="E175" s="34" t="n">
        <v>9512000</v>
      </c>
      <c r="F175" s="34" t="n">
        <v>9512000</v>
      </c>
      <c r="G175" s="34" t="n">
        <v>9512000</v>
      </c>
      <c r="H175" s="34" t="n">
        <v>9512000</v>
      </c>
      <c r="I175" s="34" t="n">
        <v>9512000</v>
      </c>
      <c r="J175" s="34" t="n">
        <v>9512000</v>
      </c>
      <c r="K175" s="34" t="n">
        <v>9512000</v>
      </c>
      <c r="L175" s="34" t="n">
        <v>9512000</v>
      </c>
    </row>
    <row r="176" customFormat="false" ht="15" hidden="false" customHeight="false" outlineLevel="0" collapsed="false">
      <c r="A176" s="53" t="s">
        <v>1089</v>
      </c>
      <c r="B176" s="19" t="s">
        <v>1090</v>
      </c>
      <c r="C176" s="20" t="s">
        <v>32</v>
      </c>
      <c r="D176" s="53" t="s">
        <v>1086</v>
      </c>
      <c r="E176" s="34" t="n">
        <v>2395.96881284913</v>
      </c>
      <c r="F176" s="34" t="n">
        <v>9931.84881243801</v>
      </c>
      <c r="G176" s="34" t="n">
        <v>10087.905750209</v>
      </c>
      <c r="H176" s="34" t="n">
        <v>10308.7493063678</v>
      </c>
      <c r="I176" s="34" t="n">
        <v>10535.4454520154</v>
      </c>
      <c r="J176" s="34" t="n">
        <v>10767.2252519598</v>
      </c>
      <c r="K176" s="34" t="n">
        <v>11004.1042075029</v>
      </c>
      <c r="L176" s="34" t="n">
        <v>11246.1945000679</v>
      </c>
    </row>
    <row r="177" customFormat="false" ht="15" hidden="false" customHeight="false" outlineLevel="0" collapsed="false">
      <c r="A177" s="53" t="s">
        <v>1091</v>
      </c>
      <c r="B177" s="19" t="s">
        <v>1092</v>
      </c>
      <c r="C177" s="20" t="s">
        <v>1035</v>
      </c>
      <c r="D177" s="53" t="s">
        <v>1093</v>
      </c>
      <c r="E177" s="82" t="n">
        <v>1</v>
      </c>
      <c r="F177" s="82" t="n">
        <v>1</v>
      </c>
      <c r="G177" s="82" t="n">
        <v>1</v>
      </c>
      <c r="H177" s="82" t="n">
        <v>1</v>
      </c>
      <c r="I177" s="82" t="n">
        <v>1</v>
      </c>
      <c r="J177" s="82" t="n">
        <v>1</v>
      </c>
      <c r="K177" s="82" t="n">
        <v>1</v>
      </c>
      <c r="L177" s="82" t="n">
        <v>1</v>
      </c>
    </row>
    <row r="178" customFormat="false" ht="15" hidden="false" customHeight="false" outlineLevel="0" collapsed="false">
      <c r="A178" s="53" t="s">
        <v>1094</v>
      </c>
      <c r="B178" s="19" t="s">
        <v>1095</v>
      </c>
      <c r="C178" s="20" t="s">
        <v>1039</v>
      </c>
      <c r="D178" s="53" t="s">
        <v>1093</v>
      </c>
      <c r="E178" s="34" t="n">
        <v>9512000</v>
      </c>
      <c r="F178" s="34" t="n">
        <v>9512000</v>
      </c>
      <c r="G178" s="34" t="n">
        <v>9512000</v>
      </c>
      <c r="H178" s="34" t="n">
        <v>9512000</v>
      </c>
      <c r="I178" s="34" t="n">
        <v>9512000</v>
      </c>
      <c r="J178" s="34" t="n">
        <v>9512000</v>
      </c>
      <c r="K178" s="34" t="n">
        <v>9512000</v>
      </c>
      <c r="L178" s="34" t="n">
        <v>9512000</v>
      </c>
    </row>
    <row r="179" customFormat="false" ht="15" hidden="false" customHeight="false" outlineLevel="0" collapsed="false">
      <c r="A179" s="53" t="s">
        <v>1096</v>
      </c>
      <c r="B179" s="19" t="s">
        <v>1097</v>
      </c>
      <c r="C179" s="20" t="s">
        <v>32</v>
      </c>
      <c r="D179" s="53" t="s">
        <v>1093</v>
      </c>
      <c r="E179" s="34" t="n">
        <v>2395.96881284913</v>
      </c>
      <c r="F179" s="34" t="n">
        <v>9931.84881243801</v>
      </c>
      <c r="G179" s="34" t="n">
        <v>10087.905750209</v>
      </c>
      <c r="H179" s="34" t="n">
        <v>10308.7493063678</v>
      </c>
      <c r="I179" s="34" t="n">
        <v>10535.4454520154</v>
      </c>
      <c r="J179" s="34" t="n">
        <v>10767.2252519598</v>
      </c>
      <c r="K179" s="34" t="n">
        <v>11004.1042075029</v>
      </c>
      <c r="L179" s="34" t="n">
        <v>11246.1945000679</v>
      </c>
    </row>
    <row r="180" customFormat="false" ht="15" hidden="false" customHeight="false" outlineLevel="0" collapsed="false">
      <c r="A180" s="53" t="s">
        <v>1098</v>
      </c>
      <c r="B180" s="19" t="s">
        <v>1099</v>
      </c>
      <c r="C180" s="20" t="s">
        <v>1035</v>
      </c>
      <c r="D180" s="53" t="s">
        <v>1100</v>
      </c>
      <c r="E180" s="82" t="n">
        <v>1</v>
      </c>
      <c r="F180" s="82" t="n">
        <v>1</v>
      </c>
      <c r="G180" s="82" t="n">
        <v>1</v>
      </c>
      <c r="H180" s="82" t="n">
        <v>1</v>
      </c>
      <c r="I180" s="82" t="n">
        <v>1</v>
      </c>
      <c r="J180" s="82" t="n">
        <v>1</v>
      </c>
      <c r="K180" s="82" t="n">
        <v>1</v>
      </c>
      <c r="L180" s="82" t="n">
        <v>1</v>
      </c>
    </row>
    <row r="181" customFormat="false" ht="15" hidden="false" customHeight="false" outlineLevel="0" collapsed="false">
      <c r="A181" s="53" t="s">
        <v>1101</v>
      </c>
      <c r="B181" s="19" t="s">
        <v>1102</v>
      </c>
      <c r="C181" s="20" t="s">
        <v>1039</v>
      </c>
      <c r="D181" s="53" t="s">
        <v>1100</v>
      </c>
      <c r="E181" s="34" t="n">
        <v>14268000</v>
      </c>
      <c r="F181" s="34" t="n">
        <v>14268000</v>
      </c>
      <c r="G181" s="34" t="n">
        <v>14268000</v>
      </c>
      <c r="H181" s="34" t="n">
        <v>14268000</v>
      </c>
      <c r="I181" s="34" t="n">
        <v>14268000</v>
      </c>
      <c r="J181" s="34" t="n">
        <v>14268000</v>
      </c>
      <c r="K181" s="34" t="n">
        <v>14268000</v>
      </c>
      <c r="L181" s="34" t="n">
        <v>14268000</v>
      </c>
    </row>
    <row r="182" customFormat="false" ht="15" hidden="false" customHeight="false" outlineLevel="0" collapsed="false">
      <c r="A182" s="53" t="s">
        <v>1103</v>
      </c>
      <c r="B182" s="19" t="s">
        <v>1104</v>
      </c>
      <c r="C182" s="20" t="s">
        <v>32</v>
      </c>
      <c r="D182" s="53" t="s">
        <v>1100</v>
      </c>
      <c r="E182" s="34" t="n">
        <v>3593.95321927369</v>
      </c>
      <c r="F182" s="34" t="n">
        <v>14897.773218657</v>
      </c>
      <c r="G182" s="34" t="n">
        <v>15131.8586253135</v>
      </c>
      <c r="H182" s="34" t="n">
        <v>15463.1239595516</v>
      </c>
      <c r="I182" s="34" t="n">
        <v>15803.1681780231</v>
      </c>
      <c r="J182" s="34" t="n">
        <v>16150.8378779396</v>
      </c>
      <c r="K182" s="34" t="n">
        <v>16506.1563112543</v>
      </c>
      <c r="L182" s="34" t="n">
        <v>16869.2917501019</v>
      </c>
    </row>
    <row r="183" customFormat="false" ht="15" hidden="false" customHeight="false" outlineLevel="0" collapsed="false">
      <c r="A183" s="53" t="s">
        <v>1105</v>
      </c>
      <c r="B183" s="19" t="s">
        <v>1106</v>
      </c>
      <c r="C183" s="20" t="s">
        <v>1035</v>
      </c>
      <c r="D183" s="53" t="s">
        <v>1107</v>
      </c>
      <c r="E183" s="82" t="n">
        <v>1</v>
      </c>
      <c r="F183" s="82" t="n">
        <v>1</v>
      </c>
      <c r="G183" s="82" t="n">
        <v>1</v>
      </c>
      <c r="H183" s="82" t="n">
        <v>1</v>
      </c>
      <c r="I183" s="82" t="n">
        <v>1</v>
      </c>
      <c r="J183" s="82" t="n">
        <v>1</v>
      </c>
      <c r="K183" s="82" t="n">
        <v>1</v>
      </c>
      <c r="L183" s="82" t="n">
        <v>1</v>
      </c>
    </row>
    <row r="184" customFormat="false" ht="15" hidden="false" customHeight="false" outlineLevel="0" collapsed="false">
      <c r="A184" s="53" t="s">
        <v>1108</v>
      </c>
      <c r="B184" s="19" t="s">
        <v>1109</v>
      </c>
      <c r="C184" s="20" t="s">
        <v>1039</v>
      </c>
      <c r="D184" s="53" t="s">
        <v>1107</v>
      </c>
      <c r="E184" s="34" t="n">
        <v>9512000</v>
      </c>
      <c r="F184" s="34" t="n">
        <v>9512000</v>
      </c>
      <c r="G184" s="34" t="n">
        <v>9512000</v>
      </c>
      <c r="H184" s="34" t="n">
        <v>9512000</v>
      </c>
      <c r="I184" s="34" t="n">
        <v>9512000</v>
      </c>
      <c r="J184" s="34" t="n">
        <v>9512000</v>
      </c>
      <c r="K184" s="34" t="n">
        <v>9512000</v>
      </c>
      <c r="L184" s="34" t="n">
        <v>9512000</v>
      </c>
    </row>
    <row r="185" customFormat="false" ht="15" hidden="false" customHeight="false" outlineLevel="0" collapsed="false">
      <c r="A185" s="53" t="s">
        <v>1110</v>
      </c>
      <c r="B185" s="19" t="s">
        <v>1111</v>
      </c>
      <c r="C185" s="20" t="s">
        <v>32</v>
      </c>
      <c r="D185" s="53" t="s">
        <v>1107</v>
      </c>
      <c r="E185" s="34" t="n">
        <v>2395.96881284913</v>
      </c>
      <c r="F185" s="34" t="n">
        <v>9931.84881243801</v>
      </c>
      <c r="G185" s="34" t="n">
        <v>10087.905750209</v>
      </c>
      <c r="H185" s="34" t="n">
        <v>10308.7493063678</v>
      </c>
      <c r="I185" s="34" t="n">
        <v>10535.4454520154</v>
      </c>
      <c r="J185" s="34" t="n">
        <v>10767.2252519598</v>
      </c>
      <c r="K185" s="34" t="n">
        <v>11004.1042075029</v>
      </c>
      <c r="L185" s="34" t="n">
        <v>11246.1945000679</v>
      </c>
    </row>
    <row r="186" customFormat="false" ht="15" hidden="false" customHeight="false" outlineLevel="0" collapsed="false">
      <c r="A186" s="53" t="s">
        <v>1112</v>
      </c>
      <c r="B186" s="19" t="s">
        <v>1113</v>
      </c>
      <c r="C186" s="20" t="s">
        <v>1035</v>
      </c>
      <c r="D186" s="53" t="s">
        <v>1114</v>
      </c>
      <c r="E186" s="82" t="n">
        <v>1</v>
      </c>
      <c r="F186" s="82" t="n">
        <v>1</v>
      </c>
      <c r="G186" s="82" t="n">
        <v>1</v>
      </c>
      <c r="H186" s="82" t="n">
        <v>1</v>
      </c>
      <c r="I186" s="82" t="n">
        <v>1</v>
      </c>
      <c r="J186" s="82" t="n">
        <v>1</v>
      </c>
      <c r="K186" s="82" t="n">
        <v>1</v>
      </c>
      <c r="L186" s="82" t="n">
        <v>1</v>
      </c>
    </row>
    <row r="187" customFormat="false" ht="15" hidden="false" customHeight="false" outlineLevel="0" collapsed="false">
      <c r="A187" s="53" t="s">
        <v>1115</v>
      </c>
      <c r="B187" s="19" t="s">
        <v>1116</v>
      </c>
      <c r="C187" s="20" t="s">
        <v>1039</v>
      </c>
      <c r="D187" s="53" t="s">
        <v>1114</v>
      </c>
      <c r="E187" s="34" t="n">
        <v>9512000</v>
      </c>
      <c r="F187" s="34" t="n">
        <v>9512000</v>
      </c>
      <c r="G187" s="34" t="n">
        <v>9512000</v>
      </c>
      <c r="H187" s="34" t="n">
        <v>9512000</v>
      </c>
      <c r="I187" s="34" t="n">
        <v>9512000</v>
      </c>
      <c r="J187" s="34" t="n">
        <v>9512000</v>
      </c>
      <c r="K187" s="34" t="n">
        <v>9512000</v>
      </c>
      <c r="L187" s="34" t="n">
        <v>9512000</v>
      </c>
    </row>
    <row r="188" customFormat="false" ht="15" hidden="false" customHeight="false" outlineLevel="0" collapsed="false">
      <c r="A188" s="53" t="s">
        <v>1117</v>
      </c>
      <c r="B188" s="19" t="s">
        <v>1118</v>
      </c>
      <c r="C188" s="20" t="s">
        <v>32</v>
      </c>
      <c r="D188" s="53" t="s">
        <v>1114</v>
      </c>
      <c r="E188" s="34" t="n">
        <v>2395.96881284913</v>
      </c>
      <c r="F188" s="34" t="n">
        <v>9931.84881243801</v>
      </c>
      <c r="G188" s="34" t="n">
        <v>10087.905750209</v>
      </c>
      <c r="H188" s="34" t="n">
        <v>10308.7493063678</v>
      </c>
      <c r="I188" s="34" t="n">
        <v>10535.4454520154</v>
      </c>
      <c r="J188" s="34" t="n">
        <v>10767.2252519598</v>
      </c>
      <c r="K188" s="34" t="n">
        <v>11004.1042075029</v>
      </c>
      <c r="L188" s="34" t="n">
        <v>11246.1945000679</v>
      </c>
    </row>
    <row r="189" customFormat="false" ht="15" hidden="false" customHeight="false" outlineLevel="0" collapsed="false">
      <c r="A189" s="53" t="s">
        <v>1119</v>
      </c>
      <c r="B189" s="19" t="s">
        <v>1120</v>
      </c>
      <c r="C189" s="20" t="s">
        <v>1035</v>
      </c>
      <c r="D189" s="53" t="s">
        <v>1121</v>
      </c>
      <c r="E189" s="82" t="n">
        <v>1</v>
      </c>
      <c r="F189" s="82" t="n">
        <v>1</v>
      </c>
      <c r="G189" s="82" t="n">
        <v>1</v>
      </c>
      <c r="H189" s="82" t="n">
        <v>1</v>
      </c>
      <c r="I189" s="82" t="n">
        <v>1</v>
      </c>
      <c r="J189" s="82" t="n">
        <v>1</v>
      </c>
      <c r="K189" s="82" t="n">
        <v>1</v>
      </c>
      <c r="L189" s="82" t="n">
        <v>1</v>
      </c>
    </row>
    <row r="190" customFormat="false" ht="15" hidden="false" customHeight="false" outlineLevel="0" collapsed="false">
      <c r="A190" s="53" t="s">
        <v>1122</v>
      </c>
      <c r="B190" s="19" t="s">
        <v>1123</v>
      </c>
      <c r="C190" s="20" t="s">
        <v>1039</v>
      </c>
      <c r="D190" s="53" t="s">
        <v>1121</v>
      </c>
      <c r="E190" s="34" t="n">
        <v>17835000</v>
      </c>
      <c r="F190" s="34" t="n">
        <v>17835000</v>
      </c>
      <c r="G190" s="34" t="n">
        <v>17835000</v>
      </c>
      <c r="H190" s="34" t="n">
        <v>17835000</v>
      </c>
      <c r="I190" s="34" t="n">
        <v>17835000</v>
      </c>
      <c r="J190" s="34" t="n">
        <v>17835000</v>
      </c>
      <c r="K190" s="34" t="n">
        <v>17835000</v>
      </c>
      <c r="L190" s="34" t="n">
        <v>17835000</v>
      </c>
    </row>
    <row r="191" customFormat="false" ht="15" hidden="false" customHeight="false" outlineLevel="0" collapsed="false">
      <c r="A191" s="53" t="s">
        <v>1124</v>
      </c>
      <c r="B191" s="19" t="s">
        <v>1125</v>
      </c>
      <c r="C191" s="20" t="s">
        <v>32</v>
      </c>
      <c r="D191" s="53" t="s">
        <v>1121</v>
      </c>
      <c r="E191" s="34" t="n">
        <v>4492.44152409211</v>
      </c>
      <c r="F191" s="34" t="n">
        <v>18622.2165233213</v>
      </c>
      <c r="G191" s="34" t="n">
        <v>18914.8232816419</v>
      </c>
      <c r="H191" s="34" t="n">
        <v>19328.9049494396</v>
      </c>
      <c r="I191" s="34" t="n">
        <v>19753.9602225289</v>
      </c>
      <c r="J191" s="34" t="n">
        <v>20188.5473474245</v>
      </c>
      <c r="K191" s="34" t="n">
        <v>20632.6953890679</v>
      </c>
      <c r="L191" s="34" t="n">
        <v>21086.6146876274</v>
      </c>
    </row>
    <row r="192" customFormat="false" ht="15" hidden="false" customHeight="false" outlineLevel="0" collapsed="false">
      <c r="A192" s="53" t="s">
        <v>1126</v>
      </c>
      <c r="B192" s="19" t="s">
        <v>1127</v>
      </c>
      <c r="C192" s="20" t="s">
        <v>1035</v>
      </c>
      <c r="D192" s="53" t="s">
        <v>1128</v>
      </c>
      <c r="E192" s="82" t="n">
        <v>2</v>
      </c>
      <c r="F192" s="82" t="n">
        <v>2</v>
      </c>
      <c r="G192" s="82" t="n">
        <v>2</v>
      </c>
      <c r="H192" s="82" t="n">
        <v>2</v>
      </c>
      <c r="I192" s="82" t="n">
        <v>2</v>
      </c>
      <c r="J192" s="82" t="n">
        <v>2</v>
      </c>
      <c r="K192" s="82" t="n">
        <v>2</v>
      </c>
      <c r="L192" s="82" t="n">
        <v>2</v>
      </c>
    </row>
    <row r="193" customFormat="false" ht="15" hidden="false" customHeight="false" outlineLevel="0" collapsed="false">
      <c r="A193" s="53" t="s">
        <v>1129</v>
      </c>
      <c r="B193" s="19" t="s">
        <v>1130</v>
      </c>
      <c r="C193" s="20" t="s">
        <v>1039</v>
      </c>
      <c r="D193" s="53" t="s">
        <v>1128</v>
      </c>
      <c r="E193" s="34" t="n">
        <v>14268000</v>
      </c>
      <c r="F193" s="34" t="n">
        <v>14268000</v>
      </c>
      <c r="G193" s="34" t="n">
        <v>14268000</v>
      </c>
      <c r="H193" s="34" t="n">
        <v>14268000</v>
      </c>
      <c r="I193" s="34" t="n">
        <v>14268000</v>
      </c>
      <c r="J193" s="34" t="n">
        <v>14268000</v>
      </c>
      <c r="K193" s="34" t="n">
        <v>14268000</v>
      </c>
      <c r="L193" s="34" t="n">
        <v>14268000</v>
      </c>
    </row>
    <row r="194" customFormat="false" ht="15" hidden="false" customHeight="false" outlineLevel="0" collapsed="false">
      <c r="A194" s="53" t="s">
        <v>1131</v>
      </c>
      <c r="B194" s="19" t="s">
        <v>1132</v>
      </c>
      <c r="C194" s="20" t="s">
        <v>32</v>
      </c>
      <c r="D194" s="53" t="s">
        <v>1128</v>
      </c>
      <c r="E194" s="34" t="n">
        <v>7187.90643854738</v>
      </c>
      <c r="F194" s="34" t="n">
        <v>29795.546437314</v>
      </c>
      <c r="G194" s="34" t="n">
        <v>30263.7172506271</v>
      </c>
      <c r="H194" s="34" t="n">
        <v>30926.2479191033</v>
      </c>
      <c r="I194" s="34" t="n">
        <v>31606.3363560463</v>
      </c>
      <c r="J194" s="34" t="n">
        <v>32301.6757558793</v>
      </c>
      <c r="K194" s="34" t="n">
        <v>33012.3126225086</v>
      </c>
      <c r="L194" s="34" t="n">
        <v>33738.5835002038</v>
      </c>
    </row>
    <row r="195" customFormat="false" ht="15" hidden="false" customHeight="false" outlineLevel="0" collapsed="false">
      <c r="A195" s="53" t="s">
        <v>1133</v>
      </c>
      <c r="B195" s="19" t="s">
        <v>1134</v>
      </c>
      <c r="C195" s="20" t="s">
        <v>1035</v>
      </c>
      <c r="D195" s="53" t="s">
        <v>1135</v>
      </c>
      <c r="E195" s="82" t="n">
        <v>1</v>
      </c>
      <c r="F195" s="82" t="n">
        <v>1</v>
      </c>
      <c r="G195" s="82" t="n">
        <v>1</v>
      </c>
      <c r="H195" s="82" t="n">
        <v>1</v>
      </c>
      <c r="I195" s="82" t="n">
        <v>1</v>
      </c>
      <c r="J195" s="82" t="n">
        <v>1</v>
      </c>
      <c r="K195" s="82" t="n">
        <v>1</v>
      </c>
      <c r="L195" s="82" t="n">
        <v>1</v>
      </c>
    </row>
    <row r="196" customFormat="false" ht="15" hidden="false" customHeight="false" outlineLevel="0" collapsed="false">
      <c r="A196" s="53" t="s">
        <v>1136</v>
      </c>
      <c r="B196" s="19" t="s">
        <v>1137</v>
      </c>
      <c r="C196" s="20" t="s">
        <v>1039</v>
      </c>
      <c r="D196" s="53" t="s">
        <v>1135</v>
      </c>
      <c r="E196" s="34" t="n">
        <v>14268000</v>
      </c>
      <c r="F196" s="34" t="n">
        <v>14268000</v>
      </c>
      <c r="G196" s="34" t="n">
        <v>14268000</v>
      </c>
      <c r="H196" s="34" t="n">
        <v>14268000</v>
      </c>
      <c r="I196" s="34" t="n">
        <v>14268000</v>
      </c>
      <c r="J196" s="34" t="n">
        <v>14268000</v>
      </c>
      <c r="K196" s="34" t="n">
        <v>14268000</v>
      </c>
      <c r="L196" s="34" t="n">
        <v>14268000</v>
      </c>
    </row>
    <row r="197" customFormat="false" ht="15" hidden="false" customHeight="false" outlineLevel="0" collapsed="false">
      <c r="A197" s="53" t="s">
        <v>1138</v>
      </c>
      <c r="B197" s="19" t="s">
        <v>1139</v>
      </c>
      <c r="C197" s="20" t="s">
        <v>32</v>
      </c>
      <c r="D197" s="53" t="s">
        <v>1135</v>
      </c>
      <c r="E197" s="34" t="n">
        <v>3593.95321927369</v>
      </c>
      <c r="F197" s="34" t="n">
        <v>14897.773218657</v>
      </c>
      <c r="G197" s="34" t="n">
        <v>15131.8586253135</v>
      </c>
      <c r="H197" s="34" t="n">
        <v>15463.1239595516</v>
      </c>
      <c r="I197" s="34" t="n">
        <v>15803.1681780231</v>
      </c>
      <c r="J197" s="34" t="n">
        <v>16150.8378779396</v>
      </c>
      <c r="K197" s="34" t="n">
        <v>16506.1563112543</v>
      </c>
      <c r="L197" s="34" t="n">
        <v>16869.2917501019</v>
      </c>
    </row>
    <row r="198" customFormat="false" ht="15" hidden="false" customHeight="false" outlineLevel="0" collapsed="false">
      <c r="A198" s="53" t="s">
        <v>1140</v>
      </c>
      <c r="B198" s="19" t="s">
        <v>1141</v>
      </c>
      <c r="C198" s="20" t="s">
        <v>1035</v>
      </c>
      <c r="D198" s="53" t="s">
        <v>1142</v>
      </c>
      <c r="E198" s="82" t="n">
        <v>2</v>
      </c>
      <c r="F198" s="82" t="n">
        <v>2</v>
      </c>
      <c r="G198" s="82" t="n">
        <v>2</v>
      </c>
      <c r="H198" s="82" t="n">
        <v>2</v>
      </c>
      <c r="I198" s="82" t="n">
        <v>2</v>
      </c>
      <c r="J198" s="82" t="n">
        <v>2</v>
      </c>
      <c r="K198" s="82" t="n">
        <v>2</v>
      </c>
      <c r="L198" s="82" t="n">
        <v>2</v>
      </c>
    </row>
    <row r="199" customFormat="false" ht="15" hidden="false" customHeight="false" outlineLevel="0" collapsed="false">
      <c r="A199" s="53" t="s">
        <v>1143</v>
      </c>
      <c r="B199" s="19" t="s">
        <v>1144</v>
      </c>
      <c r="C199" s="20" t="s">
        <v>1039</v>
      </c>
      <c r="D199" s="53" t="s">
        <v>1142</v>
      </c>
      <c r="E199" s="34" t="n">
        <v>7134000</v>
      </c>
      <c r="F199" s="34" t="n">
        <v>7134000</v>
      </c>
      <c r="G199" s="34" t="n">
        <v>7134000</v>
      </c>
      <c r="H199" s="34" t="n">
        <v>7134000</v>
      </c>
      <c r="I199" s="34" t="n">
        <v>7134000</v>
      </c>
      <c r="J199" s="34" t="n">
        <v>7134000</v>
      </c>
      <c r="K199" s="34" t="n">
        <v>7134000</v>
      </c>
      <c r="L199" s="34" t="n">
        <v>7134000</v>
      </c>
    </row>
    <row r="200" customFormat="false" ht="15" hidden="false" customHeight="false" outlineLevel="0" collapsed="false">
      <c r="A200" s="53" t="s">
        <v>1145</v>
      </c>
      <c r="B200" s="19" t="s">
        <v>1146</v>
      </c>
      <c r="C200" s="20" t="s">
        <v>32</v>
      </c>
      <c r="D200" s="53" t="s">
        <v>1142</v>
      </c>
      <c r="E200" s="34" t="n">
        <v>3593.95321927369</v>
      </c>
      <c r="F200" s="34" t="n">
        <v>14897.773218657</v>
      </c>
      <c r="G200" s="34" t="n">
        <v>15131.8586253135</v>
      </c>
      <c r="H200" s="34" t="n">
        <v>15463.1239595516</v>
      </c>
      <c r="I200" s="34" t="n">
        <v>15803.1681780231</v>
      </c>
      <c r="J200" s="34" t="n">
        <v>16150.8378779396</v>
      </c>
      <c r="K200" s="34" t="n">
        <v>16506.1563112543</v>
      </c>
      <c r="L200" s="34" t="n">
        <v>16869.2917501019</v>
      </c>
    </row>
    <row r="201" customFormat="false" ht="15" hidden="false" customHeight="false" outlineLevel="0" collapsed="false">
      <c r="A201" s="53" t="s">
        <v>1147</v>
      </c>
      <c r="B201" s="19" t="s">
        <v>1148</v>
      </c>
      <c r="C201" s="20" t="s">
        <v>1035</v>
      </c>
      <c r="D201" s="53" t="s">
        <v>1149</v>
      </c>
      <c r="E201" s="82" t="n">
        <v>5</v>
      </c>
      <c r="F201" s="82" t="n">
        <v>5</v>
      </c>
      <c r="G201" s="82" t="n">
        <v>5</v>
      </c>
      <c r="H201" s="82" t="n">
        <v>5</v>
      </c>
      <c r="I201" s="82" t="n">
        <v>5</v>
      </c>
      <c r="J201" s="82" t="n">
        <v>5</v>
      </c>
      <c r="K201" s="82" t="n">
        <v>5</v>
      </c>
      <c r="L201" s="82" t="n">
        <v>5</v>
      </c>
    </row>
    <row r="202" customFormat="false" ht="15" hidden="false" customHeight="false" outlineLevel="0" collapsed="false">
      <c r="A202" s="53" t="s">
        <v>1150</v>
      </c>
      <c r="B202" s="19" t="s">
        <v>1151</v>
      </c>
      <c r="C202" s="20" t="s">
        <v>1039</v>
      </c>
      <c r="D202" s="53" t="s">
        <v>1149</v>
      </c>
      <c r="E202" s="34" t="n">
        <v>7134000</v>
      </c>
      <c r="F202" s="34" t="n">
        <v>7134000</v>
      </c>
      <c r="G202" s="34" t="n">
        <v>7134000</v>
      </c>
      <c r="H202" s="34" t="n">
        <v>7134000</v>
      </c>
      <c r="I202" s="34" t="n">
        <v>7134000</v>
      </c>
      <c r="J202" s="34" t="n">
        <v>7134000</v>
      </c>
      <c r="K202" s="34" t="n">
        <v>7134000</v>
      </c>
      <c r="L202" s="34" t="n">
        <v>7134000</v>
      </c>
    </row>
    <row r="203" customFormat="false" ht="15" hidden="false" customHeight="false" outlineLevel="0" collapsed="false">
      <c r="A203" s="53" t="s">
        <v>1152</v>
      </c>
      <c r="B203" s="19" t="s">
        <v>1153</v>
      </c>
      <c r="C203" s="20" t="s">
        <v>32</v>
      </c>
      <c r="D203" s="53" t="s">
        <v>1149</v>
      </c>
      <c r="E203" s="34" t="n">
        <v>8984.88304818422</v>
      </c>
      <c r="F203" s="34" t="n">
        <v>37244.4330466426</v>
      </c>
      <c r="G203" s="34" t="n">
        <v>37829.6465632838</v>
      </c>
      <c r="H203" s="34" t="n">
        <v>38657.8098988791</v>
      </c>
      <c r="I203" s="34" t="n">
        <v>39507.9204450578</v>
      </c>
      <c r="J203" s="34" t="n">
        <v>40377.0946948491</v>
      </c>
      <c r="K203" s="34" t="n">
        <v>41265.3907781358</v>
      </c>
      <c r="L203" s="34" t="n">
        <v>42173.2293752548</v>
      </c>
    </row>
    <row r="204" customFormat="false" ht="15" hidden="false" customHeight="false" outlineLevel="0" collapsed="false">
      <c r="A204" s="53" t="s">
        <v>1154</v>
      </c>
      <c r="B204" s="19" t="s">
        <v>1155</v>
      </c>
      <c r="C204" s="20" t="s">
        <v>1035</v>
      </c>
      <c r="D204" s="53" t="s">
        <v>1156</v>
      </c>
      <c r="E204" s="82" t="n">
        <v>3</v>
      </c>
      <c r="F204" s="82" t="n">
        <v>3</v>
      </c>
      <c r="G204" s="82" t="n">
        <v>3</v>
      </c>
      <c r="H204" s="82" t="n">
        <v>3</v>
      </c>
      <c r="I204" s="82" t="n">
        <v>3</v>
      </c>
      <c r="J204" s="82" t="n">
        <v>3</v>
      </c>
      <c r="K204" s="82" t="n">
        <v>3</v>
      </c>
      <c r="L204" s="82" t="n">
        <v>3</v>
      </c>
    </row>
    <row r="205" customFormat="false" ht="23.85" hidden="false" customHeight="false" outlineLevel="0" collapsed="false">
      <c r="A205" s="53" t="s">
        <v>1157</v>
      </c>
      <c r="B205" s="19" t="s">
        <v>1158</v>
      </c>
      <c r="C205" s="20" t="s">
        <v>1039</v>
      </c>
      <c r="D205" s="53" t="s">
        <v>1156</v>
      </c>
      <c r="E205" s="34" t="n">
        <v>7134000</v>
      </c>
      <c r="F205" s="34" t="n">
        <v>7134000</v>
      </c>
      <c r="G205" s="34" t="n">
        <v>7134000</v>
      </c>
      <c r="H205" s="34" t="n">
        <v>7134000</v>
      </c>
      <c r="I205" s="34" t="n">
        <v>7134000</v>
      </c>
      <c r="J205" s="34" t="n">
        <v>7134000</v>
      </c>
      <c r="K205" s="34" t="n">
        <v>7134000</v>
      </c>
      <c r="L205" s="34" t="n">
        <v>7134000</v>
      </c>
    </row>
    <row r="206" customFormat="false" ht="15" hidden="false" customHeight="false" outlineLevel="0" collapsed="false">
      <c r="A206" s="53" t="s">
        <v>1159</v>
      </c>
      <c r="B206" s="19" t="s">
        <v>1160</v>
      </c>
      <c r="C206" s="20" t="s">
        <v>32</v>
      </c>
      <c r="D206" s="53" t="s">
        <v>1156</v>
      </c>
      <c r="E206" s="34" t="n">
        <v>5390.92982891053</v>
      </c>
      <c r="F206" s="34" t="n">
        <v>22346.6598279855</v>
      </c>
      <c r="G206" s="34" t="n">
        <v>22697.7879379703</v>
      </c>
      <c r="H206" s="34" t="n">
        <v>23194.6859393275</v>
      </c>
      <c r="I206" s="34" t="n">
        <v>23704.7522670347</v>
      </c>
      <c r="J206" s="34" t="n">
        <v>24226.2568169095</v>
      </c>
      <c r="K206" s="34" t="n">
        <v>24759.2344668815</v>
      </c>
      <c r="L206" s="34" t="n">
        <v>25303.9376251529</v>
      </c>
    </row>
    <row r="207" customFormat="false" ht="15" hidden="false" customHeight="false" outlineLevel="0" collapsed="false">
      <c r="A207" s="53" t="s">
        <v>1161</v>
      </c>
      <c r="B207" s="19" t="s">
        <v>1162</v>
      </c>
      <c r="C207" s="20" t="s">
        <v>1035</v>
      </c>
      <c r="D207" s="53" t="s">
        <v>1163</v>
      </c>
      <c r="E207" s="82" t="n">
        <v>1</v>
      </c>
      <c r="F207" s="82" t="n">
        <v>1</v>
      </c>
      <c r="G207" s="82" t="n">
        <v>1</v>
      </c>
      <c r="H207" s="82" t="n">
        <v>1</v>
      </c>
      <c r="I207" s="82" t="n">
        <v>1</v>
      </c>
      <c r="J207" s="82" t="n">
        <v>1</v>
      </c>
      <c r="K207" s="82" t="n">
        <v>1</v>
      </c>
      <c r="L207" s="82" t="n">
        <v>1</v>
      </c>
    </row>
    <row r="208" customFormat="false" ht="15" hidden="false" customHeight="false" outlineLevel="0" collapsed="false">
      <c r="A208" s="53" t="s">
        <v>1164</v>
      </c>
      <c r="B208" s="19" t="s">
        <v>1165</v>
      </c>
      <c r="C208" s="20" t="s">
        <v>1039</v>
      </c>
      <c r="D208" s="53" t="s">
        <v>1163</v>
      </c>
      <c r="E208" s="34" t="n">
        <v>17835000</v>
      </c>
      <c r="F208" s="34" t="n">
        <v>17835000</v>
      </c>
      <c r="G208" s="34" t="n">
        <v>17835000</v>
      </c>
      <c r="H208" s="34" t="n">
        <v>17835000</v>
      </c>
      <c r="I208" s="34" t="n">
        <v>17835000</v>
      </c>
      <c r="J208" s="34" t="n">
        <v>17835000</v>
      </c>
      <c r="K208" s="34" t="n">
        <v>17835000</v>
      </c>
      <c r="L208" s="34" t="n">
        <v>17835000</v>
      </c>
    </row>
    <row r="209" customFormat="false" ht="15" hidden="false" customHeight="false" outlineLevel="0" collapsed="false">
      <c r="A209" s="53" t="s">
        <v>1166</v>
      </c>
      <c r="B209" s="19" t="s">
        <v>1167</v>
      </c>
      <c r="C209" s="20" t="s">
        <v>32</v>
      </c>
      <c r="D209" s="53" t="s">
        <v>1163</v>
      </c>
      <c r="E209" s="34" t="n">
        <v>4492.44152409211</v>
      </c>
      <c r="F209" s="34" t="n">
        <v>18622.2165233213</v>
      </c>
      <c r="G209" s="34" t="n">
        <v>18914.8232816419</v>
      </c>
      <c r="H209" s="34" t="n">
        <v>19328.9049494396</v>
      </c>
      <c r="I209" s="34" t="n">
        <v>19753.9602225289</v>
      </c>
      <c r="J209" s="34" t="n">
        <v>20188.5473474245</v>
      </c>
      <c r="K209" s="34" t="n">
        <v>20632.6953890679</v>
      </c>
      <c r="L209" s="34" t="n">
        <v>21086.6146876274</v>
      </c>
    </row>
    <row r="210" customFormat="false" ht="15" hidden="false" customHeight="false" outlineLevel="0" collapsed="false">
      <c r="A210" s="53" t="s">
        <v>1168</v>
      </c>
      <c r="B210" s="19" t="s">
        <v>1169</v>
      </c>
      <c r="C210" s="20" t="s">
        <v>1035</v>
      </c>
      <c r="D210" s="53" t="s">
        <v>1170</v>
      </c>
      <c r="E210" s="82" t="n">
        <v>40</v>
      </c>
      <c r="F210" s="82" t="n">
        <v>40</v>
      </c>
      <c r="G210" s="82" t="n">
        <v>40</v>
      </c>
      <c r="H210" s="82" t="n">
        <v>40</v>
      </c>
      <c r="I210" s="82" t="n">
        <v>40</v>
      </c>
      <c r="J210" s="82" t="n">
        <v>40</v>
      </c>
      <c r="K210" s="82" t="n">
        <v>40</v>
      </c>
      <c r="L210" s="82" t="n">
        <v>40</v>
      </c>
    </row>
    <row r="211" customFormat="false" ht="23.85" hidden="false" customHeight="false" outlineLevel="0" collapsed="false">
      <c r="A211" s="53" t="s">
        <v>1171</v>
      </c>
      <c r="B211" s="19" t="s">
        <v>1172</v>
      </c>
      <c r="C211" s="20" t="s">
        <v>1039</v>
      </c>
      <c r="D211" s="53" t="s">
        <v>1170</v>
      </c>
      <c r="E211" s="34" t="n">
        <v>15457000</v>
      </c>
      <c r="F211" s="34" t="n">
        <v>15457000</v>
      </c>
      <c r="G211" s="34" t="n">
        <v>15457000</v>
      </c>
      <c r="H211" s="34" t="n">
        <v>15457000</v>
      </c>
      <c r="I211" s="34" t="n">
        <v>15457000</v>
      </c>
      <c r="J211" s="34" t="n">
        <v>15457000</v>
      </c>
      <c r="K211" s="34" t="n">
        <v>15457000</v>
      </c>
      <c r="L211" s="34" t="n">
        <v>15457000</v>
      </c>
    </row>
    <row r="212" customFormat="false" ht="15" hidden="false" customHeight="false" outlineLevel="0" collapsed="false">
      <c r="A212" s="53" t="s">
        <v>1173</v>
      </c>
      <c r="B212" s="19" t="s">
        <v>1174</v>
      </c>
      <c r="C212" s="20" t="s">
        <v>32</v>
      </c>
      <c r="D212" s="53" t="s">
        <v>1170</v>
      </c>
      <c r="E212" s="34" t="n">
        <v>155737.972835193</v>
      </c>
      <c r="F212" s="34" t="n">
        <v>645570.172808471</v>
      </c>
      <c r="G212" s="34" t="n">
        <v>655713.873763586</v>
      </c>
      <c r="H212" s="34" t="n">
        <v>670068.704913904</v>
      </c>
      <c r="I212" s="34" t="n">
        <v>684803.954381002</v>
      </c>
      <c r="J212" s="34" t="n">
        <v>699869.641377384</v>
      </c>
      <c r="K212" s="34" t="n">
        <v>715266.773487687</v>
      </c>
      <c r="L212" s="34" t="n">
        <v>731002.642504416</v>
      </c>
    </row>
    <row r="213" customFormat="false" ht="15" hidden="false" customHeight="false" outlineLevel="0" collapsed="false">
      <c r="A213" s="53" t="s">
        <v>1175</v>
      </c>
      <c r="B213" s="19" t="s">
        <v>1162</v>
      </c>
      <c r="C213" s="20" t="s">
        <v>1035</v>
      </c>
      <c r="D213" s="53" t="s">
        <v>1176</v>
      </c>
      <c r="E213" s="82" t="n">
        <v>1</v>
      </c>
      <c r="F213" s="82" t="n">
        <v>1</v>
      </c>
      <c r="G213" s="82" t="n">
        <v>1</v>
      </c>
      <c r="H213" s="82" t="n">
        <v>1</v>
      </c>
      <c r="I213" s="82" t="n">
        <v>1</v>
      </c>
      <c r="J213" s="82" t="n">
        <v>1</v>
      </c>
      <c r="K213" s="82" t="n">
        <v>1</v>
      </c>
      <c r="L213" s="82" t="n">
        <v>1</v>
      </c>
    </row>
    <row r="214" customFormat="false" ht="15" hidden="false" customHeight="false" outlineLevel="0" collapsed="false">
      <c r="A214" s="53" t="s">
        <v>1177</v>
      </c>
      <c r="B214" s="19" t="s">
        <v>1165</v>
      </c>
      <c r="C214" s="20" t="s">
        <v>1039</v>
      </c>
      <c r="D214" s="53" t="s">
        <v>1176</v>
      </c>
      <c r="E214" s="34" t="n">
        <v>17835000</v>
      </c>
      <c r="F214" s="34" t="n">
        <v>17835000</v>
      </c>
      <c r="G214" s="34" t="n">
        <v>17835000</v>
      </c>
      <c r="H214" s="34" t="n">
        <v>17835000</v>
      </c>
      <c r="I214" s="34" t="n">
        <v>17835000</v>
      </c>
      <c r="J214" s="34" t="n">
        <v>17835000</v>
      </c>
      <c r="K214" s="34" t="n">
        <v>17835000</v>
      </c>
      <c r="L214" s="34" t="n">
        <v>17835000</v>
      </c>
    </row>
    <row r="215" customFormat="false" ht="15" hidden="false" customHeight="false" outlineLevel="0" collapsed="false">
      <c r="A215" s="53" t="s">
        <v>1178</v>
      </c>
      <c r="B215" s="19" t="s">
        <v>1167</v>
      </c>
      <c r="C215" s="20" t="s">
        <v>32</v>
      </c>
      <c r="D215" s="53" t="s">
        <v>1176</v>
      </c>
      <c r="E215" s="34" t="n">
        <v>4492.44152409211</v>
      </c>
      <c r="F215" s="34" t="n">
        <v>18622.2165233213</v>
      </c>
      <c r="G215" s="34" t="n">
        <v>18914.8232816419</v>
      </c>
      <c r="H215" s="34" t="n">
        <v>19328.9049494396</v>
      </c>
      <c r="I215" s="34" t="n">
        <v>19753.9602225289</v>
      </c>
      <c r="J215" s="34" t="n">
        <v>20188.5473474245</v>
      </c>
      <c r="K215" s="34" t="n">
        <v>20632.6953890679</v>
      </c>
      <c r="L215" s="34" t="n">
        <v>21086.6146876274</v>
      </c>
    </row>
    <row r="216" customFormat="false" ht="15" hidden="false" customHeight="false" outlineLevel="0" collapsed="false">
      <c r="A216" s="53" t="s">
        <v>1179</v>
      </c>
      <c r="B216" s="19" t="s">
        <v>1180</v>
      </c>
      <c r="C216" s="20" t="s">
        <v>1035</v>
      </c>
      <c r="D216" s="53" t="s">
        <v>1181</v>
      </c>
      <c r="E216" s="82" t="n">
        <v>8</v>
      </c>
      <c r="F216" s="82" t="n">
        <v>8</v>
      </c>
      <c r="G216" s="82" t="n">
        <v>8</v>
      </c>
      <c r="H216" s="82" t="n">
        <v>8</v>
      </c>
      <c r="I216" s="82" t="n">
        <v>8</v>
      </c>
      <c r="J216" s="82" t="n">
        <v>8</v>
      </c>
      <c r="K216" s="82" t="n">
        <v>8</v>
      </c>
      <c r="L216" s="82" t="n">
        <v>8</v>
      </c>
    </row>
    <row r="217" customFormat="false" ht="15" hidden="false" customHeight="false" outlineLevel="0" collapsed="false">
      <c r="A217" s="53" t="s">
        <v>1182</v>
      </c>
      <c r="B217" s="19" t="s">
        <v>1183</v>
      </c>
      <c r="C217" s="20" t="s">
        <v>1039</v>
      </c>
      <c r="D217" s="53" t="s">
        <v>1181</v>
      </c>
      <c r="E217" s="34" t="n">
        <v>15457000</v>
      </c>
      <c r="F217" s="34" t="n">
        <v>15457000</v>
      </c>
      <c r="G217" s="34" t="n">
        <v>15457000</v>
      </c>
      <c r="H217" s="34" t="n">
        <v>15457000</v>
      </c>
      <c r="I217" s="34" t="n">
        <v>15457000</v>
      </c>
      <c r="J217" s="34" t="n">
        <v>15457000</v>
      </c>
      <c r="K217" s="34" t="n">
        <v>15457000</v>
      </c>
      <c r="L217" s="34" t="n">
        <v>15457000</v>
      </c>
    </row>
    <row r="218" customFormat="false" ht="15" hidden="false" customHeight="false" outlineLevel="0" collapsed="false">
      <c r="A218" s="53" t="s">
        <v>1184</v>
      </c>
      <c r="B218" s="19" t="s">
        <v>1185</v>
      </c>
      <c r="C218" s="20" t="s">
        <v>32</v>
      </c>
      <c r="D218" s="53" t="s">
        <v>1181</v>
      </c>
      <c r="E218" s="34" t="n">
        <v>31147.5945670386</v>
      </c>
      <c r="F218" s="34" t="n">
        <v>129114.034561694</v>
      </c>
      <c r="G218" s="34" t="n">
        <v>131142.774752717</v>
      </c>
      <c r="H218" s="34" t="n">
        <v>134013.740982781</v>
      </c>
      <c r="I218" s="34" t="n">
        <v>136960.790876201</v>
      </c>
      <c r="J218" s="34" t="n">
        <v>139973.928275477</v>
      </c>
      <c r="K218" s="34" t="n">
        <v>143053.354697537</v>
      </c>
      <c r="L218" s="34" t="n">
        <v>146200.528500883</v>
      </c>
    </row>
    <row r="219" customFormat="false" ht="15" hidden="false" customHeight="false" outlineLevel="0" collapsed="false">
      <c r="A219" s="53" t="s">
        <v>1186</v>
      </c>
      <c r="B219" s="19" t="s">
        <v>1162</v>
      </c>
      <c r="C219" s="20" t="s">
        <v>1035</v>
      </c>
      <c r="D219" s="53" t="s">
        <v>1187</v>
      </c>
      <c r="E219" s="82" t="n">
        <v>1</v>
      </c>
      <c r="F219" s="82" t="n">
        <v>1</v>
      </c>
      <c r="G219" s="82" t="n">
        <v>1</v>
      </c>
      <c r="H219" s="82" t="n">
        <v>1</v>
      </c>
      <c r="I219" s="82" t="n">
        <v>1</v>
      </c>
      <c r="J219" s="82" t="n">
        <v>1</v>
      </c>
      <c r="K219" s="82" t="n">
        <v>1</v>
      </c>
      <c r="L219" s="82" t="n">
        <v>1</v>
      </c>
    </row>
    <row r="220" customFormat="false" ht="15" hidden="false" customHeight="false" outlineLevel="0" collapsed="false">
      <c r="A220" s="53" t="s">
        <v>1188</v>
      </c>
      <c r="B220" s="19" t="s">
        <v>1165</v>
      </c>
      <c r="C220" s="20" t="s">
        <v>1039</v>
      </c>
      <c r="D220" s="53" t="s">
        <v>1187</v>
      </c>
      <c r="E220" s="34" t="n">
        <v>17835000</v>
      </c>
      <c r="F220" s="34" t="n">
        <v>17835000</v>
      </c>
      <c r="G220" s="34" t="n">
        <v>17835000</v>
      </c>
      <c r="H220" s="34" t="n">
        <v>17835000</v>
      </c>
      <c r="I220" s="34" t="n">
        <v>17835000</v>
      </c>
      <c r="J220" s="34" t="n">
        <v>17835000</v>
      </c>
      <c r="K220" s="34" t="n">
        <v>17835000</v>
      </c>
      <c r="L220" s="34" t="n">
        <v>17835000</v>
      </c>
    </row>
    <row r="221" customFormat="false" ht="15" hidden="false" customHeight="false" outlineLevel="0" collapsed="false">
      <c r="A221" s="53" t="s">
        <v>1189</v>
      </c>
      <c r="B221" s="19" t="s">
        <v>1167</v>
      </c>
      <c r="C221" s="20" t="s">
        <v>32</v>
      </c>
      <c r="D221" s="53" t="s">
        <v>1187</v>
      </c>
      <c r="E221" s="34" t="n">
        <v>4492.44152409211</v>
      </c>
      <c r="F221" s="34" t="n">
        <v>18622.2165233213</v>
      </c>
      <c r="G221" s="34" t="n">
        <v>18914.8232816419</v>
      </c>
      <c r="H221" s="34" t="n">
        <v>19328.9049494396</v>
      </c>
      <c r="I221" s="34" t="n">
        <v>19753.9602225289</v>
      </c>
      <c r="J221" s="34" t="n">
        <v>20188.5473474245</v>
      </c>
      <c r="K221" s="34" t="n">
        <v>20632.6953890679</v>
      </c>
      <c r="L221" s="34" t="n">
        <v>21086.6146876274</v>
      </c>
    </row>
    <row r="222" customFormat="false" ht="15" hidden="false" customHeight="false" outlineLevel="0" collapsed="false">
      <c r="A222" s="53" t="s">
        <v>1190</v>
      </c>
      <c r="B222" s="19" t="s">
        <v>1191</v>
      </c>
      <c r="C222" s="20" t="s">
        <v>1035</v>
      </c>
      <c r="D222" s="53" t="s">
        <v>1192</v>
      </c>
      <c r="E222" s="82" t="n">
        <v>12</v>
      </c>
      <c r="F222" s="82" t="n">
        <v>12</v>
      </c>
      <c r="G222" s="82" t="n">
        <v>12</v>
      </c>
      <c r="H222" s="82" t="n">
        <v>12</v>
      </c>
      <c r="I222" s="82" t="n">
        <v>12</v>
      </c>
      <c r="J222" s="82" t="n">
        <v>12</v>
      </c>
      <c r="K222" s="82" t="n">
        <v>12</v>
      </c>
      <c r="L222" s="82" t="n">
        <v>12</v>
      </c>
    </row>
    <row r="223" customFormat="false" ht="23.85" hidden="false" customHeight="false" outlineLevel="0" collapsed="false">
      <c r="A223" s="53" t="s">
        <v>1193</v>
      </c>
      <c r="B223" s="19" t="s">
        <v>1194</v>
      </c>
      <c r="C223" s="20" t="s">
        <v>1039</v>
      </c>
      <c r="D223" s="53" t="s">
        <v>1192</v>
      </c>
      <c r="E223" s="34" t="n">
        <v>15457000</v>
      </c>
      <c r="F223" s="34" t="n">
        <v>15457000</v>
      </c>
      <c r="G223" s="34" t="n">
        <v>15457000</v>
      </c>
      <c r="H223" s="34" t="n">
        <v>15457000</v>
      </c>
      <c r="I223" s="34" t="n">
        <v>15457000</v>
      </c>
      <c r="J223" s="34" t="n">
        <v>15457000</v>
      </c>
      <c r="K223" s="34" t="n">
        <v>15457000</v>
      </c>
      <c r="L223" s="34" t="n">
        <v>15457000</v>
      </c>
    </row>
    <row r="224" customFormat="false" ht="15" hidden="false" customHeight="false" outlineLevel="0" collapsed="false">
      <c r="A224" s="53" t="s">
        <v>1195</v>
      </c>
      <c r="B224" s="19" t="s">
        <v>1196</v>
      </c>
      <c r="C224" s="20" t="s">
        <v>32</v>
      </c>
      <c r="D224" s="53" t="s">
        <v>1192</v>
      </c>
      <c r="E224" s="34" t="n">
        <v>46721.391850558</v>
      </c>
      <c r="F224" s="34" t="n">
        <v>193671.051842541</v>
      </c>
      <c r="G224" s="34" t="n">
        <v>196714.162129076</v>
      </c>
      <c r="H224" s="34" t="n">
        <v>201020.611474171</v>
      </c>
      <c r="I224" s="34" t="n">
        <v>205441.186314301</v>
      </c>
      <c r="J224" s="34" t="n">
        <v>209960.892413215</v>
      </c>
      <c r="K224" s="34" t="n">
        <v>214580.032046306</v>
      </c>
      <c r="L224" s="34" t="n">
        <v>219300.792751325</v>
      </c>
    </row>
    <row r="225" customFormat="false" ht="15" hidden="false" customHeight="false" outlineLevel="0" collapsed="false">
      <c r="A225" s="53" t="s">
        <v>1197</v>
      </c>
      <c r="B225" s="19" t="s">
        <v>1198</v>
      </c>
      <c r="C225" s="20" t="s">
        <v>1035</v>
      </c>
      <c r="D225" s="53" t="s">
        <v>1199</v>
      </c>
      <c r="E225" s="82" t="n">
        <v>1</v>
      </c>
      <c r="F225" s="82" t="n">
        <v>1</v>
      </c>
      <c r="G225" s="82" t="n">
        <v>1</v>
      </c>
      <c r="H225" s="82" t="n">
        <v>1</v>
      </c>
      <c r="I225" s="82" t="n">
        <v>1</v>
      </c>
      <c r="J225" s="82" t="n">
        <v>1</v>
      </c>
      <c r="K225" s="82" t="n">
        <v>1</v>
      </c>
      <c r="L225" s="82" t="n">
        <v>1</v>
      </c>
    </row>
    <row r="226" customFormat="false" ht="15" hidden="false" customHeight="false" outlineLevel="0" collapsed="false">
      <c r="A226" s="53" t="s">
        <v>1200</v>
      </c>
      <c r="B226" s="19" t="s">
        <v>1201</v>
      </c>
      <c r="C226" s="20" t="s">
        <v>1039</v>
      </c>
      <c r="D226" s="53" t="s">
        <v>1199</v>
      </c>
      <c r="E226" s="34" t="n">
        <v>9512000</v>
      </c>
      <c r="F226" s="34" t="n">
        <v>9512000</v>
      </c>
      <c r="G226" s="34" t="n">
        <v>9512000</v>
      </c>
      <c r="H226" s="34" t="n">
        <v>9512000</v>
      </c>
      <c r="I226" s="34" t="n">
        <v>9512000</v>
      </c>
      <c r="J226" s="34" t="n">
        <v>9512000</v>
      </c>
      <c r="K226" s="34" t="n">
        <v>9512000</v>
      </c>
      <c r="L226" s="34" t="n">
        <v>9512000</v>
      </c>
    </row>
    <row r="227" customFormat="false" ht="15" hidden="false" customHeight="false" outlineLevel="0" collapsed="false">
      <c r="A227" s="53" t="s">
        <v>1202</v>
      </c>
      <c r="B227" s="19" t="s">
        <v>1203</v>
      </c>
      <c r="C227" s="20" t="s">
        <v>32</v>
      </c>
      <c r="D227" s="53" t="s">
        <v>1199</v>
      </c>
      <c r="E227" s="34" t="n">
        <v>2395.96881284913</v>
      </c>
      <c r="F227" s="34" t="n">
        <v>9931.84881243801</v>
      </c>
      <c r="G227" s="34" t="n">
        <v>10087.905750209</v>
      </c>
      <c r="H227" s="34" t="n">
        <v>10308.7493063678</v>
      </c>
      <c r="I227" s="34" t="n">
        <v>10535.4454520154</v>
      </c>
      <c r="J227" s="34" t="n">
        <v>10767.2252519598</v>
      </c>
      <c r="K227" s="34" t="n">
        <v>11004.1042075029</v>
      </c>
      <c r="L227" s="34" t="n">
        <v>11246.1945000679</v>
      </c>
    </row>
    <row r="228" customFormat="false" ht="15" hidden="false" customHeight="false" outlineLevel="0" collapsed="false">
      <c r="A228" s="53" t="s">
        <v>1204</v>
      </c>
      <c r="B228" s="19" t="s">
        <v>1205</v>
      </c>
      <c r="C228" s="20" t="s">
        <v>1035</v>
      </c>
      <c r="D228" s="53" t="s">
        <v>1206</v>
      </c>
      <c r="E228" s="82" t="n">
        <v>8</v>
      </c>
      <c r="F228" s="82" t="n">
        <v>8</v>
      </c>
      <c r="G228" s="82" t="n">
        <v>8</v>
      </c>
      <c r="H228" s="82" t="n">
        <v>8</v>
      </c>
      <c r="I228" s="82" t="n">
        <v>8</v>
      </c>
      <c r="J228" s="82" t="n">
        <v>8</v>
      </c>
      <c r="K228" s="82" t="n">
        <v>8</v>
      </c>
      <c r="L228" s="82" t="n">
        <v>8</v>
      </c>
    </row>
    <row r="229" customFormat="false" ht="15" hidden="false" customHeight="false" outlineLevel="0" collapsed="false">
      <c r="A229" s="53" t="s">
        <v>1207</v>
      </c>
      <c r="B229" s="19" t="s">
        <v>1208</v>
      </c>
      <c r="C229" s="20" t="s">
        <v>1039</v>
      </c>
      <c r="D229" s="53" t="s">
        <v>1206</v>
      </c>
      <c r="E229" s="34" t="n">
        <v>11592750</v>
      </c>
      <c r="F229" s="34" t="n">
        <v>11592750</v>
      </c>
      <c r="G229" s="34" t="n">
        <v>11592750</v>
      </c>
      <c r="H229" s="34" t="n">
        <v>11592750</v>
      </c>
      <c r="I229" s="34" t="n">
        <v>11592750</v>
      </c>
      <c r="J229" s="34" t="n">
        <v>11592750</v>
      </c>
      <c r="K229" s="34" t="n">
        <v>11592750</v>
      </c>
      <c r="L229" s="34" t="n">
        <v>11592750</v>
      </c>
    </row>
    <row r="230" customFormat="false" ht="15" hidden="false" customHeight="false" outlineLevel="0" collapsed="false">
      <c r="A230" s="53" t="s">
        <v>1209</v>
      </c>
      <c r="B230" s="19" t="s">
        <v>1210</v>
      </c>
      <c r="C230" s="20" t="s">
        <v>32</v>
      </c>
      <c r="D230" s="53" t="s">
        <v>1206</v>
      </c>
      <c r="E230" s="34" t="n">
        <v>23360.695925279</v>
      </c>
      <c r="F230" s="34" t="n">
        <v>96835.5259212706</v>
      </c>
      <c r="G230" s="34" t="n">
        <v>98357.0810645379</v>
      </c>
      <c r="H230" s="34" t="n">
        <v>100510.305737086</v>
      </c>
      <c r="I230" s="34" t="n">
        <v>102720.59315715</v>
      </c>
      <c r="J230" s="34" t="n">
        <v>104980.446206608</v>
      </c>
      <c r="K230" s="34" t="n">
        <v>107290.016023153</v>
      </c>
      <c r="L230" s="34" t="n">
        <v>109650.396375662</v>
      </c>
    </row>
    <row r="231" customFormat="false" ht="15" hidden="false" customHeight="false" outlineLevel="0" collapsed="false">
      <c r="A231" s="53" t="s">
        <v>1211</v>
      </c>
      <c r="B231" s="19" t="s">
        <v>1212</v>
      </c>
      <c r="C231" s="20" t="s">
        <v>1035</v>
      </c>
      <c r="D231" s="53" t="s">
        <v>1213</v>
      </c>
      <c r="E231" s="82" t="n">
        <v>8</v>
      </c>
      <c r="F231" s="82" t="n">
        <v>8</v>
      </c>
      <c r="G231" s="82" t="n">
        <v>8</v>
      </c>
      <c r="H231" s="82" t="n">
        <v>8</v>
      </c>
      <c r="I231" s="82" t="n">
        <v>8</v>
      </c>
      <c r="J231" s="82" t="n">
        <v>8</v>
      </c>
      <c r="K231" s="82" t="n">
        <v>8</v>
      </c>
      <c r="L231" s="82" t="n">
        <v>8</v>
      </c>
    </row>
    <row r="232" customFormat="false" ht="15" hidden="false" customHeight="false" outlineLevel="0" collapsed="false">
      <c r="A232" s="53" t="s">
        <v>1214</v>
      </c>
      <c r="B232" s="19" t="s">
        <v>1215</v>
      </c>
      <c r="C232" s="20" t="s">
        <v>1039</v>
      </c>
      <c r="D232" s="53" t="s">
        <v>1213</v>
      </c>
      <c r="E232" s="34" t="n">
        <v>11592750</v>
      </c>
      <c r="F232" s="34" t="n">
        <v>11592750</v>
      </c>
      <c r="G232" s="34" t="n">
        <v>11592750</v>
      </c>
      <c r="H232" s="34" t="n">
        <v>11592750</v>
      </c>
      <c r="I232" s="34" t="n">
        <v>11592750</v>
      </c>
      <c r="J232" s="34" t="n">
        <v>11592750</v>
      </c>
      <c r="K232" s="34" t="n">
        <v>11592750</v>
      </c>
      <c r="L232" s="34" t="n">
        <v>11592750</v>
      </c>
    </row>
    <row r="233" customFormat="false" ht="15" hidden="false" customHeight="false" outlineLevel="0" collapsed="false">
      <c r="A233" s="53" t="s">
        <v>1216</v>
      </c>
      <c r="B233" s="19" t="s">
        <v>1217</v>
      </c>
      <c r="C233" s="20" t="s">
        <v>32</v>
      </c>
      <c r="D233" s="53" t="s">
        <v>1213</v>
      </c>
      <c r="E233" s="34" t="n">
        <v>23360.695925279</v>
      </c>
      <c r="F233" s="34" t="n">
        <v>96835.5259212706</v>
      </c>
      <c r="G233" s="34" t="n">
        <v>98357.0810645379</v>
      </c>
      <c r="H233" s="34" t="n">
        <v>100510.305737086</v>
      </c>
      <c r="I233" s="34" t="n">
        <v>102720.59315715</v>
      </c>
      <c r="J233" s="34" t="n">
        <v>104980.446206608</v>
      </c>
      <c r="K233" s="34" t="n">
        <v>107290.016023153</v>
      </c>
      <c r="L233" s="34" t="n">
        <v>109650.396375662</v>
      </c>
    </row>
    <row r="234" customFormat="false" ht="15" hidden="false" customHeight="false" outlineLevel="0" collapsed="false">
      <c r="A234" s="53" t="s">
        <v>1218</v>
      </c>
      <c r="B234" s="19" t="s">
        <v>1219</v>
      </c>
      <c r="C234" s="20" t="s">
        <v>1035</v>
      </c>
      <c r="D234" s="53" t="s">
        <v>1220</v>
      </c>
      <c r="E234" s="82" t="n">
        <v>12</v>
      </c>
      <c r="F234" s="82" t="n">
        <v>12</v>
      </c>
      <c r="G234" s="82" t="n">
        <v>12</v>
      </c>
      <c r="H234" s="82" t="n">
        <v>12</v>
      </c>
      <c r="I234" s="82" t="n">
        <v>12</v>
      </c>
      <c r="J234" s="82" t="n">
        <v>12</v>
      </c>
      <c r="K234" s="82" t="n">
        <v>12</v>
      </c>
      <c r="L234" s="82" t="n">
        <v>12</v>
      </c>
    </row>
    <row r="235" customFormat="false" ht="23.85" hidden="false" customHeight="false" outlineLevel="0" collapsed="false">
      <c r="A235" s="53" t="s">
        <v>1221</v>
      </c>
      <c r="B235" s="19" t="s">
        <v>1222</v>
      </c>
      <c r="C235" s="20" t="s">
        <v>1039</v>
      </c>
      <c r="D235" s="53" t="s">
        <v>1220</v>
      </c>
      <c r="E235" s="34" t="n">
        <v>11592750</v>
      </c>
      <c r="F235" s="34" t="n">
        <v>11592750</v>
      </c>
      <c r="G235" s="34" t="n">
        <v>11592750</v>
      </c>
      <c r="H235" s="34" t="n">
        <v>11592750</v>
      </c>
      <c r="I235" s="34" t="n">
        <v>11592750</v>
      </c>
      <c r="J235" s="34" t="n">
        <v>11592750</v>
      </c>
      <c r="K235" s="34" t="n">
        <v>11592750</v>
      </c>
      <c r="L235" s="34" t="n">
        <v>11592750</v>
      </c>
    </row>
    <row r="236" customFormat="false" ht="15" hidden="false" customHeight="false" outlineLevel="0" collapsed="false">
      <c r="A236" s="53" t="s">
        <v>1223</v>
      </c>
      <c r="B236" s="19" t="s">
        <v>1224</v>
      </c>
      <c r="C236" s="20" t="s">
        <v>32</v>
      </c>
      <c r="D236" s="53" t="s">
        <v>1220</v>
      </c>
      <c r="E236" s="34" t="n">
        <v>35041.0438879185</v>
      </c>
      <c r="F236" s="34" t="n">
        <v>145253.288881906</v>
      </c>
      <c r="G236" s="34" t="n">
        <v>147535.621596807</v>
      </c>
      <c r="H236" s="34" t="n">
        <v>150765.458605628</v>
      </c>
      <c r="I236" s="34" t="n">
        <v>154080.889735726</v>
      </c>
      <c r="J236" s="34" t="n">
        <v>157470.669309912</v>
      </c>
      <c r="K236" s="34" t="n">
        <v>160935.02403473</v>
      </c>
      <c r="L236" s="34" t="n">
        <v>164475.594563494</v>
      </c>
    </row>
    <row r="237" customFormat="false" ht="15" hidden="false" customHeight="false" outlineLevel="0" collapsed="false">
      <c r="A237" s="53" t="s">
        <v>1225</v>
      </c>
      <c r="B237" s="19" t="s">
        <v>1226</v>
      </c>
      <c r="C237" s="20" t="s">
        <v>1035</v>
      </c>
      <c r="D237" s="53" t="s">
        <v>1227</v>
      </c>
      <c r="E237" s="82" t="n">
        <v>10</v>
      </c>
      <c r="F237" s="82" t="n">
        <v>10</v>
      </c>
      <c r="G237" s="82" t="n">
        <v>10</v>
      </c>
      <c r="H237" s="82" t="n">
        <v>10</v>
      </c>
      <c r="I237" s="82" t="n">
        <v>10</v>
      </c>
      <c r="J237" s="82" t="n">
        <v>10</v>
      </c>
      <c r="K237" s="82" t="n">
        <v>10</v>
      </c>
      <c r="L237" s="82" t="n">
        <v>10</v>
      </c>
    </row>
    <row r="238" customFormat="false" ht="15" hidden="false" customHeight="false" outlineLevel="0" collapsed="false">
      <c r="A238" s="53" t="s">
        <v>1228</v>
      </c>
      <c r="B238" s="19" t="s">
        <v>1229</v>
      </c>
      <c r="C238" s="20" t="s">
        <v>1039</v>
      </c>
      <c r="D238" s="53" t="s">
        <v>1227</v>
      </c>
      <c r="E238" s="34" t="n">
        <v>7134000</v>
      </c>
      <c r="F238" s="34" t="n">
        <v>7134000</v>
      </c>
      <c r="G238" s="34" t="n">
        <v>7134000</v>
      </c>
      <c r="H238" s="34" t="n">
        <v>7134000</v>
      </c>
      <c r="I238" s="34" t="n">
        <v>7134000</v>
      </c>
      <c r="J238" s="34" t="n">
        <v>7134000</v>
      </c>
      <c r="K238" s="34" t="n">
        <v>7134000</v>
      </c>
      <c r="L238" s="34" t="n">
        <v>7134000</v>
      </c>
    </row>
    <row r="239" customFormat="false" ht="15" hidden="false" customHeight="false" outlineLevel="0" collapsed="false">
      <c r="A239" s="53" t="s">
        <v>1230</v>
      </c>
      <c r="B239" s="19" t="s">
        <v>1231</v>
      </c>
      <c r="C239" s="20" t="s">
        <v>32</v>
      </c>
      <c r="D239" s="53" t="s">
        <v>1227</v>
      </c>
      <c r="E239" s="34" t="n">
        <v>17969.7660963684</v>
      </c>
      <c r="F239" s="34" t="n">
        <v>74488.8660932851</v>
      </c>
      <c r="G239" s="34" t="n">
        <v>75659.2931265677</v>
      </c>
      <c r="H239" s="34" t="n">
        <v>77315.6197977582</v>
      </c>
      <c r="I239" s="34" t="n">
        <v>79015.8408901156</v>
      </c>
      <c r="J239" s="34" t="n">
        <v>80754.1893896982</v>
      </c>
      <c r="K239" s="34" t="n">
        <v>82530.7815562716</v>
      </c>
      <c r="L239" s="34" t="n">
        <v>84346.4587505095</v>
      </c>
    </row>
    <row r="240" customFormat="false" ht="15" hidden="false" customHeight="false" outlineLevel="0" collapsed="false">
      <c r="A240" s="53" t="s">
        <v>1232</v>
      </c>
      <c r="B240" s="19" t="s">
        <v>1233</v>
      </c>
      <c r="C240" s="20" t="s">
        <v>1035</v>
      </c>
      <c r="D240" s="53" t="s">
        <v>1234</v>
      </c>
      <c r="E240" s="82" t="n">
        <v>8</v>
      </c>
      <c r="F240" s="82" t="n">
        <v>8</v>
      </c>
      <c r="G240" s="82" t="n">
        <v>8</v>
      </c>
      <c r="H240" s="82" t="n">
        <v>8</v>
      </c>
      <c r="I240" s="82" t="n">
        <v>8</v>
      </c>
      <c r="J240" s="82" t="n">
        <v>8</v>
      </c>
      <c r="K240" s="82" t="n">
        <v>8</v>
      </c>
      <c r="L240" s="82" t="n">
        <v>8</v>
      </c>
    </row>
    <row r="241" customFormat="false" ht="15" hidden="false" customHeight="false" outlineLevel="0" collapsed="false">
      <c r="A241" s="53" t="s">
        <v>1235</v>
      </c>
      <c r="B241" s="19" t="s">
        <v>1236</v>
      </c>
      <c r="C241" s="20" t="s">
        <v>1039</v>
      </c>
      <c r="D241" s="53" t="s">
        <v>1234</v>
      </c>
      <c r="E241" s="34" t="n">
        <v>8917500</v>
      </c>
      <c r="F241" s="34" t="n">
        <v>8917500</v>
      </c>
      <c r="G241" s="34" t="n">
        <v>8917500</v>
      </c>
      <c r="H241" s="34" t="n">
        <v>8917500</v>
      </c>
      <c r="I241" s="34" t="n">
        <v>8917500</v>
      </c>
      <c r="J241" s="34" t="n">
        <v>8917500</v>
      </c>
      <c r="K241" s="34" t="n">
        <v>8917500</v>
      </c>
      <c r="L241" s="34" t="n">
        <v>8917500</v>
      </c>
    </row>
    <row r="242" customFormat="false" ht="15" hidden="false" customHeight="false" outlineLevel="0" collapsed="false">
      <c r="A242" s="53" t="s">
        <v>1237</v>
      </c>
      <c r="B242" s="19" t="s">
        <v>1238</v>
      </c>
      <c r="C242" s="20" t="s">
        <v>32</v>
      </c>
      <c r="D242" s="53" t="s">
        <v>1234</v>
      </c>
      <c r="E242" s="34" t="n">
        <v>17969.7660963684</v>
      </c>
      <c r="F242" s="34" t="n">
        <v>74488.8660932851</v>
      </c>
      <c r="G242" s="34" t="n">
        <v>75659.2931265677</v>
      </c>
      <c r="H242" s="34" t="n">
        <v>77315.6197977582</v>
      </c>
      <c r="I242" s="34" t="n">
        <v>79015.8408901156</v>
      </c>
      <c r="J242" s="34" t="n">
        <v>80754.1893896982</v>
      </c>
      <c r="K242" s="34" t="n">
        <v>82530.7815562716</v>
      </c>
      <c r="L242" s="34" t="n">
        <v>84346.4587505095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2026-10-27T02:17:35Z</dcterms:created>
  <dc:creator>openpyxl</dc:creator>
  <dc:description/>
  <dc:language>en-US</dc:language>
  <cp:lastModifiedBy/>
  <dcterms:modified xsi:type="dcterms:W3CDTF">2026-10-27T02:17:36Z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