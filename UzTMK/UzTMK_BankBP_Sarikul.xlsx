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" sheetId="1" state="visible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  <sheet name="Проверки" sheetId="20" state="visible" r:id="rId22"/>
    <sheet name="Исх_данные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2" authorId="0">
      <text>
        <r>
          <rPr>
            <sz val="10"/>
            <rFont val="Arial"/>
            <family val="2"/>
          </rPr>
          <t xml:space="preserve">Для экспортных проектов (ставка 0%) входящий НДС подлежит возмещению; движение НДС учтено в оборотном капитале (Приложение 14).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1" authorId="0">
      <text>
        <r>
          <rPr>
            <sz val="10"/>
            <rFont val="Arial"/>
            <family val="2"/>
          </rPr>
          <t xml:space="preserve">Разница между себестоимостью продаж и производственной себестоимостью по ТЭО (запасы готовой продукции).</t>
        </r>
      </text>
    </comment>
    <comment ref="B23" authorId="0">
      <text>
        <r>
          <rPr>
            <sz val="10"/>
            <rFont val="Arial"/>
            <family val="2"/>
          </rPr>
          <t xml:space="preserve">Доля затрат, номинированных в USD, в денежной производственной себестоимости (ТЭО, P&amp;L FX.5).</t>
        </r>
      </text>
    </comment>
  </commentList>
</comments>
</file>

<file path=xl/sharedStrings.xml><?xml version="1.0" encoding="utf-8"?>
<sst xmlns="http://schemas.openxmlformats.org/spreadsheetml/2006/main" count="1732" uniqueCount="1091">
  <si>
    <t xml:space="preserve">БИЗНЕС-ПЛАН ИНВЕСТИЦИОННОГО ПРОЕКТА</t>
  </si>
  <si>
    <t xml:space="preserve">Освоение центральной части вольфрамового месторождения Сарикуль (1-я очередь)</t>
  </si>
  <si>
    <t xml:space="preserve">(Освоение вольфрамового месторождения Сарикул)</t>
  </si>
  <si>
    <t xml:space="preserve">1. ОБЩИЕ СВЕДЕНИЯ</t>
  </si>
  <si>
    <t xml:space="preserve">Суть проекта</t>
  </si>
  <si>
    <t xml:space="preserve">Освоение центральной части вольфрамового месторождения Сарикуль (1-я очередь). Переработка 600 тыс. т руды в год; выпуск основной продукции — Вольфрамовый концентрат 57 8% WO3  4 200 t/год при проектной мощности; реализация — внутренний рынок.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</si>
  <si>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</si>
  <si>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</si>
  <si>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</si>
  <si>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месторождение Сарикул</t>
  </si>
  <si>
    <t xml:space="preserve">Продукция</t>
  </si>
  <si>
    <t xml:space="preserve">Вольфрамовый концентрат 57,8% WO3</t>
  </si>
  <si>
    <t xml:space="preserve">Производственная мощность</t>
  </si>
  <si>
    <t xml:space="preserve">Переработка 600 тыс. т руды в год; выпуск основной продукции — 4 200 t/год</t>
  </si>
  <si>
    <t xml:space="preserve">Рынок сбыта</t>
  </si>
  <si>
    <t xml:space="preserve">внутренний рынок (поставка концентрата на переработку), цены в USD</t>
  </si>
  <si>
    <t xml:space="preserve">Сроки</t>
  </si>
  <si>
    <t xml:space="preserve">начало строительства — 01.09.2026; начало производства — 01.09.2027; выход на проектную мощность — 2030 г.</t>
  </si>
  <si>
    <t xml:space="preserve">Стадия проработки</t>
  </si>
  <si>
    <t xml:space="preserve">Предварительное ТЭО</t>
  </si>
  <si>
    <t xml:space="preserve">2. ПАРАМЕТРЫ КРЕДИТА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</si>
  <si>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</si>
  <si>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</si>
  <si>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</si>
  <si>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— 12 месяцев (2027 г.), погашение — 72 месяца (2028–2033 гг.)</t>
  </si>
  <si>
    <t xml:space="preserve">Порядок погашения</t>
  </si>
  <si>
    <t xml:space="preserve">основной долг — ежемесячно равными долями; проценты —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</si>
  <si>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</si>
  <si>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</si>
  <si>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— проектирование, P — поставка оборудования, C —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</si>
  <si>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</si>
  <si>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</si>
  <si>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</si>
  <si>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</si>
  <si>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</si>
  <si>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</si>
  <si>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</si>
  <si>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</si>
  <si>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</si>
  <si>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</si>
  <si>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банка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</si>
  <si>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</si>
  <si>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</si>
  <si>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</si>
  <si>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/ инвест.)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</si>
  <si>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</si>
  <si>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</si>
  <si>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</si>
  <si>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</si>
  <si>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</si>
  <si>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</si>
  <si>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Итого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</si>
  <si>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</si>
  <si>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</si>
  <si>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</si>
  <si>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</si>
  <si>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</si>
  <si>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</si>
  <si>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</si>
  <si>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1–7 годы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</si>
  <si>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</si>
  <si>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</si>
  <si>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</si>
  <si>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</si>
  <si>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</si>
  <si>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</si>
  <si>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</si>
  <si>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</si>
  <si>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</si>
  <si>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</si>
  <si>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</si>
  <si>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 (WACC по ТЭО),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</si>
  <si>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</si>
  <si>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</si>
  <si>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</si>
  <si>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</si>
  <si>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(2–7 годы)</t>
  </si>
  <si>
    <t xml:space="preserve">Точка безубыточности (2030 г.), % от выручки</t>
  </si>
  <si>
    <t xml:space="preserve">Справочно: NPV / IRR по ТЭО-модели (12 лет)</t>
  </si>
  <si>
    <t xml:space="preserve">6. ВЫПОЛНЕНИЕ УСЛОВИЙ ФИНАНСИРОВАНИЯ</t>
  </si>
  <si>
    <t xml:space="preserve">Положительный чистый поток наличности в каждом из 1–7 годов</t>
  </si>
  <si>
    <t xml:space="preserve">Прибыльность в каждом из 1–7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</si>
  <si>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</si>
  <si>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 (в стоимости проекта)</t>
  </si>
  <si>
    <t xml:space="preserve">Минимальный DSCR ≥ 1,20</t>
  </si>
  <si>
    <t xml:space="preserve">Итог контрольных проверок модели</t>
  </si>
  <si>
    <t xml:space="preserve">7. ИСТОЧНИКИ ДАННЫХ И ОСНОВНЫЕ ДОПУЩЕНИЯ</t>
  </si>
  <si>
    <t xml:space="preserve">• Все производственные, ценовые, затратные, налоговые и инвестиционные показатели — из финансовой модели ТЭО «UzTMK_BP_Model_v1_10_Sarikul.xlsx» (лист «Исх_данные» содержит ссылку на строку модели для каждого числа).</t>
  </si>
  <si>
    <t xml:space="preserve">• Сумма кредита — из файла заемщика о 30% авансе по EPC-контрактам (распределение 78 млн USD между тремя проектами — лист «ИНФОРМАЦИЯ»).</t>
  </si>
  <si>
    <t xml:space="preserve">• Ставка 7% годовых, срок 84 мес., льготный период 12 мес., ежемесячное погашение равными долями — условия, заданные заемщиком; база начисления — 360 дней (как в форме банка).</t>
  </si>
  <si>
    <t xml:space="preserve">• Структура финансирования ТЭО-модели (кредит ТЭО) заменена: все затраты сверх кредита финансируются собственными средствами заемщика; влияние на налог на прибыль пересчитано (Приложение 9).</t>
  </si>
  <si>
    <t xml:space="preserve">• Кредит выдаётся единовременно 01.01.2027; проценты 2027 г. капитализируются в стоимость основных средств и амортизируются в срок, принятый в ТЭО.</t>
  </si>
  <si>
    <t xml:space="preserve">• Резерв на непредвиденные расходы — 1% суммы кредита, по форме банка; остаётся на счёте заемщика.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</si>
  <si>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</si>
  <si>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</si>
  <si>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</si>
  <si>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</si>
  <si>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</si>
  <si>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Налоговый риск</t>
  </si>
  <si>
    <t xml:space="preserve">ДАННЫЕ ПО ПРОЕКТУ</t>
  </si>
  <si>
    <t xml:space="preserve">ЗАЕМЩИК</t>
  </si>
  <si>
    <t xml:space="preserve">ИНН</t>
  </si>
  <si>
    <t xml:space="preserve">—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</si>
  <si>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</si>
  <si>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</si>
  <si>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</si>
  <si>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Освоение центральной части вольфрамового месторождения Сарикуль (1-я очередь)
(Освоение вольфрамового месторождения Сарикул)</t>
  </si>
  <si>
    <t xml:space="preserve">МЕСТО РЕАЛИЗАЦИИ</t>
  </si>
  <si>
    <t xml:space="preserve">ПРОИЗВОДСТВЕННАЯ МОЩНОСТЬ</t>
  </si>
  <si>
    <t xml:space="preserve">Переработка 600 тыс. т руды в год</t>
  </si>
  <si>
    <t xml:space="preserve">ОСНОВНАЯ ПРОДУКЦИЯ</t>
  </si>
  <si>
    <t xml:space="preserve">СТАДИЯ ПРОРАБОТКИ</t>
  </si>
  <si>
    <t xml:space="preserve">Предварительное ТЭО (Pre-FS)</t>
  </si>
  <si>
    <t xml:space="preserve">НАЧАЛО СТРОИТЕЛЬСТВА</t>
  </si>
  <si>
    <t xml:space="preserve">01.09.2026</t>
  </si>
  <si>
    <t xml:space="preserve">НАЧАЛО ПРОИЗВОДСТВА</t>
  </si>
  <si>
    <t xml:space="preserve">01.09.2027</t>
  </si>
  <si>
    <t xml:space="preserve">СРОК РЕАЛИЗАЦИИ (по данным заемщика)</t>
  </si>
  <si>
    <t xml:space="preserve">декабрь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</si>
  <si>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</si>
  <si>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</si>
  <si>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</si>
  <si>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 (ТЭО, форма F1 §4.01); акционеры заемщика — заполняется заемщиком</t>
  </si>
  <si>
    <t xml:space="preserve">Кредитор №1</t>
  </si>
  <si>
    <t xml:space="preserve">Банк-кредитор (наименование уточняется)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</si>
  <si>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</si>
  <si>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</si>
  <si>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</si>
  <si>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</si>
  <si>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года, ТЭО)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</si>
  <si>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</si>
  <si>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</si>
  <si>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</si>
  <si>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</si>
  <si>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</si>
  <si>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</si>
  <si>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</si>
  <si>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</si>
  <si>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 (72 платежа), с 31.01.2028 по 31.12.2033</t>
  </si>
  <si>
    <t xml:space="preserve">Уплата процентов</t>
  </si>
  <si>
    <t xml:space="preserve">ежемесячно; в льготный период (2027 г.) —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</si>
  <si>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</si>
  <si>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—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</si>
  <si>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</si>
  <si>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</si>
  <si>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</si>
  <si>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</si>
  <si>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</si>
  <si>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</si>
  <si>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</si>
  <si>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</si>
  <si>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</si>
  <si>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</si>
  <si>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</si>
  <si>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</si>
  <si>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</si>
  <si>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</si>
  <si>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</si>
  <si>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</si>
  <si>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Переработка 5 000 т вольфрамового концентрата в год</t>
  </si>
  <si>
    <t xml:space="preserve">Строительство нового гидрометаллургического завода по переработке промышленного продукта — молибденового огарка</t>
  </si>
  <si>
    <t xml:space="preserve">Переработка 5 000 т молибденового огарка (концентрата) в год</t>
  </si>
  <si>
    <t xml:space="preserve">ЖАМИ / ИТОГО</t>
  </si>
  <si>
    <t xml:space="preserve">Лимит кредита, USD</t>
  </si>
  <si>
    <t xml:space="preserve">Примечание: распределение — пропорционально 30% авансу по EPC-контрактам (файл заемщика), с приведением суммы к лимиту 78,0 млн USD. Курсы пересчёта — как в файле заемщика (12,2 / 12,0 тыс. сум для EPC; 11,838 тыс. сум для аванса).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</si>
  <si>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</si>
  <si>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</si>
  <si>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по 31.12.2027 (1-й год кредита, льготный период).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</si>
  <si>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</si>
  <si>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</si>
  <si>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</si>
  <si>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</si>
  <si>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</si>
  <si>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Основание (источник данных)</t>
  </si>
  <si>
    <t xml:space="preserve">ВСЕГО ФИКСИРОВАННЫЕ АКТИВЫ</t>
  </si>
  <si>
    <t xml:space="preserve">Здания, сооружения и передаточные устройства</t>
  </si>
  <si>
    <t xml:space="preserve">ТЭО F8: T1, T2, T3, T5 (освоение 2026–2027 гг.)</t>
  </si>
  <si>
    <t xml:space="preserve">Машины и оборудование</t>
  </si>
  <si>
    <t xml:space="preserve">ТЭО F8: T4, T25 (освоение 2026–2027 гг.)</t>
  </si>
  <si>
    <t xml:space="preserve">Горно-капитальные работы и геологоразведка</t>
  </si>
  <si>
    <t xml:space="preserve">ТЭО F8: T6, T7, T10 (освоение 2026–2027 гг.)</t>
  </si>
  <si>
    <t xml:space="preserve">Транспортные средства</t>
  </si>
  <si>
    <t xml:space="preserve">ТЭО F8: T8 (освоение 2026–2027 гг.)</t>
  </si>
  <si>
    <t xml:space="preserve">Прочие основные средства</t>
  </si>
  <si>
    <t xml:space="preserve">ТЭО F8: T9 (освоение 2026–2027 гг.)</t>
  </si>
  <si>
    <t xml:space="preserve">РАБОЧИЙ КАПИТАЛ (на 31.12.2027), ВКЛЮЧАЯ:</t>
  </si>
  <si>
    <t xml:space="preserve">   Запасы сырья, материалов и готовой продукции</t>
  </si>
  <si>
    <t xml:space="preserve">ТЭО, баланс на 31.12.2027</t>
  </si>
  <si>
    <t xml:space="preserve">   Дебиторская задолженность покупателей</t>
  </si>
  <si>
    <t xml:space="preserve">   НДС к возмещению (в т.ч. по капитальным вложениям)</t>
  </si>
  <si>
    <t xml:space="preserve">   Кредиторская задолженность поставщикам (уменьшает потребность)</t>
  </si>
  <si>
    <t xml:space="preserve">   Задолженность по оплате труда и налогам с ФОТ (уменьшает потребность)</t>
  </si>
  <si>
    <t xml:space="preserve">ПРОЧИЕ ФИНАНСОВЫЕ ИЗДЕРЖКИ, ВКЛЮЧАЯ:</t>
  </si>
  <si>
    <t xml:space="preserve">   Проценты по кредиту за льготный период (2027 г.) — за счёт собственных средств</t>
  </si>
  <si>
    <t xml:space="preserve">Приложение 12 (LOANS), 7% годовых</t>
  </si>
  <si>
    <t xml:space="preserve">   Расходы подготовительного периода 2026 г. (административные и пусковые расходы)</t>
  </si>
  <si>
    <t xml:space="preserve">ТЭО, EBITDA 2026 г. (со знаком «−»)</t>
  </si>
  <si>
    <t xml:space="preserve">НЕПРЕДВИДЕННЫЕ РАСХОДЫ/РЕЗЕРВ (1% от суммы кредита)</t>
  </si>
  <si>
    <t xml:space="preserve">Форма банка («Share of costs», резерв = 1% кредита)</t>
  </si>
  <si>
    <t xml:space="preserve">ВСЕГО ПЕРВОНАЧАЛЬНАЯ СТОИМОСТЬ ПРОЕКТА</t>
  </si>
  <si>
    <t xml:space="preserve">Справочно: стоимость проекта по ТЭО-модели (капвложения с капитализированными процентами по кредиту ТЭО), USD</t>
  </si>
  <si>
    <t xml:space="preserve">Dashboard!стр.5</t>
  </si>
  <si>
    <t xml:space="preserve">Справочно: общая стоимость проекта по данным заемщика (файл аванса), млн USD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</si>
  <si>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</si>
  <si>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</si>
  <si>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</si>
  <si>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</si>
  <si>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</si>
  <si>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</si>
  <si>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</si>
  <si>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Банк (кредит 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</si>
  <si>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</si>
  <si>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</si>
  <si>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</si>
  <si>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</si>
  <si>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</si>
  <si>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</si>
  <si>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</si>
  <si>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РАБОЧИЙ КАПИТАЛ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</si>
  <si>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</si>
  <si>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</si>
  <si>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 2026 г.</t>
  </si>
  <si>
    <t xml:space="preserve">НЕПРЕДВИДЕННЫЕ РАСХОДЫ/РЕЗЕРВ</t>
  </si>
  <si>
    <t xml:space="preserve">Итого по источнику</t>
  </si>
  <si>
    <t xml:space="preserve">Кредит банка направляется на 30% авансовый платёж по EPC-контракту; распределение по группам активов — пропорционально составу EPC-контракта: P (поставка оборудования) — машины и оборудование, E+C (проектирование и строительство) —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</si>
  <si>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</si>
  <si>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</si>
  <si>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метод; сроки полезного использования и график амортизации — по ТЭО (форма F8). Проценты льготного периода капитализированы (МСФО IAS 23) и амортизируются в срок, принятый в ТЭО.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</si>
  <si>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</si>
  <si>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</si>
  <si>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</si>
  <si>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</si>
  <si>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</si>
  <si>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</si>
  <si>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T1. Хвостохранилище</t>
  </si>
  <si>
    <t xml:space="preserve">T2. Здания</t>
  </si>
  <si>
    <t xml:space="preserve">T3. Тоннель и автодороги</t>
  </si>
  <si>
    <t xml:space="preserve">T4. Обогатительная фабрика</t>
  </si>
  <si>
    <t xml:space="preserve">T5. Электро- и водоснабжение</t>
  </si>
  <si>
    <t xml:space="preserve">T6. Карьер (открытые горные работы)</t>
  </si>
  <si>
    <t xml:space="preserve">T7. Подземный рудник</t>
  </si>
  <si>
    <t xml:space="preserve">T8. Транспортные средства</t>
  </si>
  <si>
    <t xml:space="preserve">T9. Прочие объекты</t>
  </si>
  <si>
    <t xml:space="preserve">T10. Геологоразведочные и прочие исследования (выполненные)</t>
  </si>
  <si>
    <t xml:space="preserve">T25. Поддерживающие капвложения (% от первоначальной стоимости ОС)</t>
  </si>
  <si>
    <t xml:space="preserve">Капитализированные проценты по кредиту за льготный период (2027 г.)</t>
  </si>
  <si>
    <t xml:space="preserve">Затраты по займам (МСФО IAS 23)</t>
  </si>
  <si>
    <t xml:space="preserve">Х</t>
  </si>
  <si>
    <t xml:space="preserve">в т.ч. в себестоимости продукции</t>
  </si>
  <si>
    <t xml:space="preserve">в т.ч. в административных расходах (ТЭО, F5)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</si>
  <si>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</si>
  <si>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</si>
  <si>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</si>
  <si>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</si>
  <si>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</si>
  <si>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</si>
  <si>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(2030 г.)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</si>
  <si>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</si>
  <si>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</si>
  <si>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t</t>
  </si>
  <si>
    <t xml:space="preserve">внутренний рынок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</si>
  <si>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</si>
  <si>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</si>
  <si>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</si>
  <si>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</si>
  <si>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Вольфрамовый концентрат 57,8% WO3 — экспорт</t>
  </si>
  <si>
    <t xml:space="preserve">Вольфрамовый концентрат 57,8% WO3 —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</si>
  <si>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</si>
  <si>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</si>
  <si>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</si>
  <si>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</si>
  <si>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</si>
  <si>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</si>
  <si>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Вольфрамовый концентрат 57,8% WO3</t>
  </si>
  <si>
    <t xml:space="preserve">ВНУТРЕННИЕ ПРОДАЖИ</t>
  </si>
  <si>
    <t xml:space="preserve">ВСЕГО ПРОДАЖ</t>
  </si>
  <si>
    <t xml:space="preserve">Справочно: доля экспорта в выручке</t>
  </si>
  <si>
    <t xml:space="preserve">СТОИМОСТЬ СЫРЬЯ И МАТЕРИАЛОВ ПРИ ПРОЕКТНОЙ МОЩНОСТИ (в экв. долл. США, 2030 г.)</t>
  </si>
  <si>
    <t xml:space="preserve">Приложение 7</t>
  </si>
  <si>
    <t xml:space="preserve">Базовый год — 2030 г. (освоение мощности 76%); цены — в номинальном выражении ТЭО;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</si>
  <si>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</si>
  <si>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</si>
  <si>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</si>
  <si>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</si>
  <si>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</si>
  <si>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</si>
  <si>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</si>
  <si>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Добыча (USD 31/т руды, без ФОТ)</t>
  </si>
  <si>
    <t xml:space="preserve">Прочие производственные расходы</t>
  </si>
  <si>
    <t xml:space="preserve">Переработка (USD 25/т руды, без ФОТ)</t>
  </si>
  <si>
    <t xml:space="preserve">Транспортировка концентрата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</si>
  <si>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</si>
  <si>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</si>
  <si>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Налог за пользование водой</t>
  </si>
  <si>
    <t xml:space="preserve">m3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</si>
  <si>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</si>
  <si>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</si>
  <si>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(постоянные, по ТЭО)</t>
  </si>
  <si>
    <t xml:space="preserve">Статьи затрат</t>
  </si>
  <si>
    <t xml:space="preserve">Состав (строки ТЭО F4 §3)</t>
  </si>
  <si>
    <t xml:space="preserve">Ремонт и техническое обслуживание</t>
  </si>
  <si>
    <t xml:space="preserve">Прочие производственные расходы (охрана труда, накладные и др.)</t>
  </si>
  <si>
    <t xml:space="preserve">Питание персонала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</si>
  <si>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</si>
  <si>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</si>
  <si>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США, 2030 г.)</t>
  </si>
  <si>
    <t xml:space="preserve">Приложение 8</t>
  </si>
  <si>
    <t xml:space="preserve">СТАТЬИ ЗАТРАТ</t>
  </si>
  <si>
    <t xml:space="preserve">Электроэнергия — постоянная часть (по ТЭО)</t>
  </si>
  <si>
    <t xml:space="preserve">Природный газ / топливо — постоянная часть (по ТЭО)</t>
  </si>
  <si>
    <t xml:space="preserve">Вода — постоянная часть (по ТЭО)</t>
  </si>
  <si>
    <t xml:space="preserve">ВСЕГО ЭНЕРГОРЕСУРСЫ</t>
  </si>
  <si>
    <t xml:space="preserve">РАСЧЕТ ЗАРАБОТНОЙ ПЛАТЫ</t>
  </si>
  <si>
    <t xml:space="preserve">Количество, чел.</t>
  </si>
  <si>
    <t xml:space="preserve">Среднемесячная з/плата на 1 чел., сум (ТЭО, цены 2026 г.)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</si>
  <si>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</si>
  <si>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</si>
  <si>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</si>
  <si>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</si>
  <si>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Горный отдел — иностранные специалисты</t>
  </si>
  <si>
    <t xml:space="preserve">-</t>
  </si>
  <si>
    <t xml:space="preserve">Горный отдел — местный персонал</t>
  </si>
  <si>
    <t xml:space="preserve">Геологический отдел — иностранные специалисты</t>
  </si>
  <si>
    <t xml:space="preserve">Геологический отдел — местный персонал</t>
  </si>
  <si>
    <t xml:space="preserve">Обогатительный отдел (фабрика) — иностранные специалисты</t>
  </si>
  <si>
    <t xml:space="preserve">Обогатительный отдел (фабрика) — местный персонал</t>
  </si>
  <si>
    <t xml:space="preserve">Служба технического обслуживания и ремонта — иностранные специалисты</t>
  </si>
  <si>
    <t xml:space="preserve">Служба технического обслуживания и ремонта — местный персонал</t>
  </si>
  <si>
    <t xml:space="preserve">Пробирно-аналитическая лаборатория — иностранные специалисты</t>
  </si>
  <si>
    <t xml:space="preserve">Пробирно-аналитическая лаборатория — местный персонал</t>
  </si>
  <si>
    <t xml:space="preserve">Отдел охраны труда, промбезопасности и экологии — иностранные специалисты</t>
  </si>
  <si>
    <t xml:space="preserve">Отдел охраны труда, промбезопасности и экологии — местный персонал</t>
  </si>
  <si>
    <t xml:space="preserve">Административный отдел — обслуживание площадки — местный персонал</t>
  </si>
  <si>
    <t xml:space="preserve">ИТОГО (фонд оплаты труда + социальный налог)</t>
  </si>
  <si>
    <t xml:space="preserve">АДМИНИСТРАЦИЯ</t>
  </si>
  <si>
    <t xml:space="preserve">Руководство — местный персонал</t>
  </si>
  <si>
    <t xml:space="preserve">Руководство — иностранные специалисты</t>
  </si>
  <si>
    <t xml:space="preserve">Административный отдел — офис — местный персонал</t>
  </si>
  <si>
    <t xml:space="preserve">Отдел кадров — местный персонал</t>
  </si>
  <si>
    <t xml:space="preserve">Отдел закупок — местный персонал</t>
  </si>
  <si>
    <t xml:space="preserve">Отдел закупок — иностранные специалисты</t>
  </si>
  <si>
    <t xml:space="preserve">Финансовый отдел — местный персонал</t>
  </si>
  <si>
    <t xml:space="preserve">Юридический отдел — местный персонал</t>
  </si>
  <si>
    <t xml:space="preserve">Отдел по связям с местным сообществом — местный персонал</t>
  </si>
  <si>
    <t xml:space="preserve">ОБЩАЯ СУММА</t>
  </si>
  <si>
    <t xml:space="preserve">Зарплата установлена в ТЭО в сумах (реальные цены 2026 г.) и пересчитана в USD по курсу и индексации ТЭО.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</si>
  <si>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</si>
  <si>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</si>
  <si>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</si>
  <si>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</si>
  <si>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</si>
  <si>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0.75%</t>
  </si>
  <si>
    <t xml:space="preserve">   Земельный налог</t>
  </si>
  <si>
    <t xml:space="preserve">   Специальный рентный налог</t>
  </si>
  <si>
    <t xml:space="preserve">25%</t>
  </si>
  <si>
    <t xml:space="preserve">   Налог за пользование недрами (НДПИ) —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</si>
  <si>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</si>
  <si>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</si>
  <si>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</si>
  <si>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</si>
  <si>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по ТЭО</t>
  </si>
  <si>
    <t xml:space="preserve">   НДС к уплате в бюджет (по ТЭО; при превышении входящего НДС —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</si>
  <si>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</si>
  <si>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</si>
  <si>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— 0%)</t>
  </si>
  <si>
    <t xml:space="preserve">НДС входящий — по операционным затратам</t>
  </si>
  <si>
    <t xml:space="preserve">НДС входящий — по капитальным вложениям (1-й год вкл. 2026 г.)</t>
  </si>
  <si>
    <t xml:space="preserve">НДС к уплате (+) / к возмещению из бюджета (−)</t>
  </si>
  <si>
    <t xml:space="preserve">Расчет налога на прибыль</t>
  </si>
  <si>
    <t xml:space="preserve">Прибыль до налогообложения по ТЭО-модели (при кредите ТЭО)</t>
  </si>
  <si>
    <t xml:space="preserve">Налог на прибыль по ТЭО-модели (с налоговыми корректировками, переносом убытков и отложенным налогом)</t>
  </si>
  <si>
    <t xml:space="preserve">Прибыль до налогообложения по бизнес-плану (Приложение 13)</t>
  </si>
  <si>
    <t xml:space="preserve">Ставка налога на прибыль (ТЭО)</t>
  </si>
  <si>
    <t xml:space="preserve">Налог на прибыль по бизнес-плану = налог ТЭО + ставка × (ПДН бизнес-плана − ПДН ТЭО)</t>
  </si>
  <si>
    <t xml:space="preserve">Структура финансирования влияет на налог только через проценты и амортизацию капитализированных процентов; все прочие налоговые особенности проекта (льготы, вменённый доход, рентный налог, перенос убытков) — по ТЭО.</t>
  </si>
  <si>
    <t xml:space="preserve">СТОИМОСТЬ ПРОДУКЦИИ ПРИ ПРОЕКТНОЙ МОЩНОСТИ (в экв. долл. США, 2030 г.)</t>
  </si>
  <si>
    <t xml:space="preserve">Приложение 10</t>
  </si>
  <si>
    <t xml:space="preserve">Разделение на постоянные и переменные затраты — по классификации ТЭО (формы F4, F5, F6, F10).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</si>
  <si>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</si>
  <si>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</si>
  <si>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</si>
  <si>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</si>
  <si>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</si>
  <si>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</si>
  <si>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 по статьям ТЭО</t>
  </si>
  <si>
    <t xml:space="preserve">   с ценой в твёрдой валюте (USD)</t>
  </si>
  <si>
    <t xml:space="preserve">0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</si>
  <si>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</si>
  <si>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</si>
  <si>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</si>
  <si>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</si>
  <si>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</si>
  <si>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</si>
  <si>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</si>
  <si>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</si>
  <si>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</si>
  <si>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</si>
  <si>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 (ТЭО)</t>
  </si>
  <si>
    <t xml:space="preserve">Прочие операционные расходы / (доходы)</t>
  </si>
  <si>
    <t xml:space="preserve">Амортизация (Приложение 4)</t>
  </si>
  <si>
    <t xml:space="preserve">ИТОГО</t>
  </si>
  <si>
    <t xml:space="preserve">в т.ч. в местной валюте</t>
  </si>
  <si>
    <t xml:space="preserve">в т.ч. в твёрдой валюте (производственные затраты в USD, ТЭО)</t>
  </si>
  <si>
    <t xml:space="preserve">Выручка (2030 г.)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</si>
  <si>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</si>
  <si>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</si>
  <si>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</si>
  <si>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</si>
  <si>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</si>
  <si>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</si>
  <si>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Сырьё</t>
  </si>
  <si>
    <t xml:space="preserve">   Вспомогательные материалы</t>
  </si>
  <si>
    <t xml:space="preserve">   Электроэнергия</t>
  </si>
  <si>
    <t xml:space="preserve">   Природный газ / топливо</t>
  </si>
  <si>
    <t xml:space="preserve">   Вода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</si>
  <si>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</si>
  <si>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</si>
  <si>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</si>
  <si>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</si>
  <si>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</si>
  <si>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</si>
  <si>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</si>
  <si>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(− прирост запаса)</t>
  </si>
  <si>
    <t xml:space="preserve">Себестоимость реализованной продукции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</si>
  <si>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</si>
  <si>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</si>
  <si>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</si>
  <si>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</si>
  <si>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</si>
  <si>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</si>
  <si>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</si>
  <si>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</si>
  <si>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</si>
  <si>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 (ТЭО, F6)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</si>
  <si>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</si>
  <si>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</si>
  <si>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</si>
  <si>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— капитализированы, оплачены за счёт собственных средств)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</si>
  <si>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</si>
  <si>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</si>
  <si>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</si>
  <si>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</si>
  <si>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</si>
  <si>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</si>
  <si>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</si>
  <si>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</si>
  <si>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</si>
  <si>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</si>
  <si>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</si>
  <si>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</si>
  <si>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</si>
  <si>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</si>
  <si>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</si>
  <si>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</si>
  <si>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</si>
  <si>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</si>
  <si>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</si>
  <si>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</si>
  <si>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</si>
  <si>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Год</t>
  </si>
  <si>
    <t xml:space="preserve">№ года</t>
  </si>
  <si>
    <t xml:space="preserve">ГОДОВАЯ СВОДКА ПО КРЕДИТУ</t>
  </si>
  <si>
    <t xml:space="preserve">1 год (2027)</t>
  </si>
  <si>
    <t xml:space="preserve">2 год (2028)</t>
  </si>
  <si>
    <t xml:space="preserve">3 год (2029)</t>
  </si>
  <si>
    <t xml:space="preserve">4 год (2030)</t>
  </si>
  <si>
    <t xml:space="preserve">5 год (2031)</t>
  </si>
  <si>
    <t xml:space="preserve">6 год (2032)</t>
  </si>
  <si>
    <t xml:space="preserve">7 год (2033)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</si>
  <si>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</si>
  <si>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</si>
  <si>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</si>
  <si>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</si>
  <si>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</si>
  <si>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</si>
  <si>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</si>
  <si>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</si>
  <si>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</si>
  <si>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</si>
  <si>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</si>
  <si>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</si>
  <si>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</si>
  <si>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</si>
  <si>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</si>
  <si>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</si>
  <si>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</si>
  <si>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</si>
  <si>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</si>
  <si>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</si>
  <si>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</si>
  <si>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</si>
  <si>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</si>
  <si>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</si>
  <si>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</si>
  <si>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</si>
  <si>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</si>
  <si>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оплачиваются за счёт собственных средств и капитализируются в стоимость основных средств (МСФО IAS 23, Приложения 1 и 4); в отчёт о прибылях и убытках не включаются.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</si>
  <si>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</si>
  <si>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</si>
  <si>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</si>
  <si>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</si>
  <si>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</si>
  <si>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</si>
  <si>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</si>
  <si>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</si>
  <si>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</si>
  <si>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</si>
  <si>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</si>
  <si>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</si>
  <si>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</si>
  <si>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Начало</t>
  </si>
  <si>
    <t xml:space="preserve">01.01.2026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</si>
  <si>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</si>
  <si>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</si>
  <si>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</si>
  <si>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</si>
  <si>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</si>
  <si>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</si>
  <si>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</si>
  <si>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</si>
  <si>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(− рост / + снижение)</t>
  </si>
  <si>
    <t xml:space="preserve">Прочие изменения операционных статей (налоги к уплате и пр., по ТЭО)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</si>
  <si>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</si>
  <si>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 (01.01.2026), т.е. включает 2026 г. Остатки — по балансу ТЭО-модели.</t>
  </si>
  <si>
    <t xml:space="preserve">ПОТОКИ НАЛИЧНОСТИ (в экв. долл. США)</t>
  </si>
  <si>
    <t xml:space="preserve">Приложение 15</t>
  </si>
  <si>
    <t xml:space="preserve">1-й год (2027) — инвестиционный и льготный период; включает также освоение капвложений и расходы подготовительного периода 2026 г.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</si>
  <si>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</si>
  <si>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</si>
  <si>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</si>
  <si>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</si>
  <si>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 2026 г.</t>
  </si>
  <si>
    <t xml:space="preserve">Налог на прибыль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</si>
  <si>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</si>
  <si>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</si>
  <si>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банка</t>
  </si>
  <si>
    <t xml:space="preserve">Инвестиции (капитальные вложения; 1-й год вкл. 2026 г.)</t>
  </si>
  <si>
    <t xml:space="preserve">Проценты за кредит (B)</t>
  </si>
  <si>
    <t xml:space="preserve">Прочие финансовые издержки в инвестиционный период (проценты льготного периода)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</si>
  <si>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</si>
  <si>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</si>
  <si>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</si>
  <si>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− инвестиции)/(B+C)]</t>
  </si>
  <si>
    <t xml:space="preserve">Минимальный DSCR (2–7 годы)</t>
  </si>
  <si>
    <t xml:space="preserve">Средний DSCR (2–7 годы)</t>
  </si>
  <si>
    <t xml:space="preserve">Проценты льготного периода (1-й год) уплачиваются за счёт собственных средств заемщика (включены в стоимость проекта, Приложение 1). Налог на прибыль — в размере начисленного (без учёта отсрочки уплаты).</t>
  </si>
  <si>
    <t xml:space="preserve">ТОЧКА БЕЗУБЫТОЧНОСТИ (в экв. долл. США, 2030 г.)</t>
  </si>
  <si>
    <t xml:space="preserve">Приложение 16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</si>
  <si>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</si>
  <si>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</si>
  <si>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</si>
  <si>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</si>
  <si>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</si>
  <si>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</si>
  <si>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Справочно: снижение цены всех продуктов до безубыточности по ТЭО-модели (12 лет)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</si>
  <si>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</si>
  <si>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− инвестиции; горизонт —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</si>
  <si>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</si>
  <si>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</si>
  <si>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</si>
  <si>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 по ТЭО)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</si>
  <si>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</si>
  <si>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</si>
  <si>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</si>
  <si>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</si>
  <si>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</si>
  <si>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</si>
  <si>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</si>
  <si>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</si>
  <si>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</si>
  <si>
    <t xml:space="preserve">Справочно: показатели ТЭО-модели (горизонт 12 лет, исходная структура финансирования ТЭО)</t>
  </si>
  <si>
    <t xml:space="preserve">NPV проекта (FCFF по WACC), USD</t>
  </si>
  <si>
    <t xml:space="preserve">IRR проекта</t>
  </si>
  <si>
    <t xml:space="preserve">Срок окупаемости, лет от начала модели (01.01.2026)</t>
  </si>
  <si>
    <t xml:space="preserve">Индекс доходности</t>
  </si>
  <si>
    <t xml:space="preserve">КОНТРОЛЬНЫЕ ПРОВЕРКИ МОДЕЛИ</t>
  </si>
  <si>
    <t xml:space="preserve">Проверка</t>
  </si>
  <si>
    <t xml:space="preserve">Значение</t>
  </si>
  <si>
    <t xml:space="preserve">Допуск</t>
  </si>
  <si>
    <t xml:space="preserve">Результат</t>
  </si>
  <si>
    <t xml:space="preserve">Выручка = ТЭО (сумма отклонений за 1–7 годы, USD)</t>
  </si>
  <si>
    <t xml:space="preserve">EBITDA = ТЭО (сумма отклонений, USD)</t>
  </si>
  <si>
    <t xml:space="preserve">Производственная себестоимость по элементам = ТЭО (без амортизации капитализированных процентов)</t>
  </si>
  <si>
    <t xml:space="preserve">Производство = мощность × освоение = ТЭО</t>
  </si>
  <si>
    <t xml:space="preserve">Запас готовой продукции на конец 7-го года = ТЭО</t>
  </si>
  <si>
    <t xml:space="preserve">Стоимость проекта = источники финансирования (USD)</t>
  </si>
  <si>
    <t xml:space="preserve">Кредит в финансовом плане = сумма кредита (USD)</t>
  </si>
  <si>
    <t xml:space="preserve">Кредит полностью погашен к концу 7-го года (остаток, USD)</t>
  </si>
  <si>
    <t xml:space="preserve">Сумма кредитов по трём проектам = 78 000 000 USD</t>
  </si>
  <si>
    <t xml:space="preserve">Минимальный чистый поток наличности за 1–7 годы (должен быть &gt; 0)</t>
  </si>
  <si>
    <t xml:space="preserve">Минимальный кумулятивный поток наличности (должен быть &gt; 0)</t>
  </si>
  <si>
    <t xml:space="preserve">Минимальная чистая прибыль за 1–7 годы (должна быть &gt; 0)</t>
  </si>
  <si>
    <t xml:space="preserve">Минимальный DSCR за 2–7 годы (≥ 1,20)</t>
  </si>
  <si>
    <t xml:space="preserve">Амортизация по объектам = ТЭО (без капитализированных процентов)</t>
  </si>
  <si>
    <t xml:space="preserve">Затраты при проектной мощности (Прил. 10) = себестоимость + расходы периода + прочие (2030 г., Прил. 11)</t>
  </si>
  <si>
    <t xml:space="preserve">Сырьё, материалы, энергоресурсы, ФОТ и прочие (Прил. 7, 8) = производственная себестоимость без амортизации (2030 г.)</t>
  </si>
  <si>
    <t xml:space="preserve">Фонд оплаты труда административного персонала с соц. налогом (Прил. 8) = ТЭО (2030 г.)</t>
  </si>
  <si>
    <t xml:space="preserve">Поток 1-го года: собственные средства покрывают все затраты сверх кредита (остаток на конец 1-го года ≥ резерва)</t>
  </si>
  <si>
    <t xml:space="preserve">ИТОГ ПРОВЕРОК</t>
  </si>
  <si>
    <t xml:space="preserve">ИСХОДНЫЕ ДАННЫЕ ИЗ ТЭО-МОДЕЛИ (в долл. США, если не указано иное)</t>
  </si>
  <si>
    <t xml:space="preserve">Источник: финансовая модель ТЭО «UzTMK_BP_Model_v1_10_Sarikul.xlsx». Значения перенесены без изменений (синий шрифт); столбец «Источник» — лист и строка модели.</t>
  </si>
  <si>
    <t xml:space="preserve">Код</t>
  </si>
  <si>
    <t xml:space="preserve">Показатель</t>
  </si>
  <si>
    <t xml:space="preserve">Источник (лист!строка ТЭО-модели)</t>
  </si>
  <si>
    <t xml:space="preserve">2026</t>
  </si>
  <si>
    <t xml:space="preserve">1. ПАРАМЕТРЫ ТЭО-МОДЕЛИ</t>
  </si>
  <si>
    <t xml:space="preserve">wacc</t>
  </si>
  <si>
    <t xml:space="preserve">Ставка дисконтирования проекта (WACC), номинальная в USD</t>
  </si>
  <si>
    <t xml:space="preserve">F12 Financing!стр.154</t>
  </si>
  <si>
    <t xml:space="preserve">capbc_life</t>
  </si>
  <si>
    <t xml:space="preserve">Срок амортизации капитализированных процентов (IAS 23), лет</t>
  </si>
  <si>
    <t xml:space="preserve">лет</t>
  </si>
  <si>
    <t xml:space="preserve">F12 Financing!стр.127</t>
  </si>
  <si>
    <t xml:space="preserve">months_y1</t>
  </si>
  <si>
    <t xml:space="preserve">Месяцев эксплуатации в 2027 г. (начало производства 01.09.2027)</t>
  </si>
  <si>
    <t xml:space="preserve">мес.</t>
  </si>
  <si>
    <t xml:space="preserve">F1 General §5.04</t>
  </si>
  <si>
    <t xml:space="preserve">dso</t>
  </si>
  <si>
    <t xml:space="preserve">Оборотный капитал / ФОТ: Дебиторская задолженность</t>
  </si>
  <si>
    <t xml:space="preserve">Assumptions!стр.118</t>
  </si>
  <si>
    <t xml:space="preserve">rm_days</t>
  </si>
  <si>
    <t xml:space="preserve">Оборотный капитал / ФОТ: Запасы сырья и материалов</t>
  </si>
  <si>
    <t xml:space="preserve">F11 Working capital!стр.18</t>
  </si>
  <si>
    <t xml:space="preserve">wip_days</t>
  </si>
  <si>
    <t xml:space="preserve">Оборотный капитал / ФОТ: Незавершённое производство</t>
  </si>
  <si>
    <t xml:space="preserve">Assumptions!стр.116</t>
  </si>
  <si>
    <t xml:space="preserve">fg_days</t>
  </si>
  <si>
    <t xml:space="preserve">Оборотный капитал / ФОТ: Готовая продукция (мин. запас)</t>
  </si>
  <si>
    <t xml:space="preserve">Assumptions!стр.117</t>
  </si>
  <si>
    <t xml:space="preserve">dpo</t>
  </si>
  <si>
    <t xml:space="preserve">Оборотный капитал / ФОТ: Кредиторская задолженность</t>
  </si>
  <si>
    <t xml:space="preserve">Assumptions!стр.119</t>
  </si>
  <si>
    <t xml:space="preserve">wage_lag</t>
  </si>
  <si>
    <t xml:space="preserve">Оборотный капитал / ФОТ: Задолженность по зарплате</t>
  </si>
  <si>
    <t xml:space="preserve">Assumptions!стр.104</t>
  </si>
  <si>
    <t xml:space="preserve">vat_refund_lag</t>
  </si>
  <si>
    <t xml:space="preserve">Оборотный капитал / ФОТ: Срок возмещения НДС (операционный)</t>
  </si>
  <si>
    <t xml:space="preserve">Assumptions!стр.109</t>
  </si>
  <si>
    <t xml:space="preserve">capex_vat_lag</t>
  </si>
  <si>
    <t xml:space="preserve">Оборотный капитал / ФОТ: Срок возмещения НДС по капвложениям</t>
  </si>
  <si>
    <t xml:space="preserve">Assumptions!стр.112</t>
  </si>
  <si>
    <t xml:space="preserve">soc_rate</t>
  </si>
  <si>
    <t xml:space="preserve">Ставка социального налога</t>
  </si>
  <si>
    <t xml:space="preserve">Assumptions!стр.67</t>
  </si>
  <si>
    <t xml:space="preserve">npv_model</t>
  </si>
  <si>
    <t xml:space="preserve">NPV проекта по ТЭО-модели (12 лет, исходная структура финансирования)</t>
  </si>
  <si>
    <t xml:space="preserve">irr_model</t>
  </si>
  <si>
    <t xml:space="preserve">IRR проекта по ТЭО-модели</t>
  </si>
  <si>
    <t xml:space="preserve">Dashboard!стр.6</t>
  </si>
  <si>
    <t xml:space="preserve">payback_model</t>
  </si>
  <si>
    <t xml:space="preserve">Срок окупаемости по ТЭО-модели, лет от начала модели</t>
  </si>
  <si>
    <t xml:space="preserve">Dashboard!стр.9</t>
  </si>
  <si>
    <t xml:space="preserve">dpayback_model</t>
  </si>
  <si>
    <t xml:space="preserve">Дисконтированный срок окупаемости по ТЭО-модели, лет</t>
  </si>
  <si>
    <t xml:space="preserve">Dashboard!стр.10</t>
  </si>
  <si>
    <t xml:space="preserve">pi_model</t>
  </si>
  <si>
    <t xml:space="preserve">Индекс доходности по ТЭО-модели</t>
  </si>
  <si>
    <t xml:space="preserve">Dashboard!стр.11</t>
  </si>
  <si>
    <t xml:space="preserve">2. КУРС, НАЛОГОВЫЕ СТАВКИ</t>
  </si>
  <si>
    <t xml:space="preserve">fx</t>
  </si>
  <si>
    <t xml:space="preserve">Средний курс UZS за 1 USD</t>
  </si>
  <si>
    <t xml:space="preserve">сум</t>
  </si>
  <si>
    <t xml:space="preserve">F12 Financing!стр.15</t>
  </si>
  <si>
    <t xml:space="preserve">cit_rate</t>
  </si>
  <si>
    <t xml:space="preserve">Ставка налога на прибыль</t>
  </si>
  <si>
    <t xml:space="preserve">F10 Taxes!стр.13</t>
  </si>
  <si>
    <t xml:space="preserve">vat_rate</t>
  </si>
  <si>
    <t xml:space="preserve">Ставка НДС</t>
  </si>
  <si>
    <t xml:space="preserve">F10 Taxes!стр.40</t>
  </si>
  <si>
    <t xml:space="preserve">3. ПРОИЗВОДСТВО И РЕАЛИЗАЦИЯ</t>
  </si>
  <si>
    <t xml:space="preserve">cap0</t>
  </si>
  <si>
    <t xml:space="preserve">Вольфрамовый концентрат 57,8% WO3: проектная мощность в год</t>
  </si>
  <si>
    <t xml:space="preserve">F2 Production!стр.18</t>
  </si>
  <si>
    <t xml:space="preserve">util0</t>
  </si>
  <si>
    <t xml:space="preserve">Вольфрамовый концентрат 57,8% WO3: освоение мощности</t>
  </si>
  <si>
    <t xml:space="preserve">prod0</t>
  </si>
  <si>
    <t xml:space="preserve">Вольфрамовый концентрат 57,8% WO3: производство</t>
  </si>
  <si>
    <t xml:space="preserve">F2 Production!стр.14</t>
  </si>
  <si>
    <t xml:space="preserve">sexp0</t>
  </si>
  <si>
    <t xml:space="preserve">Вольфрамовый концентрат 57,8% WO3: продажи — экспорт</t>
  </si>
  <si>
    <t xml:space="preserve">F3 Prices &amp; Revenue!стр.26</t>
  </si>
  <si>
    <t xml:space="preserve">sdom0</t>
  </si>
  <si>
    <t xml:space="preserve">Вольфрамовый концентрат 57,8% WO3: продажи — внутренний рынок</t>
  </si>
  <si>
    <t xml:space="preserve">F3 Prices &amp; Revenue!стр.25</t>
  </si>
  <si>
    <t xml:space="preserve">close0</t>
  </si>
  <si>
    <t xml:space="preserve">Вольфрамовый концентрат 57,8% WO3: запас на конец года</t>
  </si>
  <si>
    <t xml:space="preserve">F3 Prices &amp; Revenue!стр.29</t>
  </si>
  <si>
    <t xml:space="preserve">price0</t>
  </si>
  <si>
    <t xml:space="preserve">Вольфрамовый концентрат 57,8% WO3: цена реализации</t>
  </si>
  <si>
    <t xml:space="preserve">F3 Prices &amp; Revenue!стр.36</t>
  </si>
  <si>
    <t xml:space="preserve">rev0</t>
  </si>
  <si>
    <t xml:space="preserve">Вольфрамовый концентрат 57,8% WO3: выручка (контроль)</t>
  </si>
  <si>
    <t xml:space="preserve">F3 Prices &amp; Revenue!стр.38</t>
  </si>
  <si>
    <t xml:space="preserve">4. ОТЧЁТ О ПРИБЫЛЯХ И УБЫТКАХ ТЭО-МОДЕЛИ (затраты со знаком «+»)</t>
  </si>
  <si>
    <t xml:space="preserve">rev</t>
  </si>
  <si>
    <t xml:space="preserve">Выручка</t>
  </si>
  <si>
    <t xml:space="preserve">P&amp;L!стр.10</t>
  </si>
  <si>
    <t xml:space="preserve">cos</t>
  </si>
  <si>
    <t xml:space="preserve">Себестоимость продаж</t>
  </si>
  <si>
    <t xml:space="preserve">P&amp;L!стр.13</t>
  </si>
  <si>
    <t xml:space="preserve">cos_da</t>
  </si>
  <si>
    <t xml:space="preserve">в т.ч. амортизация в себестоимости</t>
  </si>
  <si>
    <t xml:space="preserve">P&amp;L!стр.12</t>
  </si>
  <si>
    <t xml:space="preserve">sell</t>
  </si>
  <si>
    <t xml:space="preserve">P&amp;L!стр.15</t>
  </si>
  <si>
    <t xml:space="preserve">ga</t>
  </si>
  <si>
    <t xml:space="preserve">Общие и административные расходы</t>
  </si>
  <si>
    <t xml:space="preserve">P&amp;L!стр.16</t>
  </si>
  <si>
    <t xml:space="preserve">ooi</t>
  </si>
  <si>
    <t xml:space="preserve">Прочие операционные доходы</t>
  </si>
  <si>
    <t xml:space="preserve">P&amp;L!стр.17</t>
  </si>
  <si>
    <t xml:space="preserve">ooe</t>
  </si>
  <si>
    <t xml:space="preserve">Прочие операционные расходы (вкл. налог на имущество, земельный, рентный, резерв)</t>
  </si>
  <si>
    <t xml:space="preserve">P&amp;L!стр.18</t>
  </si>
  <si>
    <t xml:space="preserve">ebit</t>
  </si>
  <si>
    <t xml:space="preserve">Операционная прибыль (EBIT)</t>
  </si>
  <si>
    <t xml:space="preserve">P&amp;L!стр.19</t>
  </si>
  <si>
    <t xml:space="preserve">fin</t>
  </si>
  <si>
    <t xml:space="preserve">Финансовые расходы (кредит ТЭО-модели — в бизнес-плане заменён)</t>
  </si>
  <si>
    <t xml:space="preserve">P&amp;L!стр.21</t>
  </si>
  <si>
    <t xml:space="preserve">pbt</t>
  </si>
  <si>
    <t xml:space="preserve">Прибыль до налогообложения</t>
  </si>
  <si>
    <t xml:space="preserve">P&amp;L!стр.23</t>
  </si>
  <si>
    <t xml:space="preserve">tax</t>
  </si>
  <si>
    <t xml:space="preserve">Расход по налогу на прибыль</t>
  </si>
  <si>
    <t xml:space="preserve">P&amp;L!стр.24</t>
  </si>
  <si>
    <t xml:space="preserve">np</t>
  </si>
  <si>
    <t xml:space="preserve">P&amp;L!стр.25</t>
  </si>
  <si>
    <t xml:space="preserve">da</t>
  </si>
  <si>
    <t xml:space="preserve">Амортизация (итого)</t>
  </si>
  <si>
    <t xml:space="preserve">P&amp;L!стр.27</t>
  </si>
  <si>
    <t xml:space="preserve">ebitda</t>
  </si>
  <si>
    <t xml:space="preserve">P&amp;L!стр.28</t>
  </si>
  <si>
    <t xml:space="preserve">capbc_dep</t>
  </si>
  <si>
    <t xml:space="preserve">Амортизация капитализированных процентов кредита ТЭО-модели</t>
  </si>
  <si>
    <t xml:space="preserve">F12 Financing!стр.137</t>
  </si>
  <si>
    <t xml:space="preserve">usd_prod</t>
  </si>
  <si>
    <t xml:space="preserve">Справочно: производственные затраты, номинированные в USD</t>
  </si>
  <si>
    <t xml:space="preserve">P&amp;L!стр.43</t>
  </si>
  <si>
    <t xml:space="preserve">rev_usd</t>
  </si>
  <si>
    <t xml:space="preserve">Справочно: выручка от продукции с ценой в USD</t>
  </si>
  <si>
    <t xml:space="preserve">P&amp;L!стр.40</t>
  </si>
  <si>
    <t xml:space="preserve">5. СЕБЕСТОИМОСТЬ ПО ЭЛЕМЕНТАМ ЗАТРАТ (ТЭО, форма F4, до изменения остатков)</t>
  </si>
  <si>
    <t xml:space="preserve">el_raw</t>
  </si>
  <si>
    <t xml:space="preserve">Сырьё</t>
  </si>
  <si>
    <t xml:space="preserve">F4 COGS!стр.127</t>
  </si>
  <si>
    <t xml:space="preserve">el_auxiliary</t>
  </si>
  <si>
    <t xml:space="preserve">Вспомогательные материалы</t>
  </si>
  <si>
    <t xml:space="preserve">F4 COGS!стр.128</t>
  </si>
  <si>
    <t xml:space="preserve">el_electricity</t>
  </si>
  <si>
    <t xml:space="preserve">Электроэнергия</t>
  </si>
  <si>
    <t xml:space="preserve">F4 COGS!стр.129</t>
  </si>
  <si>
    <t xml:space="preserve">el_gas</t>
  </si>
  <si>
    <t xml:space="preserve">Природный газ / топливо</t>
  </si>
  <si>
    <t xml:space="preserve">F4 COGS!стр.130</t>
  </si>
  <si>
    <t xml:space="preserve">el_water</t>
  </si>
  <si>
    <t xml:space="preserve">Вода</t>
  </si>
  <si>
    <t xml:space="preserve">F4 COGS!стр.131</t>
  </si>
  <si>
    <t xml:space="preserve">el_payroll</t>
  </si>
  <si>
    <t xml:space="preserve">Заработная плата</t>
  </si>
  <si>
    <t xml:space="preserve">F4 COGS!стр.132</t>
  </si>
  <si>
    <t xml:space="preserve">el_social</t>
  </si>
  <si>
    <t xml:space="preserve">Социальный налог</t>
  </si>
  <si>
    <t xml:space="preserve">F4 COGS!стр.133</t>
  </si>
  <si>
    <t xml:space="preserve">el_depreciation</t>
  </si>
  <si>
    <t xml:space="preserve">Амортизация</t>
  </si>
  <si>
    <t xml:space="preserve">F4 COGS!стр.134</t>
  </si>
  <si>
    <t xml:space="preserve">el_repairs</t>
  </si>
  <si>
    <t xml:space="preserve">Ремонт и техобслуживание</t>
  </si>
  <si>
    <t xml:space="preserve">F4 COGS!стр.135</t>
  </si>
  <si>
    <t xml:space="preserve">el_other</t>
  </si>
  <si>
    <t xml:space="preserve">F4 COGS!стр.136</t>
  </si>
  <si>
    <t xml:space="preserve">el_total</t>
  </si>
  <si>
    <t xml:space="preserve">Итого производственная себестоимость (с амортизацией)</t>
  </si>
  <si>
    <t xml:space="preserve">F4 COGS!стр.137</t>
  </si>
  <si>
    <t xml:space="preserve">met</t>
  </si>
  <si>
    <t xml:space="preserve">в т.ч. налог за пользование недрами (НДПИ), в составе прочих</t>
  </si>
  <si>
    <t xml:space="preserve">F4 COGS!стр.104</t>
  </si>
  <si>
    <t xml:space="preserve">var_cogs</t>
  </si>
  <si>
    <t xml:space="preserve">Переменная себестоимость (ТЭО)</t>
  </si>
  <si>
    <t xml:space="preserve">F4 COGS!стр.109</t>
  </si>
  <si>
    <t xml:space="preserve">6. ОПЕРАЦИОННЫЕ (ПЕРИОДНЫЕ) РАСХОДЫ И ПРОЧИЕ СТАТЬИ (ТЭО, формы F5, F6, F10)</t>
  </si>
  <si>
    <t xml:space="preserve">pers_ga</t>
  </si>
  <si>
    <t xml:space="preserve">Административный персонал (с соц. налогом)</t>
  </si>
  <si>
    <t xml:space="preserve">F5 Opex!стр.100</t>
  </si>
  <si>
    <t xml:space="preserve">opex_fixed</t>
  </si>
  <si>
    <t xml:space="preserve">Постоянные операционные расходы проекта</t>
  </si>
  <si>
    <t xml:space="preserve">F5 Opex!стр.77</t>
  </si>
  <si>
    <t xml:space="preserve">opex_var</t>
  </si>
  <si>
    <t xml:space="preserve">Переменные операционные расходы (вкл. коммерческие)</t>
  </si>
  <si>
    <t xml:space="preserve">F5 Opex!стр.78</t>
  </si>
  <si>
    <t xml:space="preserve">opex_ga_da</t>
  </si>
  <si>
    <t xml:space="preserve">Амортизация административных активов</t>
  </si>
  <si>
    <t xml:space="preserve">F5 Opex!стр.84</t>
  </si>
  <si>
    <t xml:space="preserve">contingency</t>
  </si>
  <si>
    <t xml:space="preserve">Резерв на непредвиденные операционные расходы</t>
  </si>
  <si>
    <t xml:space="preserve">F6 Other items!стр.41</t>
  </si>
  <si>
    <t xml:space="preserve">prop_tax</t>
  </si>
  <si>
    <t xml:space="preserve">Налог на имущество</t>
  </si>
  <si>
    <t xml:space="preserve">F10 Taxes!стр.22</t>
  </si>
  <si>
    <t xml:space="preserve">land_tax</t>
  </si>
  <si>
    <t xml:space="preserve">Земельный налог</t>
  </si>
  <si>
    <t xml:space="preserve">F10 Taxes!стр.25</t>
  </si>
  <si>
    <t xml:space="preserve">rent_tax</t>
  </si>
  <si>
    <t xml:space="preserve">F10 Taxes!стр.140</t>
  </si>
  <si>
    <t xml:space="preserve">vat_out</t>
  </si>
  <si>
    <t xml:space="preserve">НДС исходящий (с реализации на внутреннем рынке)</t>
  </si>
  <si>
    <t xml:space="preserve">F10 Taxes!стр.47</t>
  </si>
  <si>
    <t xml:space="preserve">vat_in_op</t>
  </si>
  <si>
    <t xml:space="preserve">НДС входящий — операционный</t>
  </si>
  <si>
    <t xml:space="preserve">F10 Taxes!стр.48</t>
  </si>
  <si>
    <t xml:space="preserve">vat_in_capex</t>
  </si>
  <si>
    <t xml:space="preserve">НДС входящий — по капитальным вложениям</t>
  </si>
  <si>
    <t xml:space="preserve">F10 Taxes!стр.49</t>
  </si>
  <si>
    <t xml:space="preserve">vat_net</t>
  </si>
  <si>
    <t xml:space="preserve">Чистый НДС (+ к уплате / − к возмещению)</t>
  </si>
  <si>
    <t xml:space="preserve">F10 Taxes!стр.51</t>
  </si>
  <si>
    <t xml:space="preserve">7. ДЕНЕЖНЫЕ ПОТОКИ И ОБОРОТНЫЙ КАПИТАЛ (ТЭО, отчёт о движении денежных средств и баланс)</t>
  </si>
  <si>
    <t xml:space="preserve">cgo</t>
  </si>
  <si>
    <t xml:space="preserve">Денежные средства от операционной деятельности до налога на прибыль и процентов</t>
  </si>
  <si>
    <t xml:space="preserve">CF!стр.23</t>
  </si>
  <si>
    <t xml:space="preserve">d_inv</t>
  </si>
  <si>
    <t xml:space="preserve">Изменение запасов</t>
  </si>
  <si>
    <t xml:space="preserve">CF!стр.15</t>
  </si>
  <si>
    <t xml:space="preserve">d_rec</t>
  </si>
  <si>
    <t xml:space="preserve">Изменение дебиторской задолженности</t>
  </si>
  <si>
    <t xml:space="preserve">CF!стр.16</t>
  </si>
  <si>
    <t xml:space="preserve">d_vat</t>
  </si>
  <si>
    <t xml:space="preserve">Изменение НДС к возмещению</t>
  </si>
  <si>
    <t xml:space="preserve">CF!стр.18</t>
  </si>
  <si>
    <t xml:space="preserve">d_pay</t>
  </si>
  <si>
    <t xml:space="preserve">Изменение кредиторской задолженности</t>
  </si>
  <si>
    <t xml:space="preserve">CF!стр.19</t>
  </si>
  <si>
    <t xml:space="preserve">d_wag</t>
  </si>
  <si>
    <t xml:space="preserve">Изменение задолженности по зарплате и налогам с ФОТ</t>
  </si>
  <si>
    <t xml:space="preserve">CF!стр.21</t>
  </si>
  <si>
    <t xml:space="preserve">bs_inv</t>
  </si>
  <si>
    <t xml:space="preserve">Запасы (на конец года)</t>
  </si>
  <si>
    <t xml:space="preserve">BS!стр.22</t>
  </si>
  <si>
    <t xml:space="preserve">bs_rec</t>
  </si>
  <si>
    <t xml:space="preserve">Торговая дебиторская задолженность (на конец года)</t>
  </si>
  <si>
    <t xml:space="preserve">BS!стр.23</t>
  </si>
  <si>
    <t xml:space="preserve">bs_vat</t>
  </si>
  <si>
    <t xml:space="preserve">НДС к возмещению (на конец года)</t>
  </si>
  <si>
    <t xml:space="preserve">BS!стр.25</t>
  </si>
  <si>
    <t xml:space="preserve">bs_pay</t>
  </si>
  <si>
    <t xml:space="preserve">Торговая кредиторская задолженность (на конец года)</t>
  </si>
  <si>
    <t xml:space="preserve">BS!стр.42</t>
  </si>
  <si>
    <t xml:space="preserve">bs_wag</t>
  </si>
  <si>
    <t xml:space="preserve">Задолженность по зарплате и налогам с ФОТ (на конец года)</t>
  </si>
  <si>
    <t xml:space="preserve">BS!стр.45</t>
  </si>
  <si>
    <t xml:space="preserve">capex</t>
  </si>
  <si>
    <t xml:space="preserve">Капитальные вложения (с резервом)</t>
  </si>
  <si>
    <t xml:space="preserve">F12 Financing!стр.24</t>
  </si>
  <si>
    <t xml:space="preserve">8. КАПИТАЛЬНЫЕ ВЛОЖЕНИЯ ПО ОБЪЕКТАМ (ТЭО, форма F8): освоение и амортизация</t>
  </si>
  <si>
    <t xml:space="preserve">cx0</t>
  </si>
  <si>
    <t xml:space="preserve">T1 Хвостохранилище — освоение (Здания, сооружения и передаточные устройства; срок 9 лет)</t>
  </si>
  <si>
    <t xml:space="preserve">F8 Capex!стр.23,54,131</t>
  </si>
  <si>
    <t xml:space="preserve">cxd0</t>
  </si>
  <si>
    <t xml:space="preserve">T1 Хвостохранилище — амортизация</t>
  </si>
  <si>
    <t xml:space="preserve">cx1</t>
  </si>
  <si>
    <t xml:space="preserve">T2 Здания — освоение (Здания, сооружения и передаточные устройства; срок 9 лет)</t>
  </si>
  <si>
    <t xml:space="preserve">F8 Capex!стр.24,55,132</t>
  </si>
  <si>
    <t xml:space="preserve">cxd1</t>
  </si>
  <si>
    <t xml:space="preserve">T2 Здания — амортизация</t>
  </si>
  <si>
    <t xml:space="preserve">cx2</t>
  </si>
  <si>
    <t xml:space="preserve">T3 Тоннель и автодороги — освоение (Здания, сооружения и передаточные устройства; срок 9 лет)</t>
  </si>
  <si>
    <t xml:space="preserve">F8 Capex!стр.25,56,133</t>
  </si>
  <si>
    <t xml:space="preserve">cxd2</t>
  </si>
  <si>
    <t xml:space="preserve">T3 Тоннель и автодороги — амортизация</t>
  </si>
  <si>
    <t xml:space="preserve">cx3</t>
  </si>
  <si>
    <t xml:space="preserve">T4 Обогатительная фабрика — освоение (Машины и оборудование; срок 9 лет)</t>
  </si>
  <si>
    <t xml:space="preserve">F8 Capex!стр.26,57,134</t>
  </si>
  <si>
    <t xml:space="preserve">cxd3</t>
  </si>
  <si>
    <t xml:space="preserve">T4 Обогатительная фабрика — амортизация</t>
  </si>
  <si>
    <t xml:space="preserve">cx4</t>
  </si>
  <si>
    <t xml:space="preserve">T5 Электро- и водоснабжение — освоение (Здания, сооружения и передаточные устройства; срок 9 лет)</t>
  </si>
  <si>
    <t xml:space="preserve">F8 Capex!стр.27,58,135</t>
  </si>
  <si>
    <t xml:space="preserve">cxd4</t>
  </si>
  <si>
    <t xml:space="preserve">T5 Электро- и водоснабжение — амортизация</t>
  </si>
  <si>
    <t xml:space="preserve">cx5</t>
  </si>
  <si>
    <t xml:space="preserve">T6 Карьер (открытые горные работы) — освоение (Горно-капитальные работы и геологоразведка; срок 9 лет)</t>
  </si>
  <si>
    <t xml:space="preserve">F8 Capex!стр.28,59,136</t>
  </si>
  <si>
    <t xml:space="preserve">cxd5</t>
  </si>
  <si>
    <t xml:space="preserve">T6 Карьер (открытые горные работы) — амортизация</t>
  </si>
  <si>
    <t xml:space="preserve">cx6</t>
  </si>
  <si>
    <t xml:space="preserve">T7 Подземный рудник — освоение (Горно-капитальные работы и геологоразведка; срок 9 лет)</t>
  </si>
  <si>
    <t xml:space="preserve">F8 Capex!стр.29,60,137</t>
  </si>
  <si>
    <t xml:space="preserve">cxd6</t>
  </si>
  <si>
    <t xml:space="preserve">T7 Подземный рудник — амортизация</t>
  </si>
  <si>
    <t xml:space="preserve">cx7</t>
  </si>
  <si>
    <t xml:space="preserve">T8 Транспортные средства — освоение (Транспортные средства; срок 9 лет)</t>
  </si>
  <si>
    <t xml:space="preserve">F8 Capex!стр.30,61,138</t>
  </si>
  <si>
    <t xml:space="preserve">cxd7</t>
  </si>
  <si>
    <t xml:space="preserve">T8 Транспортные средства — амортизация</t>
  </si>
  <si>
    <t xml:space="preserve">cx8</t>
  </si>
  <si>
    <t xml:space="preserve">T9 Прочие объекты — освоение (Прочие основные средства; срок 9 лет)</t>
  </si>
  <si>
    <t xml:space="preserve">F8 Capex!стр.31,62,139</t>
  </si>
  <si>
    <t xml:space="preserve">cxd8</t>
  </si>
  <si>
    <t xml:space="preserve">T9 Прочие объекты — амортизация</t>
  </si>
  <si>
    <t xml:space="preserve">cx9</t>
  </si>
  <si>
    <t xml:space="preserve">T10 Геологоразведочные и прочие исследования (выполненные) — освоение (Горно-капитальные работы и геологоразведка; срок 9 лет)</t>
  </si>
  <si>
    <t xml:space="preserve">F8 Capex!стр.32,63,140</t>
  </si>
  <si>
    <t xml:space="preserve">cxd9</t>
  </si>
  <si>
    <t xml:space="preserve">T10 Геологоразведочные и прочие исследования (выполненные) — амортизация</t>
  </si>
  <si>
    <t xml:space="preserve">cx10</t>
  </si>
  <si>
    <t xml:space="preserve">T25 Поддерживающие капвложения (% от первоначальной стоимости ОС) — освоение (Машины и оборудование; срок 10 лет)</t>
  </si>
  <si>
    <t xml:space="preserve">F8 Capex!стр.47,78,155</t>
  </si>
  <si>
    <t xml:space="preserve">cxd10</t>
  </si>
  <si>
    <t xml:space="preserve">T25 Поддерживающие капвложения (% от первоначальной стоимости ОС) — амортизация</t>
  </si>
  <si>
    <t xml:space="preserve">9. ПЕРЕМЕННЫЕ ЗАТРАТЫ ПО СТАТЬЯМ (ТЭО, форма F4): потребность и стоимость (стоимость = затраты на ед. × выпуск)</t>
  </si>
  <si>
    <t xml:space="preserve">vq0</t>
  </si>
  <si>
    <t xml:space="preserve">Добыча (USD 31/т руды, без ФОТ) — годовая потребность</t>
  </si>
  <si>
    <t xml:space="preserve">F4 COGS!стр.49</t>
  </si>
  <si>
    <t xml:space="preserve">vc0</t>
  </si>
  <si>
    <t xml:space="preserve">Добыча (USD 31/т руды, без ФОТ) — стоимость (USD; Прочие производственные расходы)</t>
  </si>
  <si>
    <t xml:space="preserve">F4 COGS!стр.13-15</t>
  </si>
  <si>
    <t xml:space="preserve">vq1</t>
  </si>
  <si>
    <t xml:space="preserve">Переработка (USD 25/т руды, без ФОТ) — годовая потребность</t>
  </si>
  <si>
    <t xml:space="preserve">F4 COGS!стр.50</t>
  </si>
  <si>
    <t xml:space="preserve">vc1</t>
  </si>
  <si>
    <t xml:space="preserve">Переработка (USD 25/т руды, без ФОТ) — стоимость (USD; Прочие производственные расходы)</t>
  </si>
  <si>
    <t xml:space="preserve">F4 COGS!стр.16-18</t>
  </si>
  <si>
    <t xml:space="preserve">vq2</t>
  </si>
  <si>
    <t xml:space="preserve">Транспортировка концентрата — годовая потребность</t>
  </si>
  <si>
    <t xml:space="preserve">F4 COGS!стр.51</t>
  </si>
  <si>
    <t xml:space="preserve">vc2</t>
  </si>
  <si>
    <t xml:space="preserve">Транспортировка концентрата — стоимость (USD; Прочие производственные расходы)</t>
  </si>
  <si>
    <t xml:space="preserve">F4 COGS!стр.19-21</t>
  </si>
  <si>
    <t xml:space="preserve">vq3</t>
  </si>
  <si>
    <t xml:space="preserve">Налог за пользование водой — годовая потребность</t>
  </si>
  <si>
    <t xml:space="preserve">F4 COGS!стр.52</t>
  </si>
  <si>
    <t xml:space="preserve">vc3</t>
  </si>
  <si>
    <t xml:space="preserve">Налог за пользование водой — стоимость (UZS; Прочие производственные расходы)</t>
  </si>
  <si>
    <t xml:space="preserve">F4 COGS!стр.22-24</t>
  </si>
  <si>
    <t xml:space="preserve">10. ПЕРСОНАЛ (ТЭО, форма F9): численность и фонд оплаты труда (брутто)</t>
  </si>
  <si>
    <t xml:space="preserve">hc0</t>
  </si>
  <si>
    <t xml:space="preserve">Руководство — местный персонал — численность</t>
  </si>
  <si>
    <t xml:space="preserve">чел.</t>
  </si>
  <si>
    <t xml:space="preserve">F9 Personnel!стр.21-23</t>
  </si>
  <si>
    <t xml:space="preserve">mc0</t>
  </si>
  <si>
    <t xml:space="preserve">Руководство — местный персонал — месячная зарплата на 1 чел. (USD)</t>
  </si>
  <si>
    <t xml:space="preserve">pc0</t>
  </si>
  <si>
    <t xml:space="preserve">Руководство — местный персонал — годовой фонд оплаты труда</t>
  </si>
  <si>
    <t xml:space="preserve">hc1</t>
  </si>
  <si>
    <t xml:space="preserve">Руководство — иностранные специалисты — численность</t>
  </si>
  <si>
    <t xml:space="preserve">F9 Personnel!стр.24-26</t>
  </si>
  <si>
    <t xml:space="preserve">mc1</t>
  </si>
  <si>
    <t xml:space="preserve">Руководство — иностранные специалисты — месячная зарплата на 1 чел. (USD)</t>
  </si>
  <si>
    <t xml:space="preserve">pc1</t>
  </si>
  <si>
    <t xml:space="preserve">Руководство — иностранные специалисты — годовой фонд оплаты труда</t>
  </si>
  <si>
    <t xml:space="preserve">hc2</t>
  </si>
  <si>
    <t xml:space="preserve">Горный отдел — иностранные специалисты — численность</t>
  </si>
  <si>
    <t xml:space="preserve">F9 Personnel!стр.27-29</t>
  </si>
  <si>
    <t xml:space="preserve">mc2</t>
  </si>
  <si>
    <t xml:space="preserve">Горный отдел — иностранные специалисты — месячная зарплата на 1 чел. (USD)</t>
  </si>
  <si>
    <t xml:space="preserve">pc2</t>
  </si>
  <si>
    <t xml:space="preserve">Горный отдел — иностранные специалисты — годовой фонд оплаты труда</t>
  </si>
  <si>
    <t xml:space="preserve">hc3</t>
  </si>
  <si>
    <t xml:space="preserve">Горный отдел — местный персонал — численность</t>
  </si>
  <si>
    <t xml:space="preserve">F9 Personnel!стр.30-32</t>
  </si>
  <si>
    <t xml:space="preserve">mc3</t>
  </si>
  <si>
    <t xml:space="preserve">Горный отдел — местный персонал — месячная зарплата на 1 чел. (USD)</t>
  </si>
  <si>
    <t xml:space="preserve">pc3</t>
  </si>
  <si>
    <t xml:space="preserve">Горный отдел — местный персонал — годовой фонд оплаты труда</t>
  </si>
  <si>
    <t xml:space="preserve">hc4</t>
  </si>
  <si>
    <t xml:space="preserve">Геологический отдел — иностранные специалисты — численность</t>
  </si>
  <si>
    <t xml:space="preserve">F9 Personnel!стр.33-35</t>
  </si>
  <si>
    <t xml:space="preserve">mc4</t>
  </si>
  <si>
    <t xml:space="preserve">Геологический отдел — иностранные специалисты — месячная зарплата на 1 чел. (USD)</t>
  </si>
  <si>
    <t xml:space="preserve">pc4</t>
  </si>
  <si>
    <t xml:space="preserve">Геологический отдел — иностранные специалисты — годовой фонд оплаты труда</t>
  </si>
  <si>
    <t xml:space="preserve">hc5</t>
  </si>
  <si>
    <t xml:space="preserve">Геологический отдел — местный персонал — численность</t>
  </si>
  <si>
    <t xml:space="preserve">F9 Personnel!стр.36-38</t>
  </si>
  <si>
    <t xml:space="preserve">mc5</t>
  </si>
  <si>
    <t xml:space="preserve">Геологический отдел — местный персонал — месячная зарплата на 1 чел. (USD)</t>
  </si>
  <si>
    <t xml:space="preserve">pc5</t>
  </si>
  <si>
    <t xml:space="preserve">Геологический отдел — местный персонал — годовой фонд оплаты труда</t>
  </si>
  <si>
    <t xml:space="preserve">hc6</t>
  </si>
  <si>
    <t xml:space="preserve">Обогатительный отдел (фабрика) — иностранные специалисты — численность</t>
  </si>
  <si>
    <t xml:space="preserve">F9 Personnel!стр.39-41</t>
  </si>
  <si>
    <t xml:space="preserve">mc6</t>
  </si>
  <si>
    <t xml:space="preserve">Обогатительный отдел (фабрика) — иностранные специалисты — месячная зарплата на 1 чел. (USD)</t>
  </si>
  <si>
    <t xml:space="preserve">pc6</t>
  </si>
  <si>
    <t xml:space="preserve">Обогатительный отдел (фабрика) — иностранные специалисты — годовой фонд оплаты труда</t>
  </si>
  <si>
    <t xml:space="preserve">hc7</t>
  </si>
  <si>
    <t xml:space="preserve">Обогатительный отдел (фабрика) — местный персонал — численность</t>
  </si>
  <si>
    <t xml:space="preserve">F9 Personnel!стр.42-44</t>
  </si>
  <si>
    <t xml:space="preserve">mc7</t>
  </si>
  <si>
    <t xml:space="preserve">Обогатительный отдел (фабрика) — местный персонал — месячная зарплата на 1 чел. (USD)</t>
  </si>
  <si>
    <t xml:space="preserve">pc7</t>
  </si>
  <si>
    <t xml:space="preserve">Обогатительный отдел (фабрика) — местный персонал — годовой фонд оплаты труда</t>
  </si>
  <si>
    <t xml:space="preserve">hc8</t>
  </si>
  <si>
    <t xml:space="preserve">Служба технического обслуживания и ремонта — иностранные специалисты — численность</t>
  </si>
  <si>
    <t xml:space="preserve">F9 Personnel!стр.45-47</t>
  </si>
  <si>
    <t xml:space="preserve">mc8</t>
  </si>
  <si>
    <t xml:space="preserve">Служба технического обслуживания и ремонта — иностранные специалисты — месячная зарплата на 1 чел. (USD)</t>
  </si>
  <si>
    <t xml:space="preserve">pc8</t>
  </si>
  <si>
    <t xml:space="preserve">Служба технического обслуживания и ремонта — иностранные специалисты — годовой фонд оплаты труда</t>
  </si>
  <si>
    <t xml:space="preserve">hc9</t>
  </si>
  <si>
    <t xml:space="preserve">Служба технического обслуживания и ремонта — местный персонал — численность</t>
  </si>
  <si>
    <t xml:space="preserve">F9 Personnel!стр.48-50</t>
  </si>
  <si>
    <t xml:space="preserve">mc9</t>
  </si>
  <si>
    <t xml:space="preserve">Служба технического обслуживания и ремонта — местный персонал — месячная зарплата на 1 чел. (USD)</t>
  </si>
  <si>
    <t xml:space="preserve">pc9</t>
  </si>
  <si>
    <t xml:space="preserve">Служба технического обслуживания и ремонта — местный персонал — годовой фонд оплаты труда</t>
  </si>
  <si>
    <t xml:space="preserve">hc10</t>
  </si>
  <si>
    <t xml:space="preserve">Пробирно-аналитическая лаборатория — иностранные специалисты — численность</t>
  </si>
  <si>
    <t xml:space="preserve">F9 Personnel!стр.51-53</t>
  </si>
  <si>
    <t xml:space="preserve">mc10</t>
  </si>
  <si>
    <t xml:space="preserve">Пробирно-аналитическая лаборатория — иностранные специалисты — месячная зарплата на 1 чел. (USD)</t>
  </si>
  <si>
    <t xml:space="preserve">pc10</t>
  </si>
  <si>
    <t xml:space="preserve">Пробирно-аналитическая лаборатория — иностранные специалисты — годовой фонд оплаты труда</t>
  </si>
  <si>
    <t xml:space="preserve">hc11</t>
  </si>
  <si>
    <t xml:space="preserve">Пробирно-аналитическая лаборатория — местный персонал — численность</t>
  </si>
  <si>
    <t xml:space="preserve">F9 Personnel!стр.54-56</t>
  </si>
  <si>
    <t xml:space="preserve">mc11</t>
  </si>
  <si>
    <t xml:space="preserve">Пробирно-аналитическая лаборатория — местный персонал — месячная зарплата на 1 чел. (USD)</t>
  </si>
  <si>
    <t xml:space="preserve">pc11</t>
  </si>
  <si>
    <t xml:space="preserve">Пробирно-аналитическая лаборатория — местный персонал — годовой фонд оплаты труда</t>
  </si>
  <si>
    <t xml:space="preserve">hc12</t>
  </si>
  <si>
    <t xml:space="preserve">Отдел охраны труда, промбезопасности и экологии — иностранные специалисты — численность</t>
  </si>
  <si>
    <t xml:space="preserve">F9 Personnel!стр.57-59</t>
  </si>
  <si>
    <t xml:space="preserve">mc12</t>
  </si>
  <si>
    <t xml:space="preserve">Отдел охраны труда, промбезопасности и экологии — иностранные специалисты — месячная зарплата на 1 чел. (USD)</t>
  </si>
  <si>
    <t xml:space="preserve">pc12</t>
  </si>
  <si>
    <t xml:space="preserve">Отдел охраны труда, промбезопасности и экологии — иностранные специалисты — годовой фонд оплаты труда</t>
  </si>
  <si>
    <t xml:space="preserve">hc13</t>
  </si>
  <si>
    <t xml:space="preserve">Отдел охраны труда, промбезопасности и экологии — местный персонал — численность</t>
  </si>
  <si>
    <t xml:space="preserve">F9 Personnel!стр.60-62</t>
  </si>
  <si>
    <t xml:space="preserve">mc13</t>
  </si>
  <si>
    <t xml:space="preserve">Отдел охраны труда, промбезопасности и экологии — местный персонал — месячная зарплата на 1 чел. (USD)</t>
  </si>
  <si>
    <t xml:space="preserve">pc13</t>
  </si>
  <si>
    <t xml:space="preserve">Отдел охраны труда, промбезопасности и экологии — местный персонал — годовой фонд оплаты труда</t>
  </si>
  <si>
    <t xml:space="preserve">hc14</t>
  </si>
  <si>
    <t xml:space="preserve">Административный отдел — офис — местный персонал — численность</t>
  </si>
  <si>
    <t xml:space="preserve">F9 Personnel!стр.63-65</t>
  </si>
  <si>
    <t xml:space="preserve">mc14</t>
  </si>
  <si>
    <t xml:space="preserve">Административный отдел — офис — местный персонал — месячная зарплата на 1 чел. (USD)</t>
  </si>
  <si>
    <t xml:space="preserve">pc14</t>
  </si>
  <si>
    <t xml:space="preserve">Административный отдел — офис — местный персонал — годовой фонд оплаты труда</t>
  </si>
  <si>
    <t xml:space="preserve">hc15</t>
  </si>
  <si>
    <t xml:space="preserve">Административный отдел — обслуживание площадки — местный персонал — численность</t>
  </si>
  <si>
    <t xml:space="preserve">F9 Personnel!стр.66-68</t>
  </si>
  <si>
    <t xml:space="preserve">mc15</t>
  </si>
  <si>
    <t xml:space="preserve">Административный отдел — обслуживание площадки — местный персонал — месячная зарплата на 1 чел. (USD)</t>
  </si>
  <si>
    <t xml:space="preserve">pc15</t>
  </si>
  <si>
    <t xml:space="preserve">Административный отдел — обслуживание площадки — местный персонал — годовой фонд оплаты труда</t>
  </si>
  <si>
    <t xml:space="preserve">hc16</t>
  </si>
  <si>
    <t xml:space="preserve">Отдел кадров — местный персонал — численность</t>
  </si>
  <si>
    <t xml:space="preserve">F9 Personnel!стр.69-71</t>
  </si>
  <si>
    <t xml:space="preserve">mc16</t>
  </si>
  <si>
    <t xml:space="preserve">Отдел кадров — местный персонал — месячная зарплата на 1 чел. (USD)</t>
  </si>
  <si>
    <t xml:space="preserve">pc16</t>
  </si>
  <si>
    <t xml:space="preserve">Отдел кадров — местный персонал — годовой фонд оплаты труда</t>
  </si>
  <si>
    <t xml:space="preserve">hc17</t>
  </si>
  <si>
    <t xml:space="preserve">Отдел закупок — местный персонал — численность</t>
  </si>
  <si>
    <t xml:space="preserve">F9 Personnel!стр.72-74</t>
  </si>
  <si>
    <t xml:space="preserve">mc17</t>
  </si>
  <si>
    <t xml:space="preserve">Отдел закупок — местный персонал — месячная зарплата на 1 чел. (USD)</t>
  </si>
  <si>
    <t xml:space="preserve">pc17</t>
  </si>
  <si>
    <t xml:space="preserve">Отдел закупок — местный персонал — годовой фонд оплаты труда</t>
  </si>
  <si>
    <t xml:space="preserve">hc18</t>
  </si>
  <si>
    <t xml:space="preserve">Отдел закупок — иностранные специалисты — численность</t>
  </si>
  <si>
    <t xml:space="preserve">F9 Personnel!стр.75-77</t>
  </si>
  <si>
    <t xml:space="preserve">mc18</t>
  </si>
  <si>
    <t xml:space="preserve">Отдел закупок — иностранные специалисты — месячная зарплата на 1 чел. (USD)</t>
  </si>
  <si>
    <t xml:space="preserve">pc18</t>
  </si>
  <si>
    <t xml:space="preserve">Отдел закупок — иностранные специалисты — годовой фонд оплаты труда</t>
  </si>
  <si>
    <t xml:space="preserve">hc19</t>
  </si>
  <si>
    <t xml:space="preserve">Финансовый отдел — местный персонал — численность</t>
  </si>
  <si>
    <t xml:space="preserve">F9 Personnel!стр.78-80</t>
  </si>
  <si>
    <t xml:space="preserve">mc19</t>
  </si>
  <si>
    <t xml:space="preserve">Финансовый отдел — местный персонал — месячная зарплата на 1 чел. (USD)</t>
  </si>
  <si>
    <t xml:space="preserve">pc19</t>
  </si>
  <si>
    <t xml:space="preserve">Финансовый отдел — местный персонал — годовой фонд оплаты труда</t>
  </si>
  <si>
    <t xml:space="preserve">hc20</t>
  </si>
  <si>
    <t xml:space="preserve">Юридический отдел — местный персонал — численность</t>
  </si>
  <si>
    <t xml:space="preserve">F9 Personnel!стр.81-83</t>
  </si>
  <si>
    <t xml:space="preserve">mc20</t>
  </si>
  <si>
    <t xml:space="preserve">Юридический отдел — местный персонал — месячная зарплата на 1 чел. (USD)</t>
  </si>
  <si>
    <t xml:space="preserve">pc20</t>
  </si>
  <si>
    <t xml:space="preserve">Юридический отдел — местный персонал — годовой фонд оплаты труда</t>
  </si>
  <si>
    <t xml:space="preserve">hc21</t>
  </si>
  <si>
    <t xml:space="preserve">Отдел по связям с местным сообществом — местный персонал — численность</t>
  </si>
  <si>
    <t xml:space="preserve">F9 Personnel!стр.84-86</t>
  </si>
  <si>
    <t xml:space="preserve">mc21</t>
  </si>
  <si>
    <t xml:space="preserve">Отдел по связям с местным сообществом — местный персонал — месячная зарплата на 1 чел. (USD)</t>
  </si>
  <si>
    <t xml:space="preserve">pc21</t>
  </si>
  <si>
    <t xml:space="preserve">Отдел по связям с местным сообществом — местный персонал — годовой фонд оплаты труда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</si>
</sst>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#,##0.0;\(#,##0.0\);\-"/>
    <numFmt numFmtId="175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11" min="4" style="0" width="1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  <c r="C6" s="5"/>
      <c r="D6" s="5"/>
      <c r="E6" s="5"/>
      <c r="F6" s="5"/>
      <c r="G6" s="5"/>
      <c r="H6" s="5"/>
      <c r="I6" s="5"/>
      <c r="J6" s="5"/>
      <c r="K6" s="5"/>
    </row>
    <row r="7" customFormat="false" ht="30" hidden="false" customHeight="true" outlineLevel="0" collapsed="false">
      <c r="B7" s="6" t="s">
        <v>4</v>
      </c>
      <c r="C7" s="7" t="s">
        <v>5</v>
      </c>
      <c r="D7" s="7"/>
      <c r="E7" s="7"/>
      <c r="F7" s="7"/>
      <c r="G7" s="7"/>
      <c r="H7" s="7"/>
      <c r="I7" s="7"/>
      <c r="J7" s="7"/>
      <c r="K7" s="7"/>
    </row>
    <row r="8" customFormat="false" ht="15" hidden="false" customHeight="true" outlineLevel="0" collapsed="false">
      <c r="B8" s="6" t="s">
        <v>6</v>
      </c>
      <c r="C8" s="7" t="s">
        <v>7</v>
      </c>
      <c r="D8" s="7"/>
      <c r="E8" s="7"/>
      <c r="F8" s="7"/>
      <c r="G8" s="7"/>
      <c r="H8" s="7"/>
      <c r="I8" s="7"/>
      <c r="J8" s="7"/>
      <c r="K8" s="7"/>
    </row>
    <row r="9" customFormat="false" ht="15" hidden="false" customHeight="true" outlineLevel="0" collapsed="false">
      <c r="B9" s="6" t="s">
        <v>8</v>
      </c>
      <c r="C9" s="7" t="s">
        <v>9</v>
      </c>
      <c r="D9" s="7"/>
      <c r="E9" s="7"/>
      <c r="F9" s="7"/>
      <c r="G9" s="7"/>
      <c r="H9" s="7"/>
      <c r="I9" s="7"/>
      <c r="J9" s="7"/>
      <c r="K9" s="7"/>
    </row>
    <row r="10" customFormat="false" ht="15" hidden="false" customHeight="true" outlineLevel="0" collapsed="false">
      <c r="B10" s="6" t="s">
        <v>10</v>
      </c>
      <c r="C10" s="7" t="s">
        <v>11</v>
      </c>
      <c r="D10" s="7"/>
      <c r="E10" s="7"/>
      <c r="F10" s="7"/>
      <c r="G10" s="7"/>
      <c r="H10" s="7"/>
      <c r="I10" s="7"/>
      <c r="J10" s="7"/>
      <c r="K10" s="7"/>
    </row>
    <row r="11" customFormat="false" ht="15" hidden="false" customHeight="true" outlineLevel="0" collapsed="false">
      <c r="B11" s="6" t="s">
        <v>12</v>
      </c>
      <c r="C11" s="7" t="s">
        <v>13</v>
      </c>
      <c r="D11" s="7"/>
      <c r="E11" s="7"/>
      <c r="F11" s="7"/>
      <c r="G11" s="7"/>
      <c r="H11" s="7"/>
      <c r="I11" s="7"/>
      <c r="J11" s="7"/>
      <c r="K11" s="7"/>
    </row>
    <row r="12" customFormat="false" ht="15" hidden="false" customHeight="true" outlineLevel="0" collapsed="false">
      <c r="B12" s="6" t="s">
        <v>14</v>
      </c>
      <c r="C12" s="7" t="s">
        <v>15</v>
      </c>
      <c r="D12" s="7"/>
      <c r="E12" s="7"/>
      <c r="F12" s="7"/>
      <c r="G12" s="7"/>
      <c r="H12" s="7"/>
      <c r="I12" s="7"/>
      <c r="J12" s="7"/>
      <c r="K12" s="7"/>
    </row>
    <row r="13" customFormat="false" ht="15" hidden="false" customHeight="true" outlineLevel="0" collapsed="false">
      <c r="B13" s="6" t="s">
        <v>16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4" customFormat="false" ht="15" hidden="false" customHeight="true" outlineLevel="0" collapsed="false">
      <c r="B14" s="6" t="s">
        <v>18</v>
      </c>
      <c r="C14" s="7" t="s">
        <v>19</v>
      </c>
      <c r="D14" s="7"/>
      <c r="E14" s="7"/>
      <c r="F14" s="7"/>
      <c r="G14" s="7"/>
      <c r="H14" s="7"/>
      <c r="I14" s="7"/>
      <c r="J14" s="7"/>
      <c r="K14" s="7"/>
    </row>
    <row r="16" customFormat="false" ht="15" hidden="false" customHeight="false" outlineLevel="0" collapsed="false">
      <c r="B16" s="4" t="s">
        <v>20</v>
      </c>
      <c r="C16" s="5"/>
      <c r="D16" s="5"/>
      <c r="E16" s="5"/>
      <c r="F16" s="5"/>
      <c r="G16" s="5"/>
      <c r="H16" s="5"/>
      <c r="I16" s="5"/>
      <c r="J16" s="5"/>
      <c r="K16" s="5"/>
    </row>
    <row r="17" customFormat="false" ht="15" hidden="false" customHeight="false" outlineLevel="0" collapsed="false">
      <c r="B17" s="6" t="s">
        <v>21</v>
      </c>
      <c r="C17" s="8" t="n">
        <f aca="false">ИНФОРМАЦИЯ!$C$26</f>
        <v>42783896.3386581</v>
      </c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0" collapsed="false">
      <c r="B18" s="6" t="s">
        <v>22</v>
      </c>
      <c r="C18" s="9" t="n">
        <f aca="false">ИНФОРМАЦИЯ!$C$27</f>
        <v>0.07</v>
      </c>
      <c r="D18" s="9"/>
      <c r="E18" s="9"/>
      <c r="F18" s="9"/>
      <c r="G18" s="9"/>
      <c r="H18" s="9"/>
      <c r="I18" s="9"/>
      <c r="J18" s="9"/>
      <c r="K18" s="9"/>
    </row>
    <row r="19" customFormat="false" ht="30" hidden="false" customHeight="true" outlineLevel="0" collapsed="false">
      <c r="B19" s="6" t="s">
        <v>23</v>
      </c>
      <c r="C19" s="7" t="s">
        <v>24</v>
      </c>
      <c r="D19" s="7"/>
      <c r="E19" s="7"/>
      <c r="F19" s="7"/>
      <c r="G19" s="7"/>
      <c r="H19" s="7"/>
      <c r="I19" s="7"/>
      <c r="J19" s="7"/>
      <c r="K19" s="7"/>
    </row>
    <row r="20" customFormat="false" ht="15" hidden="false" customHeight="true" outlineLevel="0" collapsed="false">
      <c r="B20" s="6" t="s">
        <v>25</v>
      </c>
      <c r="C20" s="7" t="s">
        <v>26</v>
      </c>
      <c r="D20" s="7"/>
      <c r="E20" s="7"/>
      <c r="F20" s="7"/>
      <c r="G20" s="7"/>
      <c r="H20" s="7"/>
      <c r="I20" s="7"/>
      <c r="J20" s="7"/>
      <c r="K20" s="7"/>
    </row>
    <row r="21" customFormat="false" ht="30" hidden="false" customHeight="true" outlineLevel="0" collapsed="false">
      <c r="B21" s="6" t="s">
        <v>27</v>
      </c>
      <c r="C21" s="7" t="str">
        <f aca="false">TEXT(LOANS!$C$106,"#,##0") &amp; " USD — уплачиваются за счёт собственных средств заемщика (включены в стоимость проекта)"</f>
        <v>3,036,468 USD — уплачиваются за счёт собственных средств заемщика (включены в стоимость проекта)</v>
      </c>
      <c r="D21" s="7"/>
      <c r="E21" s="7"/>
      <c r="F21" s="7"/>
      <c r="G21" s="7"/>
      <c r="H21" s="7"/>
      <c r="I21" s="7"/>
      <c r="J21" s="7"/>
      <c r="K21" s="7"/>
    </row>
    <row r="22" customFormat="false" ht="15" hidden="false" customHeight="true" outlineLevel="0" collapsed="false">
      <c r="B22" s="6" t="s">
        <v>28</v>
      </c>
      <c r="C22" s="7" t="s">
        <v>29</v>
      </c>
      <c r="D22" s="7"/>
      <c r="E22" s="7"/>
      <c r="F22" s="7"/>
      <c r="G22" s="7"/>
      <c r="H22" s="7"/>
      <c r="I22" s="7"/>
      <c r="J22" s="7"/>
      <c r="K22" s="7"/>
    </row>
    <row r="24" customFormat="false" ht="15" hidden="false" customHeight="false" outlineLevel="0" collapsed="false">
      <c r="B24" s="4" t="s">
        <v>30</v>
      </c>
      <c r="C24" s="5"/>
      <c r="D24" s="5"/>
      <c r="E24" s="5"/>
      <c r="F24" s="5"/>
      <c r="G24" s="5"/>
      <c r="H24" s="5"/>
      <c r="I24" s="5"/>
      <c r="J24" s="5"/>
      <c r="K24" s="5"/>
    </row>
    <row r="25" customFormat="false" ht="15" hidden="false" customHeight="false" outlineLevel="0" collapsed="false">
      <c r="B25" s="10" t="s">
        <v>31</v>
      </c>
      <c r="C25" s="11" t="s">
        <v>32</v>
      </c>
      <c r="D25" s="11" t="s">
        <v>33</v>
      </c>
    </row>
    <row r="26" customFormat="false" ht="15" hidden="false" customHeight="false" outlineLevel="0" collapsed="false">
      <c r="B26" s="6" t="s">
        <v>34</v>
      </c>
      <c r="C26" s="12" t="n">
        <f aca="false">ProjCost!E5</f>
        <v>141613333.333333</v>
      </c>
      <c r="D26" s="13" t="n">
        <f aca="false">IFERROR(C26/ProjCost!$E$22,0)</f>
        <v>0.819439055849688</v>
      </c>
    </row>
    <row r="27" customFormat="false" ht="15" hidden="false" customHeight="false" outlineLevel="0" collapsed="false">
      <c r="B27" s="6" t="s">
        <v>35</v>
      </c>
      <c r="C27" s="12" t="n">
        <f aca="false">ProjCost!E11</f>
        <v>26666036.9949931</v>
      </c>
      <c r="D27" s="13" t="n">
        <f aca="false">IFERROR(C27/ProjCost!$E$22,0)</f>
        <v>0.154301799584055</v>
      </c>
    </row>
    <row r="28" customFormat="false" ht="15" hidden="false" customHeight="false" outlineLevel="0" collapsed="false">
      <c r="B28" s="6" t="s">
        <v>36</v>
      </c>
      <c r="C28" s="12" t="n">
        <f aca="false">ProjCost!E17</f>
        <v>4110198.32683453</v>
      </c>
      <c r="D28" s="13" t="n">
        <f aca="false">IFERROR(C28/ProjCost!$E$22,0)</f>
        <v>0.023783474034669</v>
      </c>
    </row>
    <row r="29" customFormat="false" ht="15" hidden="false" customHeight="false" outlineLevel="0" collapsed="false">
      <c r="B29" s="6" t="s">
        <v>37</v>
      </c>
      <c r="C29" s="12" t="n">
        <f aca="false">ProjCost!E20</f>
        <v>427838.963386581</v>
      </c>
      <c r="D29" s="13" t="n">
        <f aca="false">IFERROR(C29/ProjCost!$E$22,0)</f>
        <v>0.00247567053158749</v>
      </c>
    </row>
    <row r="30" customFormat="false" ht="15" hidden="false" customHeight="false" outlineLevel="0" collapsed="false">
      <c r="B30" s="14" t="s">
        <v>38</v>
      </c>
      <c r="C30" s="15" t="n">
        <f aca="false">ProjCost!E22</f>
        <v>172817407.618548</v>
      </c>
      <c r="D30" s="16" t="n">
        <f aca="false">IFERROR(C30/ProjCost!$E$22,0)</f>
        <v>1</v>
      </c>
    </row>
    <row r="31" customFormat="false" ht="15" hidden="false" customHeight="false" outlineLevel="0" collapsed="false">
      <c r="B31" s="6" t="s">
        <v>39</v>
      </c>
      <c r="C31" s="12" t="n">
        <f aca="false">FinPlan!$E$10</f>
        <v>130033511.279889</v>
      </c>
      <c r="D31" s="13" t="n">
        <f aca="false">IFERROR(C31/ProjCost!$E$22,0)</f>
        <v>0.752432946841251</v>
      </c>
    </row>
    <row r="32" customFormat="false" ht="15" hidden="false" customHeight="false" outlineLevel="0" collapsed="false">
      <c r="B32" s="6" t="s">
        <v>40</v>
      </c>
      <c r="C32" s="12" t="n">
        <f aca="false">FinPlan!$E$14</f>
        <v>42783896.3386581</v>
      </c>
      <c r="D32" s="13" t="n">
        <f aca="false">IFERROR(C32/ProjCost!$E$22,0)</f>
        <v>0.247567053158749</v>
      </c>
    </row>
    <row r="34" customFormat="false" ht="15" hidden="false" customHeight="false" outlineLevel="0" collapsed="false">
      <c r="B34" s="4" t="s">
        <v>41</v>
      </c>
      <c r="C34" s="5"/>
      <c r="D34" s="5"/>
      <c r="E34" s="5"/>
      <c r="F34" s="5"/>
      <c r="G34" s="5"/>
      <c r="H34" s="5"/>
      <c r="I34" s="5"/>
      <c r="J34" s="5"/>
      <c r="K34" s="5"/>
    </row>
    <row r="35" customFormat="false" ht="30" hidden="false" customHeight="true" outlineLevel="0" collapsed="false">
      <c r="B35" s="17" t="s">
        <v>42</v>
      </c>
      <c r="C35" s="18" t="s">
        <v>43</v>
      </c>
      <c r="D35" s="18" t="s">
        <v>44</v>
      </c>
      <c r="E35" s="18" t="s">
        <v>45</v>
      </c>
      <c r="F35" s="18" t="s">
        <v>46</v>
      </c>
      <c r="G35" s="18" t="s">
        <v>47</v>
      </c>
      <c r="H35" s="18" t="s">
        <v>48</v>
      </c>
      <c r="I35" s="18" t="s">
        <v>49</v>
      </c>
      <c r="J35" s="18" t="s">
        <v>50</v>
      </c>
      <c r="K35" s="17" t="s">
        <v>51</v>
      </c>
    </row>
    <row r="36" customFormat="false" ht="15" hidden="false" customHeight="false" outlineLevel="0" collapsed="false">
      <c r="B36" s="5"/>
      <c r="C36" s="5"/>
      <c r="D36" s="17" t="s">
        <v>52</v>
      </c>
      <c r="E36" s="17" t="s">
        <v>53</v>
      </c>
      <c r="F36" s="17" t="s">
        <v>54</v>
      </c>
      <c r="G36" s="17" t="s">
        <v>55</v>
      </c>
      <c r="H36" s="17" t="s">
        <v>56</v>
      </c>
      <c r="I36" s="17" t="s">
        <v>57</v>
      </c>
      <c r="J36" s="17" t="s">
        <v>58</v>
      </c>
      <c r="K36" s="17" t="s">
        <v>59</v>
      </c>
    </row>
    <row r="37" customFormat="false" ht="15" hidden="false" customHeight="false" outlineLevel="0" collapsed="false">
      <c r="B37" s="19" t="s">
        <v>60</v>
      </c>
      <c r="C37" s="20" t="s">
        <v>32</v>
      </c>
      <c r="D37" s="12" t="n">
        <f aca="false">ProfLoss!D10</f>
        <v>28105318.0658845</v>
      </c>
      <c r="E37" s="12" t="n">
        <f aca="false">ProfLoss!E10</f>
        <v>100214920.209165</v>
      </c>
      <c r="F37" s="12" t="n">
        <f aca="false">ProfLoss!F10</f>
        <v>110763118.168789</v>
      </c>
      <c r="G37" s="12" t="n">
        <f aca="false">ProfLoss!G10</f>
        <v>143811174.360601</v>
      </c>
      <c r="H37" s="12" t="n">
        <f aca="false">ProfLoss!H10</f>
        <v>141300666.279925</v>
      </c>
      <c r="I37" s="12" t="n">
        <f aca="false">ProfLoss!I10</f>
        <v>144313126.574047</v>
      </c>
      <c r="J37" s="12" t="n">
        <f aca="false">ProfLoss!J10</f>
        <v>147488015.358676</v>
      </c>
      <c r="K37" s="12" t="n">
        <f aca="false">SUM(D37:J37)</f>
        <v>815996339.017088</v>
      </c>
    </row>
    <row r="38" customFormat="false" ht="15" hidden="false" customHeight="false" outlineLevel="0" collapsed="false">
      <c r="B38" s="19" t="s">
        <v>61</v>
      </c>
      <c r="C38" s="20" t="s">
        <v>32</v>
      </c>
      <c r="D38" s="12" t="n">
        <f aca="false">ProfLoss!D27</f>
        <v>15164483.7188218</v>
      </c>
      <c r="E38" s="12" t="n">
        <f aca="false">ProfLoss!E27</f>
        <v>67752886.4962082</v>
      </c>
      <c r="F38" s="12" t="n">
        <f aca="false">ProfLoss!F27</f>
        <v>72026310.8045988</v>
      </c>
      <c r="G38" s="12" t="n">
        <f aca="false">ProfLoss!G27</f>
        <v>70712513.4378461</v>
      </c>
      <c r="H38" s="12" t="n">
        <f aca="false">ProfLoss!H27</f>
        <v>67611115.8661093</v>
      </c>
      <c r="I38" s="12" t="n">
        <f aca="false">ProfLoss!I27</f>
        <v>68972259.3791321</v>
      </c>
      <c r="J38" s="12" t="n">
        <f aca="false">ProfLoss!J27</f>
        <v>70411884.1898485</v>
      </c>
      <c r="K38" s="12" t="n">
        <f aca="false">SUM(D38:J38)</f>
        <v>432651453.892565</v>
      </c>
    </row>
    <row r="39" customFormat="false" ht="15" hidden="false" customHeight="false" outlineLevel="0" collapsed="false">
      <c r="B39" s="19" t="s">
        <v>62</v>
      </c>
      <c r="C39" s="20" t="s">
        <v>32</v>
      </c>
      <c r="D39" s="12" t="n">
        <f aca="false">ProfLoss!D22</f>
        <v>7120930.46908331</v>
      </c>
      <c r="E39" s="12" t="n">
        <f aca="false">ProfLoss!E22</f>
        <v>30240795.1880155</v>
      </c>
      <c r="F39" s="12" t="n">
        <f aca="false">ProfLoss!F22</f>
        <v>32996761.8911367</v>
      </c>
      <c r="G39" s="12" t="n">
        <f aca="false">ProfLoss!G22</f>
        <v>28450580.5651331</v>
      </c>
      <c r="H39" s="12" t="n">
        <f aca="false">ProfLoss!H22</f>
        <v>26408671.3378326</v>
      </c>
      <c r="I39" s="12" t="n">
        <f aca="false">ProfLoss!I22</f>
        <v>27532695.6943072</v>
      </c>
      <c r="J39" s="12" t="n">
        <f aca="false">ProfLoss!J22</f>
        <v>28709566.8163506</v>
      </c>
      <c r="K39" s="12" t="n">
        <f aca="false">SUM(D39:J39)</f>
        <v>181460001.961859</v>
      </c>
    </row>
    <row r="40" customFormat="false" ht="15" hidden="false" customHeight="false" outlineLevel="0" collapsed="false">
      <c r="B40" s="19" t="s">
        <v>63</v>
      </c>
      <c r="C40" s="20" t="s">
        <v>32</v>
      </c>
      <c r="D40" s="12" t="n">
        <f aca="false">CashFlow!D18</f>
        <v>-14544943.624406</v>
      </c>
      <c r="E40" s="12" t="n">
        <f aca="false">CashFlow!E18</f>
        <v>63320564.8804318</v>
      </c>
      <c r="F40" s="12" t="n">
        <f aca="false">CashFlow!F18</f>
        <v>53810852.311584</v>
      </c>
      <c r="G40" s="12" t="n">
        <f aca="false">CashFlow!G18</f>
        <v>43728028.7896814</v>
      </c>
      <c r="H40" s="12" t="n">
        <f aca="false">CashFlow!H18</f>
        <v>44303718.876748</v>
      </c>
      <c r="I40" s="12" t="n">
        <f aca="false">CashFlow!I18</f>
        <v>44646476.6318047</v>
      </c>
      <c r="J40" s="12" t="n">
        <f aca="false">CashFlow!J18</f>
        <v>45442858.244391</v>
      </c>
      <c r="K40" s="12" t="n">
        <f aca="false">SUM(D40:J40)</f>
        <v>280707556.110235</v>
      </c>
    </row>
    <row r="41" customFormat="false" ht="15" hidden="false" customHeight="false" outlineLevel="0" collapsed="false">
      <c r="B41" s="19" t="s">
        <v>64</v>
      </c>
      <c r="C41" s="20" t="s">
        <v>32</v>
      </c>
      <c r="D41" s="12" t="n">
        <f aca="false">LOANS!$C$107</f>
        <v>3036468.19847976</v>
      </c>
      <c r="E41" s="12" t="n">
        <f aca="false">LOANS!$D$107</f>
        <v>9942271.0466183</v>
      </c>
      <c r="F41" s="12" t="n">
        <f aca="false">LOANS!$E$107</f>
        <v>9427989.46551352</v>
      </c>
      <c r="G41" s="12" t="n">
        <f aca="false">LOANS!$F$107</f>
        <v>8921911.43243356</v>
      </c>
      <c r="H41" s="12" t="n">
        <f aca="false">LOANS!$G$107</f>
        <v>8415833.39935361</v>
      </c>
      <c r="I41" s="12" t="n">
        <f aca="false">LOANS!$H$107</f>
        <v>7912412.85366197</v>
      </c>
      <c r="J41" s="12" t="n">
        <f aca="false">LOANS!$I$107</f>
        <v>7403677.33319366</v>
      </c>
      <c r="K41" s="12" t="n">
        <f aca="false">SUM(D41:J41)</f>
        <v>55060563.7292544</v>
      </c>
    </row>
    <row r="42" customFormat="false" ht="15" hidden="false" customHeight="false" outlineLevel="0" collapsed="false">
      <c r="B42" s="19" t="s">
        <v>65</v>
      </c>
      <c r="C42" s="20" t="s">
        <v>32</v>
      </c>
      <c r="D42" s="12" t="n">
        <f aca="false">CashFlow!D26</f>
        <v>13622662.4623284</v>
      </c>
      <c r="E42" s="12" t="n">
        <f aca="false">CashFlow!E26</f>
        <v>51966865.262385</v>
      </c>
      <c r="F42" s="12" t="n">
        <f aca="false">CashFlow!F26</f>
        <v>42971434.2746419</v>
      </c>
      <c r="G42" s="12" t="n">
        <f aca="false">CashFlow!G26</f>
        <v>33394688.7858193</v>
      </c>
      <c r="H42" s="12" t="n">
        <f aca="false">CashFlow!H26</f>
        <v>34476456.9059658</v>
      </c>
      <c r="I42" s="12" t="n">
        <f aca="false">CashFlow!I26</f>
        <v>35322635.2067142</v>
      </c>
      <c r="J42" s="12" t="n">
        <f aca="false">CashFlow!J26</f>
        <v>36627752.3397687</v>
      </c>
      <c r="K42" s="12" t="n">
        <f aca="false">SUM(D42:J42)</f>
        <v>248382495.237623</v>
      </c>
    </row>
    <row r="43" customFormat="false" ht="15" hidden="false" customHeight="false" outlineLevel="0" collapsed="false">
      <c r="B43" s="19" t="s">
        <v>66</v>
      </c>
      <c r="C43" s="20" t="s">
        <v>32</v>
      </c>
      <c r="D43" s="12" t="n">
        <f aca="false">CashFlow!D27</f>
        <v>13622662.4623284</v>
      </c>
      <c r="E43" s="12" t="n">
        <f aca="false">CashFlow!E27</f>
        <v>65589527.7247134</v>
      </c>
      <c r="F43" s="12" t="n">
        <f aca="false">CashFlow!F27</f>
        <v>108560961.999355</v>
      </c>
      <c r="G43" s="12" t="n">
        <f aca="false">CashFlow!G27</f>
        <v>141955650.785175</v>
      </c>
      <c r="H43" s="12" t="n">
        <f aca="false">CashFlow!H27</f>
        <v>176432107.69114</v>
      </c>
      <c r="I43" s="12" t="n">
        <f aca="false">CashFlow!I27</f>
        <v>211754742.897854</v>
      </c>
      <c r="J43" s="12" t="n">
        <f aca="false">CashFlow!J27</f>
        <v>248382495.237623</v>
      </c>
    </row>
    <row r="44" customFormat="false" ht="15" hidden="false" customHeight="false" outlineLevel="0" collapsed="false">
      <c r="B44" s="19" t="s">
        <v>67</v>
      </c>
      <c r="C44" s="20" t="s">
        <v>68</v>
      </c>
      <c r="D44" s="21" t="str">
        <f aca="false">CashFlow!D30</f>
        <v>-</v>
      </c>
      <c r="E44" s="21" t="n">
        <f aca="false">CashFlow!E30</f>
        <v>6.22686064569328</v>
      </c>
      <c r="F44" s="21" t="n">
        <f aca="false">CashFlow!F30</f>
        <v>5.55785768872847</v>
      </c>
      <c r="G44" s="21" t="n">
        <f aca="false">CashFlow!G30</f>
        <v>4.74299711880355</v>
      </c>
      <c r="H44" s="21" t="n">
        <f aca="false">CashFlow!H30</f>
        <v>5.0966182753349</v>
      </c>
      <c r="I44" s="21" t="n">
        <f aca="false">CashFlow!I30</f>
        <v>5.46420527593759</v>
      </c>
      <c r="J44" s="21" t="n">
        <f aca="false">CashFlow!J30</f>
        <v>5.94723779702713</v>
      </c>
    </row>
    <row r="45" customFormat="false" ht="15" hidden="false" customHeight="false" outlineLevel="0" collapsed="false">
      <c r="B45" s="19" t="s">
        <v>69</v>
      </c>
      <c r="C45" s="20" t="s">
        <v>32</v>
      </c>
      <c r="D45" s="12" t="n">
        <f aca="false">LOANS!$C$108</f>
        <v>42783896.3386581</v>
      </c>
      <c r="E45" s="12" t="n">
        <f aca="false">LOANS!$D$108</f>
        <v>35653246.9488817</v>
      </c>
      <c r="F45" s="12" t="n">
        <f aca="false">LOANS!$E$108</f>
        <v>28522597.5591054</v>
      </c>
      <c r="G45" s="12" t="n">
        <f aca="false">LOANS!$F$108</f>
        <v>21391948.169329</v>
      </c>
      <c r="H45" s="12" t="n">
        <f aca="false">LOANS!$G$108</f>
        <v>14261298.7795527</v>
      </c>
      <c r="I45" s="12" t="n">
        <f aca="false">LOANS!$H$108</f>
        <v>7130649.38977634</v>
      </c>
      <c r="J45" s="12" t="n">
        <f aca="false">LOANS!$I$108</f>
        <v>0</v>
      </c>
    </row>
    <row r="47" customFormat="false" ht="15" hidden="false" customHeight="false" outlineLevel="0" collapsed="false">
      <c r="B47" s="4" t="s">
        <v>70</v>
      </c>
      <c r="C47" s="5"/>
      <c r="D47" s="5"/>
      <c r="E47" s="5"/>
      <c r="F47" s="5"/>
      <c r="G47" s="5"/>
      <c r="H47" s="5"/>
      <c r="I47" s="5"/>
      <c r="J47" s="5"/>
      <c r="K47" s="5"/>
    </row>
    <row r="48" customFormat="false" ht="15" hidden="false" customHeight="false" outlineLevel="0" collapsed="false">
      <c r="B48" s="6" t="s">
        <v>71</v>
      </c>
      <c r="C48" s="22" t="n">
        <f aca="false">NPV_IRR!D18</f>
        <v>43537692.9658138</v>
      </c>
    </row>
    <row r="49" customFormat="false" ht="15" hidden="false" customHeight="false" outlineLevel="0" collapsed="false">
      <c r="B49" s="6" t="s">
        <v>72</v>
      </c>
      <c r="C49" s="23" t="n">
        <f aca="false">NPV_IRR!D19</f>
        <v>0.225199086913321</v>
      </c>
    </row>
    <row r="50" customFormat="false" ht="15" hidden="false" customHeight="false" outlineLevel="0" collapsed="false">
      <c r="B50" s="6" t="s">
        <v>73</v>
      </c>
      <c r="C50" s="24" t="n">
        <f aca="false">NPV_IRR!D20</f>
        <v>1.31051168908591</v>
      </c>
    </row>
    <row r="51" customFormat="false" ht="15" hidden="false" customHeight="false" outlineLevel="0" collapsed="false">
      <c r="B51" s="6" t="s">
        <v>74</v>
      </c>
      <c r="C51" s="25" t="n">
        <f aca="false">NPV_IRR!D21</f>
        <v>3.98896689934295</v>
      </c>
    </row>
    <row r="52" customFormat="false" ht="15" hidden="false" customHeight="false" outlineLevel="0" collapsed="false">
      <c r="B52" s="6" t="s">
        <v>75</v>
      </c>
      <c r="C52" s="25" t="n">
        <f aca="false">NPV_IRR!D22</f>
        <v>4.99338120705456</v>
      </c>
    </row>
    <row r="53" customFormat="false" ht="15" hidden="false" customHeight="false" outlineLevel="0" collapsed="false">
      <c r="B53" s="6" t="s">
        <v>76</v>
      </c>
      <c r="C53" s="26" t="str">
        <f aca="false">TEXT(CashFlow!K31,"0.00") &amp; "x / " &amp; TEXT(CashFlow!K32,"0.00") &amp; "x"</f>
        <v>4.74x / 5.51x</v>
      </c>
      <c r="D53" s="26"/>
      <c r="E53" s="26"/>
    </row>
    <row r="54" customFormat="false" ht="15" hidden="false" customHeight="false" outlineLevel="0" collapsed="false">
      <c r="B54" s="6" t="s">
        <v>77</v>
      </c>
      <c r="C54" s="23" t="n">
        <f aca="false">BreakPoint!C10</f>
        <v>0.337318986786297</v>
      </c>
    </row>
    <row r="55" customFormat="false" ht="15" hidden="false" customHeight="false" outlineLevel="0" collapsed="false">
      <c r="B55" s="6" t="s">
        <v>78</v>
      </c>
      <c r="C55" s="26" t="str">
        <f aca="false">TEXT(Исх_данные!$E$18,"#,##0") &amp; " USD / " &amp; TEXT(Исх_данные!$E$19,"0.0%")</f>
        <v>73,295,633 USD / 25.0%</v>
      </c>
      <c r="D55" s="26"/>
      <c r="E55" s="26"/>
    </row>
    <row r="57" customFormat="false" ht="15" hidden="false" customHeight="false" outlineLevel="0" collapsed="false">
      <c r="B57" s="4" t="s">
        <v>79</v>
      </c>
      <c r="C57" s="5"/>
      <c r="D57" s="5"/>
      <c r="E57" s="5"/>
      <c r="F57" s="5"/>
      <c r="G57" s="5"/>
      <c r="H57" s="5"/>
      <c r="I57" s="5"/>
      <c r="J57" s="5"/>
      <c r="K57" s="5"/>
    </row>
    <row r="58" customFormat="false" ht="15" hidden="false" customHeight="false" outlineLevel="0" collapsed="false">
      <c r="B58" s="6" t="s">
        <v>80</v>
      </c>
      <c r="C58" s="27" t="str">
        <f aca="false">Проверки!E14</f>
        <v>OK</v>
      </c>
    </row>
    <row r="59" customFormat="false" ht="15" hidden="false" customHeight="false" outlineLevel="0" collapsed="false">
      <c r="B59" s="6" t="s">
        <v>81</v>
      </c>
      <c r="C59" s="27" t="str">
        <f aca="false">Проверки!E16</f>
        <v>OK</v>
      </c>
    </row>
    <row r="60" customFormat="false" ht="15" hidden="false" customHeight="false" outlineLevel="0" collapsed="false">
      <c r="B60" s="6" t="s">
        <v>82</v>
      </c>
      <c r="C60" s="27" t="str">
        <f aca="false">Проверки!E12</f>
        <v>OK</v>
      </c>
    </row>
    <row r="61" customFormat="false" ht="15" hidden="false" customHeight="false" outlineLevel="0" collapsed="false">
      <c r="B61" s="6" t="s">
        <v>83</v>
      </c>
      <c r="C61" s="27" t="str">
        <f aca="false">IF(ProjCost!E18&gt;0,"OK","ОШИБКА")</f>
        <v>OK</v>
      </c>
    </row>
    <row r="62" customFormat="false" ht="15" hidden="false" customHeight="false" outlineLevel="0" collapsed="false">
      <c r="B62" s="6" t="s">
        <v>84</v>
      </c>
      <c r="C62" s="27" t="str">
        <f aca="false">Проверки!E17</f>
        <v>OK</v>
      </c>
    </row>
    <row r="63" customFormat="false" ht="15" hidden="false" customHeight="false" outlineLevel="0" collapsed="false">
      <c r="B63" s="6" t="s">
        <v>85</v>
      </c>
      <c r="C63" s="27" t="str">
        <f aca="false">Проверки!E24</f>
        <v>ВСЕ OK</v>
      </c>
    </row>
    <row r="65" customFormat="false" ht="15" hidden="false" customHeight="false" outlineLevel="0" collapsed="false">
      <c r="B65" s="4" t="s">
        <v>86</v>
      </c>
      <c r="C65" s="5"/>
      <c r="D65" s="5"/>
      <c r="E65" s="5"/>
      <c r="F65" s="5"/>
      <c r="G65" s="5"/>
      <c r="H65" s="5"/>
      <c r="I65" s="5"/>
      <c r="J65" s="5"/>
      <c r="K65" s="5"/>
    </row>
    <row r="66" customFormat="false" ht="30" hidden="false" customHeight="true" outlineLevel="0" collapsed="false">
      <c r="B66" s="28" t="s">
        <v>87</v>
      </c>
      <c r="C66" s="28"/>
      <c r="D66" s="28"/>
      <c r="E66" s="28"/>
      <c r="F66" s="28"/>
      <c r="G66" s="28"/>
      <c r="H66" s="28"/>
      <c r="I66" s="28"/>
      <c r="J66" s="28"/>
      <c r="K66" s="28"/>
    </row>
    <row r="67" customFormat="false" ht="30" hidden="false" customHeight="true" outlineLevel="0" collapsed="false">
      <c r="B67" s="28" t="s">
        <v>88</v>
      </c>
      <c r="C67" s="28"/>
      <c r="D67" s="28"/>
      <c r="E67" s="28"/>
      <c r="F67" s="28"/>
      <c r="G67" s="28"/>
      <c r="H67" s="28"/>
      <c r="I67" s="28"/>
      <c r="J67" s="28"/>
      <c r="K67" s="28"/>
    </row>
    <row r="68" customFormat="false" ht="30" hidden="false" customHeight="true" outlineLevel="0" collapsed="false">
      <c r="B68" s="28" t="s">
        <v>89</v>
      </c>
      <c r="C68" s="28"/>
      <c r="D68" s="28"/>
      <c r="E68" s="28"/>
      <c r="F68" s="28"/>
      <c r="G68" s="28"/>
      <c r="H68" s="28"/>
      <c r="I68" s="28"/>
      <c r="J68" s="28"/>
      <c r="K68" s="28"/>
    </row>
    <row r="69" customFormat="false" ht="30" hidden="false" customHeight="true" outlineLevel="0" collapsed="false">
      <c r="B69" s="28" t="s">
        <v>90</v>
      </c>
      <c r="C69" s="28"/>
      <c r="D69" s="28"/>
      <c r="E69" s="28"/>
      <c r="F69" s="28"/>
      <c r="G69" s="28"/>
      <c r="H69" s="28"/>
      <c r="I69" s="28"/>
      <c r="J69" s="28"/>
      <c r="K69" s="28"/>
    </row>
    <row r="70" customFormat="false" ht="30" hidden="false" customHeight="true" outlineLevel="0" collapsed="false">
      <c r="B70" s="28" t="s">
        <v>91</v>
      </c>
      <c r="C70" s="28"/>
      <c r="D70" s="28"/>
      <c r="E70" s="28"/>
      <c r="F70" s="28"/>
      <c r="G70" s="28"/>
      <c r="H70" s="28"/>
      <c r="I70" s="28"/>
      <c r="J70" s="28"/>
      <c r="K70" s="28"/>
    </row>
    <row r="71" customFormat="false" ht="30" hidden="false" customHeight="true" outlineLevel="0" collapsed="false">
      <c r="B71" s="28" t="s">
        <v>92</v>
      </c>
      <c r="C71" s="28"/>
      <c r="D71" s="28"/>
      <c r="E71" s="28"/>
      <c r="F71" s="28"/>
      <c r="G71" s="28"/>
      <c r="H71" s="28"/>
      <c r="I71" s="28"/>
      <c r="J71" s="28"/>
      <c r="K71" s="28"/>
    </row>
    <row r="73" customFormat="false" ht="15" hidden="false" customHeight="false" outlineLevel="0" collapsed="false">
      <c r="B73" s="4" t="s">
        <v>93</v>
      </c>
      <c r="C73" s="5"/>
      <c r="D73" s="5"/>
      <c r="E73" s="5"/>
      <c r="F73" s="5"/>
      <c r="G73" s="5"/>
      <c r="H73" s="5"/>
      <c r="I73" s="5"/>
      <c r="J73" s="5"/>
      <c r="K73" s="5"/>
    </row>
    <row r="74" customFormat="false" ht="30" hidden="false" customHeight="true" outlineLevel="0" collapsed="false">
      <c r="B74" s="26" t="s">
        <v>94</v>
      </c>
      <c r="C74" s="19" t="str">
        <f aca="false">"Изменение цены безубыточности по ТЭО-модели (все продукты): " &amp; TEXT(BreakPoint!C15,"0.0%") &amp; "; точка безубыточности при проектной мощности — " &amp; TEXT(BreakPoint!C10,"0%") &amp; " выручки. Меры: долгосрочные контракты на реализацию, мониторинг рыночных цен."</f>
        <v>Изменение цены безубыточности по ТЭО-модели (все продукты): -24.5%; точка безубыточности при проектной мощности — 34% выручки. Меры: долгосрочные контракты на реализацию, мониторинг рыночных цен.</v>
      </c>
      <c r="D74" s="19"/>
      <c r="E74" s="19"/>
      <c r="F74" s="19"/>
      <c r="G74" s="19"/>
      <c r="H74" s="19"/>
      <c r="I74" s="19"/>
      <c r="J74" s="19"/>
      <c r="K74" s="19"/>
    </row>
    <row r="75" customFormat="false" ht="30" hidden="false" customHeight="true" outlineLevel="0" collapsed="false">
      <c r="B75" s="26" t="s">
        <v>95</v>
      </c>
      <c r="C75" s="19" t="str">
        <f aca="false">"Доля экспорта в выручке: " &amp; TEXT(SalePlan!G8/SalePlan!G14,"0%") &amp; "; цены продукции установлены в USD; кредит — в USD (естественное хеджирование валютной позиции)."</f>
        <v>Доля экспорта в выручке: 0%; цены продукции установлены в USD; кредит — в USD (естественное хеджирование валютной позиции).</v>
      </c>
      <c r="D75" s="19"/>
      <c r="E75" s="19"/>
      <c r="F75" s="19"/>
      <c r="G75" s="19"/>
      <c r="H75" s="19"/>
      <c r="I75" s="19"/>
      <c r="J75" s="19"/>
      <c r="K75" s="19"/>
    </row>
    <row r="76" customFormat="false" ht="30" hidden="false" customHeight="true" outlineLevel="0" collapsed="false">
      <c r="B76" s="26" t="s">
        <v>96</v>
      </c>
      <c r="C76" s="19" t="str">
        <f aca="false">"Освоение мощности: 1-й год — " &amp; TEXT(ProdPlan!D11,"0%") &amp; ", 2-й год — " &amp; TEXT(ProdPlan!E11,"0%") &amp; ", 3-й год — " &amp; TEXT(ProdPlan!F11,"0%") &amp; "; льготный период 12 мес. и запас DSCR (мин. " &amp; TEXT(CashFlow!K31,"0.00") &amp; "x) покрывают период выхода на мощность."</f>
        <v>Освоение мощности: 1-й год — 16%, 2-й год — 56%, 3-й год — 60%; льготный период 12 мес. и запас DSCR (мин. 4.74x) покрывают период выхода на мощность.</v>
      </c>
      <c r="D76" s="19"/>
      <c r="E76" s="19"/>
      <c r="F76" s="19"/>
      <c r="G76" s="19"/>
      <c r="H76" s="19"/>
      <c r="I76" s="19"/>
      <c r="J76" s="19"/>
      <c r="K76" s="19"/>
    </row>
    <row r="77" customFormat="false" ht="30" hidden="false" customHeight="true" outlineLevel="0" collapsed="false">
      <c r="B77" s="26" t="s">
        <v>97</v>
      </c>
      <c r="C77" s="19" t="str">
        <f aca="false">"Капитальные затраты приняты по ТЭО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по ТЭО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7" s="19"/>
      <c r="E77" s="19"/>
      <c r="F77" s="19"/>
      <c r="G77" s="19"/>
      <c r="H77" s="19"/>
      <c r="I77" s="19"/>
      <c r="J77" s="19"/>
      <c r="K77" s="19"/>
    </row>
    <row r="78" customFormat="false" ht="30" hidden="false" customHeight="true" outlineLevel="0" collapsed="false">
      <c r="B78" s="26" t="s">
        <v>98</v>
      </c>
      <c r="C78" s="19" t="str">
        <f aca="false">"Проект является плательщиком специального рентного налога (25%) и НДПИ; налоговая нагрузка учтена по ТЭО (Приложение 9)."</f>
        <v>Проект является плательщиком специального рентного налога (25%) и НДПИ; налоговая нагрузка учтена по ТЭО (Приложение 9).</v>
      </c>
      <c r="D78" s="19"/>
      <c r="E78" s="19"/>
      <c r="F78" s="19"/>
      <c r="G78" s="19"/>
      <c r="H78" s="19"/>
      <c r="I78" s="19"/>
      <c r="J78" s="19"/>
      <c r="K78" s="19"/>
    </row>
  </sheetData>
  <mergeCells count="27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53:E53"/>
    <mergeCell ref="C55:E55"/>
    <mergeCell ref="B66:K66"/>
    <mergeCell ref="B67:K67"/>
    <mergeCell ref="B68:K68"/>
    <mergeCell ref="B69:K69"/>
    <mergeCell ref="B70:K70"/>
    <mergeCell ref="B71:K71"/>
    <mergeCell ref="C74:K74"/>
    <mergeCell ref="C75:K75"/>
    <mergeCell ref="C76:K76"/>
    <mergeCell ref="C77:K77"/>
    <mergeCell ref="C78:K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52"/>
    <col collapsed="false" customWidth="true" hidden="false" outlineLevel="0" max="14" min="4" style="0" width="16"/>
  </cols>
  <sheetData>
    <row r="2" customFormat="false" ht="15" hidden="false" customHeight="false" outlineLevel="0" collapsed="false">
      <c r="B2" s="2" t="s">
        <v>99</v>
      </c>
    </row>
    <row r="4" customFormat="false" ht="30" hidden="false" customHeight="true" outlineLevel="0" collapsed="false">
      <c r="B4" s="26" t="s">
        <v>100</v>
      </c>
      <c r="C4" s="19" t="s">
        <v>7</v>
      </c>
    </row>
    <row r="5" customFormat="false" ht="15" hidden="false" customHeight="true" outlineLevel="0" collapsed="false">
      <c r="B5" s="26" t="s">
        <v>101</v>
      </c>
      <c r="C5" s="19" t="s">
        <v>102</v>
      </c>
    </row>
    <row r="6" customFormat="false" ht="30" hidden="false" customHeight="true" outlineLevel="0" collapsed="false">
      <c r="B6" s="26" t="s">
        <v>103</v>
      </c>
      <c r="C6" s="19" t="s">
        <v>104</v>
      </c>
    </row>
    <row r="7" customFormat="false" ht="30" hidden="false" customHeight="true" outlineLevel="0" collapsed="false">
      <c r="B7" s="26" t="s">
        <v>105</v>
      </c>
      <c r="C7" s="19" t="s">
        <v>106</v>
      </c>
    </row>
    <row r="8" customFormat="false" ht="15" hidden="false" customHeight="true" outlineLevel="0" collapsed="false">
      <c r="B8" s="26" t="s">
        <v>107</v>
      </c>
      <c r="C8" s="19" t="s">
        <v>9</v>
      </c>
    </row>
    <row r="9" customFormat="false" ht="15" hidden="false" customHeight="true" outlineLevel="0" collapsed="false">
      <c r="B9" s="26" t="s">
        <v>108</v>
      </c>
      <c r="C9" s="19" t="s">
        <v>109</v>
      </c>
    </row>
    <row r="10" customFormat="false" ht="15" hidden="false" customHeight="true" outlineLevel="0" collapsed="false">
      <c r="B10" s="26" t="s">
        <v>110</v>
      </c>
      <c r="C10" s="19" t="s">
        <v>11</v>
      </c>
    </row>
    <row r="11" customFormat="false" ht="15" hidden="false" customHeight="true" outlineLevel="0" collapsed="false">
      <c r="B11" s="26" t="s">
        <v>111</v>
      </c>
      <c r="C11" s="19" t="s">
        <v>112</v>
      </c>
    </row>
    <row r="12" customFormat="false" ht="15" hidden="false" customHeight="true" outlineLevel="0" collapsed="false">
      <c r="B12" s="26" t="s">
        <v>113</v>
      </c>
      <c r="C12" s="19" t="s">
        <v>114</v>
      </c>
    </row>
    <row r="13" customFormat="false" ht="15" hidden="false" customHeight="true" outlineLevel="0" collapsed="false">
      <c r="B13" s="26" t="s">
        <v>115</v>
      </c>
      <c r="C13" s="19" t="s">
        <v>116</v>
      </c>
    </row>
    <row r="14" customFormat="false" ht="15" hidden="false" customHeight="true" outlineLevel="0" collapsed="false">
      <c r="B14" s="26" t="s">
        <v>117</v>
      </c>
      <c r="C14" s="19" t="s">
        <v>118</v>
      </c>
    </row>
    <row r="16" customFormat="false" ht="15" hidden="false" customHeight="false" outlineLevel="0" collapsed="false">
      <c r="B16" s="4" t="s">
        <v>119</v>
      </c>
      <c r="C16" s="5"/>
    </row>
    <row r="17" customFormat="false" ht="23.85" hidden="false" customHeight="false" outlineLevel="0" collapsed="false">
      <c r="B17" s="6" t="s">
        <v>120</v>
      </c>
      <c r="C17" s="19" t="s">
        <v>7</v>
      </c>
    </row>
    <row r="18" customFormat="false" ht="23.85" hidden="false" customHeight="false" outlineLevel="0" collapsed="false">
      <c r="B18" s="6" t="s">
        <v>121</v>
      </c>
      <c r="C18" s="19" t="s">
        <v>122</v>
      </c>
    </row>
    <row r="19" customFormat="false" ht="15" hidden="false" customHeight="false" outlineLevel="0" collapsed="false">
      <c r="B19" s="6" t="s">
        <v>123</v>
      </c>
      <c r="C19" s="19" t="s">
        <v>124</v>
      </c>
    </row>
    <row r="20" customFormat="false" ht="15" hidden="false" customHeight="false" outlineLevel="0" collapsed="false">
      <c r="B20" s="6" t="s">
        <v>125</v>
      </c>
      <c r="C20" s="19" t="s">
        <v>126</v>
      </c>
    </row>
    <row r="22" customFormat="false" ht="15" hidden="false" customHeight="false" outlineLevel="0" collapsed="false">
      <c r="B22" s="26" t="s">
        <v>127</v>
      </c>
      <c r="C22" s="6" t="s">
        <v>128</v>
      </c>
    </row>
    <row r="23" customFormat="false" ht="15" hidden="false" customHeight="false" outlineLevel="0" collapsed="false">
      <c r="B23" s="6" t="s">
        <v>129</v>
      </c>
      <c r="C23" s="29" t="n">
        <f aca="false">Исх_данные!$F$24</f>
        <v>12218.0628881788</v>
      </c>
    </row>
    <row r="25" customFormat="false" ht="15" hidden="false" customHeight="false" outlineLevel="0" collapsed="false">
      <c r="B25" s="4" t="s">
        <v>130</v>
      </c>
      <c r="C25" s="5"/>
    </row>
    <row r="26" customFormat="false" ht="15" hidden="false" customHeight="true" outlineLevel="0" collapsed="false">
      <c r="B26" s="19" t="s">
        <v>21</v>
      </c>
      <c r="C26" s="22" t="n">
        <f aca="false">O40</f>
        <v>42783896.3386581</v>
      </c>
    </row>
    <row r="27" customFormat="false" ht="15" hidden="false" customHeight="true" outlineLevel="0" collapsed="false">
      <c r="B27" s="19" t="s">
        <v>131</v>
      </c>
      <c r="C27" s="30" t="n">
        <v>0.07</v>
      </c>
    </row>
    <row r="28" customFormat="false" ht="15" hidden="false" customHeight="true" outlineLevel="0" collapsed="false">
      <c r="B28" s="19" t="s">
        <v>132</v>
      </c>
      <c r="C28" s="31" t="n">
        <v>84</v>
      </c>
    </row>
    <row r="29" customFormat="false" ht="15" hidden="false" customHeight="true" outlineLevel="0" collapsed="false">
      <c r="B29" s="19" t="s">
        <v>133</v>
      </c>
      <c r="C29" s="31" t="n">
        <v>12</v>
      </c>
    </row>
    <row r="30" customFormat="false" ht="15" hidden="false" customHeight="true" outlineLevel="0" collapsed="false">
      <c r="B30" s="19" t="s">
        <v>134</v>
      </c>
      <c r="C30" s="31" t="n">
        <v>12</v>
      </c>
    </row>
    <row r="31" customFormat="false" ht="15" hidden="false" customHeight="true" outlineLevel="0" collapsed="false">
      <c r="B31" s="19" t="s">
        <v>135</v>
      </c>
      <c r="C31" s="32" t="n">
        <v>46388</v>
      </c>
    </row>
    <row r="32" customFormat="false" ht="15" hidden="false" customHeight="true" outlineLevel="0" collapsed="false">
      <c r="B32" s="19" t="s">
        <v>136</v>
      </c>
      <c r="C32" s="31" t="n">
        <v>360</v>
      </c>
    </row>
    <row r="33" customFormat="false" ht="30" hidden="false" customHeight="true" outlineLevel="0" collapsed="false">
      <c r="B33" s="19" t="s">
        <v>137</v>
      </c>
      <c r="C33" s="19" t="s">
        <v>138</v>
      </c>
    </row>
    <row r="34" customFormat="false" ht="30" hidden="false" customHeight="true" outlineLevel="0" collapsed="false">
      <c r="B34" s="19" t="s">
        <v>139</v>
      </c>
      <c r="C34" s="19" t="s">
        <v>140</v>
      </c>
    </row>
    <row r="35" customFormat="false" ht="30" hidden="false" customHeight="true" outlineLevel="0" collapsed="false">
      <c r="B35" s="19" t="s">
        <v>28</v>
      </c>
      <c r="C35" s="19" t="s">
        <v>141</v>
      </c>
    </row>
    <row r="36" customFormat="false" ht="15" hidden="false" customHeight="true" outlineLevel="0" collapsed="false">
      <c r="B36" s="19" t="s">
        <v>142</v>
      </c>
      <c r="C36" s="30" t="n">
        <v>0.01</v>
      </c>
    </row>
    <row r="38" customFormat="false" ht="15" hidden="false" customHeight="false" outlineLevel="0" collapsed="false">
      <c r="B38" s="33" t="s">
        <v>143</v>
      </c>
    </row>
    <row r="39" customFormat="false" ht="45" hidden="false" customHeight="true" outlineLevel="0" collapsed="false">
      <c r="B39" s="18" t="s">
        <v>144</v>
      </c>
      <c r="C39" s="18" t="s">
        <v>145</v>
      </c>
      <c r="D39" s="18" t="s">
        <v>146</v>
      </c>
      <c r="E39" s="18" t="s">
        <v>147</v>
      </c>
      <c r="F39" s="18" t="s">
        <v>148</v>
      </c>
      <c r="G39" s="18" t="s">
        <v>149</v>
      </c>
      <c r="H39" s="18" t="s">
        <v>150</v>
      </c>
      <c r="I39" s="18" t="s">
        <v>151</v>
      </c>
      <c r="J39" s="18" t="s">
        <v>152</v>
      </c>
      <c r="K39" s="18" t="s">
        <v>153</v>
      </c>
      <c r="L39" s="18" t="s">
        <v>154</v>
      </c>
      <c r="M39" s="18" t="s">
        <v>155</v>
      </c>
      <c r="N39" s="18" t="s">
        <v>156</v>
      </c>
      <c r="O39" s="18" t="s">
        <v>157</v>
      </c>
    </row>
    <row r="40" customFormat="false" ht="42" hidden="false" customHeight="true" outlineLevel="0" collapsed="false">
      <c r="B40" s="34" t="s">
        <v>1</v>
      </c>
      <c r="C40" s="35" t="s">
        <v>109</v>
      </c>
      <c r="D40" s="36" t="n">
        <v>158</v>
      </c>
      <c r="E40" s="37" t="n">
        <v>116.0322968</v>
      </c>
      <c r="F40" s="37" t="n">
        <v>532.896</v>
      </c>
      <c r="G40" s="37" t="n">
        <v>1041.567375</v>
      </c>
      <c r="H40" s="38" t="n">
        <f aca="false">E40+F40+G40</f>
        <v>1690.4956718</v>
      </c>
      <c r="I40" s="39" t="n">
        <v>12.2</v>
      </c>
      <c r="J40" s="38" t="n">
        <f aca="false">H40/I40</f>
        <v>138.565219</v>
      </c>
      <c r="K40" s="38" t="n">
        <f aca="false">H40*30%</f>
        <v>507.14870154</v>
      </c>
      <c r="L40" s="40" t="n">
        <v>11.838</v>
      </c>
      <c r="M40" s="38" t="n">
        <f aca="false">K40/L40</f>
        <v>42.8407418094273</v>
      </c>
      <c r="N40" s="41" t="n">
        <f aca="false">M40/$M$43</f>
        <v>0.548511491521257</v>
      </c>
      <c r="O40" s="42" t="n">
        <f aca="false">N40*$O$44</f>
        <v>42783896.3386581</v>
      </c>
    </row>
    <row r="41" customFormat="false" ht="42" hidden="false" customHeight="true" outlineLevel="0" collapsed="false">
      <c r="B41" s="19" t="s">
        <v>158</v>
      </c>
      <c r="C41" s="19" t="s">
        <v>159</v>
      </c>
      <c r="D41" s="43" t="n">
        <v>80</v>
      </c>
      <c r="E41" s="44" t="n">
        <v>25.272</v>
      </c>
      <c r="F41" s="44" t="n">
        <v>293.4</v>
      </c>
      <c r="G41" s="44" t="n">
        <v>353.99904</v>
      </c>
      <c r="H41" s="29" t="n">
        <f aca="false">E41+F41+G41</f>
        <v>672.67104</v>
      </c>
      <c r="I41" s="45" t="n">
        <v>12</v>
      </c>
      <c r="J41" s="29" t="n">
        <f aca="false">H41/I41</f>
        <v>56.05592</v>
      </c>
      <c r="K41" s="29" t="n">
        <f aca="false">H41*30%</f>
        <v>201.801312</v>
      </c>
      <c r="L41" s="46" t="n">
        <v>11.838</v>
      </c>
      <c r="M41" s="29" t="n">
        <f aca="false">K41/L41</f>
        <v>17.0469092752154</v>
      </c>
      <c r="N41" s="13" t="n">
        <f aca="false">M41/$M$43</f>
        <v>0.218260124298743</v>
      </c>
      <c r="O41" s="12" t="n">
        <f aca="false">N41*$O$44</f>
        <v>17024289.695302</v>
      </c>
    </row>
    <row r="42" customFormat="false" ht="42" hidden="false" customHeight="true" outlineLevel="0" collapsed="false">
      <c r="B42" s="19" t="s">
        <v>160</v>
      </c>
      <c r="C42" s="19" t="s">
        <v>161</v>
      </c>
      <c r="D42" s="43" t="n">
        <v>65</v>
      </c>
      <c r="E42" s="44" t="n">
        <v>25.35648</v>
      </c>
      <c r="F42" s="44" t="n">
        <v>251.13528</v>
      </c>
      <c r="G42" s="44" t="n">
        <v>442.311</v>
      </c>
      <c r="H42" s="29" t="n">
        <f aca="false">E42+F42+G42</f>
        <v>718.80276</v>
      </c>
      <c r="I42" s="45" t="n">
        <v>12</v>
      </c>
      <c r="J42" s="29" t="n">
        <f aca="false">H42/I42</f>
        <v>59.90023</v>
      </c>
      <c r="K42" s="29" t="n">
        <f aca="false">H42*30%</f>
        <v>215.640828</v>
      </c>
      <c r="L42" s="46" t="n">
        <v>11.838</v>
      </c>
      <c r="M42" s="29" t="n">
        <f aca="false">K42/L42</f>
        <v>18.2159847947288</v>
      </c>
      <c r="N42" s="13" t="n">
        <f aca="false">M42/$M$43</f>
        <v>0.233228384179999</v>
      </c>
      <c r="O42" s="12" t="n">
        <f aca="false">N42*$O$44</f>
        <v>18191813.9660399</v>
      </c>
    </row>
    <row r="43" customFormat="false" ht="15" hidden="false" customHeight="false" outlineLevel="0" collapsed="false">
      <c r="B43" s="10" t="s">
        <v>162</v>
      </c>
      <c r="C43" s="47"/>
      <c r="D43" s="48" t="n">
        <f aca="false">SUM(D40:D42)</f>
        <v>303</v>
      </c>
      <c r="E43" s="47" t="n">
        <f aca="false">SUM(E40:E42)</f>
        <v>166.6607768</v>
      </c>
      <c r="F43" s="47" t="n">
        <f aca="false">SUM(F40:F42)</f>
        <v>1077.43128</v>
      </c>
      <c r="G43" s="47" t="n">
        <f aca="false">SUM(G40:G42)</f>
        <v>1837.877415</v>
      </c>
      <c r="H43" s="47" t="n">
        <f aca="false">SUM(H40:H42)</f>
        <v>3081.9694718</v>
      </c>
      <c r="I43" s="47"/>
      <c r="J43" s="47" t="n">
        <f aca="false">SUM(J40:J42)</f>
        <v>254.521369</v>
      </c>
      <c r="K43" s="47" t="n">
        <f aca="false">SUM(K40:K42)</f>
        <v>924.59084154</v>
      </c>
      <c r="L43" s="47"/>
      <c r="M43" s="47" t="n">
        <f aca="false">SUM(M40:M42)</f>
        <v>78.1036358793715</v>
      </c>
      <c r="N43" s="49" t="n">
        <f aca="false">SUM(N40:N42)</f>
        <v>1</v>
      </c>
      <c r="O43" s="48" t="n">
        <f aca="false">SUM(O40:O42)</f>
        <v>78000000</v>
      </c>
    </row>
    <row r="44" customFormat="false" ht="15" hidden="false" customHeight="false" outlineLevel="0" collapsed="false">
      <c r="N44" s="26" t="s">
        <v>163</v>
      </c>
      <c r="O44" s="50" t="n">
        <v>78000000</v>
      </c>
    </row>
    <row r="46" customFormat="false" ht="15" hidden="false" customHeight="false" outlineLevel="0" collapsed="false">
      <c r="B46" s="3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0"/>
    <col collapsed="false" customWidth="true" hidden="false" outlineLevel="0" max="5" min="3" style="0" width="16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58"/>
  </cols>
  <sheetData>
    <row r="2" customFormat="false" ht="15" hidden="false" customHeight="false" outlineLevel="0" collapsed="false">
      <c r="B2" s="2" t="s">
        <v>165</v>
      </c>
      <c r="F2" s="51" t="s">
        <v>166</v>
      </c>
    </row>
    <row r="3" customFormat="false" ht="15" hidden="false" customHeight="false" outlineLevel="0" collapsed="false">
      <c r="B3" s="52" t="s">
        <v>167</v>
      </c>
    </row>
    <row r="4" customFormat="false" ht="30" hidden="false" customHeight="true" outlineLevel="0" collapsed="false">
      <c r="B4" s="18" t="s">
        <v>168</v>
      </c>
      <c r="C4" s="18" t="s">
        <v>169</v>
      </c>
      <c r="D4" s="18" t="s">
        <v>170</v>
      </c>
      <c r="E4" s="18" t="s">
        <v>171</v>
      </c>
      <c r="F4" s="18" t="s">
        <v>172</v>
      </c>
      <c r="H4" s="17" t="s">
        <v>173</v>
      </c>
    </row>
    <row r="5" customFormat="false" ht="15" hidden="false" customHeight="false" outlineLevel="0" collapsed="false">
      <c r="B5" s="10" t="s">
        <v>174</v>
      </c>
      <c r="C5" s="48" t="n">
        <f aca="false">SUM(C6:C10)</f>
        <v>0</v>
      </c>
      <c r="D5" s="48" t="n">
        <f aca="false">SUM(D6:D10)</f>
        <v>141613333.333333</v>
      </c>
      <c r="E5" s="48" t="n">
        <f aca="false">SUM(E6:E10)</f>
        <v>141613333.333333</v>
      </c>
      <c r="F5" s="23" t="n">
        <f aca="false">IFERROR(E5/$E$22,0)</f>
        <v>0.819439055849688</v>
      </c>
    </row>
    <row r="6" customFormat="false" ht="15" hidden="false" customHeight="false" outlineLevel="0" collapsed="false">
      <c r="B6" s="6" t="s">
        <v>175</v>
      </c>
      <c r="C6" s="12" t="n">
        <f aca="false">0</f>
        <v>0</v>
      </c>
      <c r="D6" s="12" t="n">
        <f aca="false">Исх_данные!$E$95+Исх_данные!$F$95+Исх_данные!$E$97+Исх_данные!$F$97+Исх_данные!$E$99+Исх_данные!$F$99+Исх_данные!$E$103+Исх_данные!$F$103</f>
        <v>28000000</v>
      </c>
      <c r="E6" s="12" t="n">
        <f aca="false">C6+D6</f>
        <v>28000000</v>
      </c>
      <c r="F6" s="13" t="n">
        <f aca="false">IFERROR(E6/$E$22,0)</f>
        <v>0.162020715307819</v>
      </c>
      <c r="H6" s="53" t="s">
        <v>176</v>
      </c>
    </row>
    <row r="7" customFormat="false" ht="15" hidden="false" customHeight="false" outlineLevel="0" collapsed="false">
      <c r="B7" s="6" t="s">
        <v>177</v>
      </c>
      <c r="C7" s="12" t="n">
        <f aca="false">0</f>
        <v>0</v>
      </c>
      <c r="D7" s="12" t="n">
        <f aca="false">Исх_данные!$E$101+Исх_данные!$F$101+Исх_данные!$E$115+Исх_данные!$F$115</f>
        <v>82470476.1904762</v>
      </c>
      <c r="E7" s="12" t="n">
        <f aca="false">C7+D7</f>
        <v>82470476.1904762</v>
      </c>
      <c r="F7" s="13" t="n">
        <f aca="false">IFERROR(E7/$E$22,0)</f>
        <v>0.47721162657705</v>
      </c>
      <c r="H7" s="53" t="s">
        <v>178</v>
      </c>
    </row>
    <row r="8" customFormat="false" ht="15" hidden="false" customHeight="false" outlineLevel="0" collapsed="false">
      <c r="B8" s="6" t="s">
        <v>179</v>
      </c>
      <c r="C8" s="12" t="n">
        <f aca="false">0</f>
        <v>0</v>
      </c>
      <c r="D8" s="12" t="n">
        <f aca="false">Исх_данные!$E$105+Исх_данные!$F$105+Исх_данные!$E$107+Исх_данные!$F$107+Исх_данные!$E$113+Исх_данные!$F$113</f>
        <v>22142857.1428571</v>
      </c>
      <c r="E8" s="12" t="n">
        <f aca="false">C8+D8</f>
        <v>22142857.1428571</v>
      </c>
      <c r="F8" s="13" t="n">
        <f aca="false">IFERROR(E8/$E$22,0)</f>
        <v>0.128128626901592</v>
      </c>
      <c r="H8" s="53" t="s">
        <v>180</v>
      </c>
    </row>
    <row r="9" customFormat="false" ht="15" hidden="false" customHeight="false" outlineLevel="0" collapsed="false">
      <c r="B9" s="6" t="s">
        <v>181</v>
      </c>
      <c r="C9" s="12" t="n">
        <f aca="false">0</f>
        <v>0</v>
      </c>
      <c r="D9" s="12" t="n">
        <f aca="false">Исх_данные!$E$109+Исх_данные!$F$109</f>
        <v>5000000</v>
      </c>
      <c r="E9" s="12" t="n">
        <f aca="false">C9+D9</f>
        <v>5000000</v>
      </c>
      <c r="F9" s="13" t="n">
        <f aca="false">IFERROR(E9/$E$22,0)</f>
        <v>0.028932270590682</v>
      </c>
      <c r="H9" s="53" t="s">
        <v>182</v>
      </c>
    </row>
    <row r="10" customFormat="false" ht="15" hidden="false" customHeight="false" outlineLevel="0" collapsed="false">
      <c r="B10" s="6" t="s">
        <v>183</v>
      </c>
      <c r="C10" s="12" t="n">
        <f aca="false">0</f>
        <v>0</v>
      </c>
      <c r="D10" s="12" t="n">
        <f aca="false">Исх_данные!$E$111+Исх_данные!$F$111</f>
        <v>4000000</v>
      </c>
      <c r="E10" s="12" t="n">
        <f aca="false">C10+D10</f>
        <v>4000000</v>
      </c>
      <c r="F10" s="13" t="n">
        <f aca="false">IFERROR(E10/$E$22,0)</f>
        <v>0.0231458164725456</v>
      </c>
      <c r="H10" s="53" t="s">
        <v>184</v>
      </c>
    </row>
    <row r="11" customFormat="false" ht="15" hidden="false" customHeight="false" outlineLevel="0" collapsed="false">
      <c r="B11" s="10" t="s">
        <v>185</v>
      </c>
      <c r="C11" s="48" t="n">
        <f aca="false">SUM(C12:C16)</f>
        <v>17580620.6326593</v>
      </c>
      <c r="D11" s="48" t="n">
        <f aca="false">SUM(D12:D16)</f>
        <v>9085416.3623338</v>
      </c>
      <c r="E11" s="48" t="n">
        <f aca="false">SUM(E12:E16)</f>
        <v>26666036.9949931</v>
      </c>
      <c r="F11" s="23" t="n">
        <f aca="false">IFERROR(E11/$E$22,0)</f>
        <v>0.154301799584055</v>
      </c>
    </row>
    <row r="12" customFormat="false" ht="15" hidden="false" customHeight="false" outlineLevel="0" collapsed="false">
      <c r="B12" s="6" t="s">
        <v>186</v>
      </c>
      <c r="C12" s="12" t="n">
        <f aca="false">Исх_данные!$F$88</f>
        <v>1521163.90746261</v>
      </c>
      <c r="D12" s="12" t="n">
        <v>0</v>
      </c>
      <c r="E12" s="12" t="n">
        <f aca="false">C12+D12</f>
        <v>1521163.90746261</v>
      </c>
      <c r="F12" s="13" t="n">
        <f aca="false">IFERROR(E12/$E$22,0)</f>
        <v>0.00880214515669744</v>
      </c>
      <c r="H12" s="53" t="s">
        <v>187</v>
      </c>
    </row>
    <row r="13" customFormat="false" ht="15" hidden="false" customHeight="false" outlineLevel="0" collapsed="false">
      <c r="B13" s="6" t="s">
        <v>188</v>
      </c>
      <c r="C13" s="12" t="n">
        <f aca="false">Исх_данные!$F$89*(1-IFERROR(Исх_данные!$F$53/Исх_данные!$F$37,0))</f>
        <v>0</v>
      </c>
      <c r="D13" s="12" t="n">
        <f aca="false">Исх_данные!$F$89*IFERROR(Исх_данные!$F$53/Исх_данные!$F$37,0)</f>
        <v>9085416.3623338</v>
      </c>
      <c r="E13" s="12" t="n">
        <f aca="false">C13+D13</f>
        <v>9085416.3623338</v>
      </c>
      <c r="F13" s="13" t="n">
        <f aca="false">IFERROR(E13/$E$22,0)</f>
        <v>0.0525723449248102</v>
      </c>
      <c r="H13" s="53" t="s">
        <v>187</v>
      </c>
    </row>
    <row r="14" customFormat="false" ht="15" hidden="false" customHeight="false" outlineLevel="0" collapsed="false">
      <c r="B14" s="6" t="s">
        <v>189</v>
      </c>
      <c r="C14" s="12" t="n">
        <f aca="false">Исх_данные!$F$90</f>
        <v>16825502.7330136</v>
      </c>
      <c r="D14" s="12" t="n">
        <v>0</v>
      </c>
      <c r="E14" s="12" t="n">
        <f aca="false">C14+D14</f>
        <v>16825502.7330136</v>
      </c>
      <c r="F14" s="13" t="n">
        <f aca="false">IFERROR(E14/$E$22,0)</f>
        <v>0.0973599995791615</v>
      </c>
      <c r="H14" s="53" t="s">
        <v>187</v>
      </c>
    </row>
    <row r="15" customFormat="false" ht="15" hidden="false" customHeight="false" outlineLevel="0" collapsed="false">
      <c r="B15" s="6" t="s">
        <v>190</v>
      </c>
      <c r="C15" s="12" t="n">
        <f aca="false">-Исх_данные!$F$91</f>
        <v>-397060.004123336</v>
      </c>
      <c r="D15" s="12" t="n">
        <v>0</v>
      </c>
      <c r="E15" s="12" t="n">
        <f aca="false">C15+D15</f>
        <v>-397060.004123336</v>
      </c>
      <c r="F15" s="13" t="n">
        <f aca="false">IFERROR(E15/$E$22,0)</f>
        <v>-0.00229756949600673</v>
      </c>
      <c r="H15" s="53" t="s">
        <v>187</v>
      </c>
    </row>
    <row r="16" customFormat="false" ht="15" hidden="false" customHeight="false" outlineLevel="0" collapsed="false">
      <c r="B16" s="6" t="s">
        <v>191</v>
      </c>
      <c r="C16" s="12" t="n">
        <f aca="false">-Исх_данные!$F$92</f>
        <v>-368986.003693548</v>
      </c>
      <c r="D16" s="12" t="n">
        <v>0</v>
      </c>
      <c r="E16" s="12" t="n">
        <f aca="false">C16+D16</f>
        <v>-368986.003693548</v>
      </c>
      <c r="F16" s="13" t="n">
        <f aca="false">IFERROR(E16/$E$22,0)</f>
        <v>-0.00213512058060722</v>
      </c>
      <c r="H16" s="53" t="s">
        <v>187</v>
      </c>
    </row>
    <row r="17" customFormat="false" ht="15" hidden="false" customHeight="false" outlineLevel="0" collapsed="false">
      <c r="B17" s="10" t="s">
        <v>192</v>
      </c>
      <c r="C17" s="48" t="n">
        <f aca="false">SUM(C18:C19)</f>
        <v>1073730.12835477</v>
      </c>
      <c r="D17" s="48" t="n">
        <f aca="false">SUM(D18:D19)</f>
        <v>3036468.19847976</v>
      </c>
      <c r="E17" s="48" t="n">
        <f aca="false">SUM(E18:E19)</f>
        <v>4110198.32683453</v>
      </c>
      <c r="F17" s="23" t="n">
        <f aca="false">IFERROR(E17/$E$22,0)</f>
        <v>0.023783474034669</v>
      </c>
    </row>
    <row r="18" customFormat="false" ht="15" hidden="false" customHeight="false" outlineLevel="0" collapsed="false">
      <c r="B18" s="6" t="s">
        <v>193</v>
      </c>
      <c r="C18" s="12" t="n">
        <v>0</v>
      </c>
      <c r="D18" s="12" t="n">
        <f aca="false">LOANS!$C$106</f>
        <v>3036468.19847976</v>
      </c>
      <c r="E18" s="12" t="n">
        <f aca="false">C18+D18</f>
        <v>3036468.19847976</v>
      </c>
      <c r="F18" s="13" t="n">
        <f aca="false">IFERROR(E18/$E$22,0)</f>
        <v>0.0175703839116834</v>
      </c>
      <c r="H18" s="53" t="s">
        <v>194</v>
      </c>
    </row>
    <row r="19" customFormat="false" ht="15" hidden="false" customHeight="false" outlineLevel="0" collapsed="false">
      <c r="B19" s="6" t="s">
        <v>195</v>
      </c>
      <c r="C19" s="12" t="n">
        <f aca="false">-Исх_данные!$E$50</f>
        <v>1073730.12835477</v>
      </c>
      <c r="D19" s="12" t="n">
        <v>0</v>
      </c>
      <c r="E19" s="12" t="n">
        <f aca="false">C19+D19</f>
        <v>1073730.12835477</v>
      </c>
      <c r="F19" s="13" t="n">
        <f aca="false">IFERROR(E19/$E$22,0)</f>
        <v>0.00621309012298557</v>
      </c>
      <c r="H19" s="53" t="s">
        <v>196</v>
      </c>
    </row>
    <row r="20" customFormat="false" ht="15" hidden="false" customHeight="false" outlineLevel="0" collapsed="false">
      <c r="B20" s="10" t="s">
        <v>197</v>
      </c>
      <c r="C20" s="54" t="n">
        <v>0</v>
      </c>
      <c r="D20" s="48" t="n">
        <f aca="false">ИНФОРМАЦИЯ!$C$26*ИНФОРМАЦИЯ!$C$36</f>
        <v>427838.963386581</v>
      </c>
      <c r="E20" s="48" t="n">
        <f aca="false">C20+D20</f>
        <v>427838.963386581</v>
      </c>
      <c r="F20" s="23" t="n">
        <f aca="false">IFERROR(E20/$E$22,0)</f>
        <v>0.00247567053158749</v>
      </c>
      <c r="H20" s="53" t="s">
        <v>198</v>
      </c>
    </row>
    <row r="22" customFormat="false" ht="15" hidden="false" customHeight="false" outlineLevel="0" collapsed="false">
      <c r="B22" s="14" t="s">
        <v>199</v>
      </c>
      <c r="C22" s="15" t="n">
        <f aca="false">C5+C11+C17+C20</f>
        <v>18654350.7610141</v>
      </c>
      <c r="D22" s="15" t="n">
        <f aca="false">D5+D11+D17+D20</f>
        <v>154163056.857534</v>
      </c>
      <c r="E22" s="15" t="n">
        <f aca="false">E5+E11+E17+E20</f>
        <v>172817407.618548</v>
      </c>
      <c r="F22" s="23" t="n">
        <f aca="false">IFERROR(E22/$E$22,0)</f>
        <v>1</v>
      </c>
    </row>
    <row r="24" customFormat="false" ht="23.85" hidden="false" customHeight="false" outlineLevel="0" collapsed="false">
      <c r="B24" s="19" t="s">
        <v>200</v>
      </c>
      <c r="E24" s="43" t="n">
        <v>158066694.829658</v>
      </c>
      <c r="H24" s="53" t="s">
        <v>201</v>
      </c>
    </row>
    <row r="25" customFormat="false" ht="15" hidden="false" customHeight="false" outlineLevel="0" collapsed="false">
      <c r="B25" s="19" t="s">
        <v>202</v>
      </c>
      <c r="E25" s="44" t="n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5" min="3" style="0" width="16"/>
    <col collapsed="false" customWidth="true" hidden="false" outlineLevel="0" max="7" min="6" style="0" width="12"/>
  </cols>
  <sheetData>
    <row r="2" customFormat="false" ht="15" hidden="false" customHeight="false" outlineLevel="0" collapsed="false">
      <c r="B2" s="2" t="s">
        <v>203</v>
      </c>
      <c r="G2" s="51" t="s">
        <v>204</v>
      </c>
    </row>
    <row r="4" customFormat="false" ht="30" hidden="false" customHeight="true" outlineLevel="0" collapsed="false">
      <c r="B4" s="18" t="s">
        <v>42</v>
      </c>
      <c r="C4" s="18" t="s">
        <v>169</v>
      </c>
      <c r="D4" s="18" t="s">
        <v>205</v>
      </c>
      <c r="E4" s="18" t="s">
        <v>171</v>
      </c>
      <c r="F4" s="18" t="s">
        <v>172</v>
      </c>
      <c r="G4" s="18" t="s">
        <v>206</v>
      </c>
    </row>
    <row r="5" customFormat="false" ht="15" hidden="false" customHeight="false" outlineLevel="0" collapsed="false">
      <c r="B5" s="26" t="s">
        <v>207</v>
      </c>
    </row>
    <row r="6" customFormat="false" ht="15" hidden="false" customHeight="false" outlineLevel="0" collapsed="false">
      <c r="B6" s="55" t="s">
        <v>7</v>
      </c>
    </row>
    <row r="7" customFormat="false" ht="15" hidden="false" customHeight="false" outlineLevel="0" collapsed="false">
      <c r="B7" s="19" t="s">
        <v>34</v>
      </c>
      <c r="C7" s="12" t="n">
        <f aca="false">'Share of costs'!C6</f>
        <v>0</v>
      </c>
      <c r="D7" s="12" t="n">
        <f aca="false">'Share of costs'!D6</f>
        <v>98829436.9946753</v>
      </c>
      <c r="E7" s="12" t="n">
        <f aca="false">C7+D7</f>
        <v>98829436.9946753</v>
      </c>
      <c r="F7" s="13" t="n">
        <f aca="false">IFERROR(E7/$E$10,0)</f>
        <v>0.760030518455744</v>
      </c>
    </row>
    <row r="8" customFormat="false" ht="15" hidden="false" customHeight="false" outlineLevel="0" collapsed="false">
      <c r="B8" s="19" t="s">
        <v>35</v>
      </c>
      <c r="C8" s="12" t="n">
        <f aca="false">'Share of costs'!C12</f>
        <v>17580620.6326593</v>
      </c>
      <c r="D8" s="12" t="n">
        <f aca="false">'Share of costs'!D12</f>
        <v>9085416.3623338</v>
      </c>
      <c r="E8" s="12" t="n">
        <f aca="false">C8+D8</f>
        <v>26666036.9949931</v>
      </c>
      <c r="F8" s="13" t="n">
        <f aca="false">IFERROR(E8/$E$10,0)</f>
        <v>0.205070498616284</v>
      </c>
    </row>
    <row r="9" customFormat="false" ht="23.85" hidden="false" customHeight="false" outlineLevel="0" collapsed="false">
      <c r="B9" s="19" t="s">
        <v>208</v>
      </c>
      <c r="C9" s="12" t="n">
        <f aca="false">'Share of costs'!C13+'Share of costs'!C16</f>
        <v>1073730.12835477</v>
      </c>
      <c r="D9" s="12" t="n">
        <f aca="false">'Share of costs'!D13+'Share of costs'!D16</f>
        <v>3464307.16186634</v>
      </c>
      <c r="E9" s="12" t="n">
        <f aca="false">C9+D9</f>
        <v>4538037.29022111</v>
      </c>
      <c r="F9" s="13" t="n">
        <f aca="false">IFERROR(E9/$E$10,0)</f>
        <v>0.034898982927972</v>
      </c>
    </row>
    <row r="10" customFormat="false" ht="15" hidden="false" customHeight="false" outlineLevel="0" collapsed="false">
      <c r="B10" s="10" t="s">
        <v>171</v>
      </c>
      <c r="C10" s="48" t="n">
        <f aca="false">SUM(C7:C9)</f>
        <v>18654350.7610141</v>
      </c>
      <c r="D10" s="48" t="n">
        <f aca="false">SUM(D7:D9)</f>
        <v>111379160.518875</v>
      </c>
      <c r="E10" s="48" t="n">
        <f aca="false">SUM(E7:E9)</f>
        <v>130033511.279889</v>
      </c>
      <c r="F10" s="49" t="n">
        <f aca="false">IFERROR(E10/$E$10,0)</f>
        <v>1</v>
      </c>
      <c r="G10" s="49" t="n">
        <f aca="false">IFERROR(E10/$E$15,0)</f>
        <v>0.752432946841251</v>
      </c>
    </row>
    <row r="11" customFormat="false" ht="15" hidden="false" customHeight="false" outlineLevel="0" collapsed="false">
      <c r="B11" s="26" t="s">
        <v>209</v>
      </c>
    </row>
    <row r="12" customFormat="false" ht="15" hidden="false" customHeight="false" outlineLevel="0" collapsed="false">
      <c r="B12" s="6" t="s">
        <v>210</v>
      </c>
      <c r="C12" s="12" t="n">
        <f aca="false">C13</f>
        <v>0</v>
      </c>
      <c r="D12" s="12" t="n">
        <f aca="false">D13</f>
        <v>42783896.3386581</v>
      </c>
      <c r="E12" s="12" t="n">
        <f aca="false">C12+D12</f>
        <v>42783896.3386581</v>
      </c>
      <c r="F12" s="13" t="n">
        <f aca="false">IFERROR(E12/$E$14,0)</f>
        <v>1</v>
      </c>
    </row>
    <row r="13" customFormat="false" ht="15" hidden="false" customHeight="false" outlineLevel="0" collapsed="false">
      <c r="B13" s="6" t="s">
        <v>211</v>
      </c>
      <c r="C13" s="12" t="n">
        <f aca="false">'Share of costs'!E6</f>
        <v>0</v>
      </c>
      <c r="D13" s="12" t="n">
        <f aca="false">'Share of costs'!F6</f>
        <v>42783896.3386581</v>
      </c>
      <c r="E13" s="12" t="n">
        <f aca="false">C13+D13</f>
        <v>42783896.3386581</v>
      </c>
      <c r="F13" s="13" t="n">
        <f aca="false">IFERROR(E13/$E$14,0)</f>
        <v>1</v>
      </c>
    </row>
    <row r="14" customFormat="false" ht="15" hidden="false" customHeight="false" outlineLevel="0" collapsed="false">
      <c r="B14" s="10" t="s">
        <v>171</v>
      </c>
      <c r="C14" s="48" t="n">
        <f aca="false">C12</f>
        <v>0</v>
      </c>
      <c r="D14" s="48" t="n">
        <f aca="false">D12</f>
        <v>42783896.3386581</v>
      </c>
      <c r="E14" s="48" t="n">
        <f aca="false">E12</f>
        <v>42783896.3386581</v>
      </c>
      <c r="F14" s="49" t="n">
        <f aca="false">IFERROR(E14/$E$14,0)</f>
        <v>1</v>
      </c>
      <c r="G14" s="49" t="n">
        <f aca="false">IFERROR(E14/$E$15,0)</f>
        <v>0.247567053158749</v>
      </c>
    </row>
    <row r="15" customFormat="false" ht="15" hidden="false" customHeight="false" outlineLevel="0" collapsed="false">
      <c r="B15" s="14" t="s">
        <v>212</v>
      </c>
      <c r="C15" s="15" t="n">
        <f aca="false">C14+C10</f>
        <v>18654350.7610141</v>
      </c>
      <c r="D15" s="15" t="n">
        <f aca="false">D14+D10</f>
        <v>154163056.857533</v>
      </c>
      <c r="E15" s="15" t="n">
        <f aca="false">E14+E10</f>
        <v>172817407.618548</v>
      </c>
      <c r="G15" s="16" t="n">
        <f aca="false">IFERROR(E15/$E$15,0)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9" min="3" style="0" width="15"/>
  </cols>
  <sheetData>
    <row r="2" customFormat="false" ht="15" hidden="false" customHeight="false" outlineLevel="0" collapsed="false">
      <c r="B2" s="2" t="s">
        <v>213</v>
      </c>
      <c r="H2" s="51" t="s">
        <v>214</v>
      </c>
    </row>
    <row r="4" customFormat="false" ht="15" hidden="false" customHeight="false" outlineLevel="0" collapsed="false">
      <c r="B4" s="17" t="s">
        <v>168</v>
      </c>
      <c r="C4" s="56" t="s">
        <v>39</v>
      </c>
      <c r="D4" s="56"/>
      <c r="E4" s="56" t="s">
        <v>40</v>
      </c>
      <c r="F4" s="56"/>
      <c r="G4" s="56" t="s">
        <v>215</v>
      </c>
      <c r="H4" s="56"/>
    </row>
    <row r="5" customFormat="false" ht="27.75" hidden="false" customHeight="true" outlineLevel="0" collapsed="false">
      <c r="B5" s="5"/>
      <c r="C5" s="18" t="s">
        <v>216</v>
      </c>
      <c r="D5" s="18" t="s">
        <v>217</v>
      </c>
      <c r="E5" s="18" t="s">
        <v>216</v>
      </c>
      <c r="F5" s="18" t="s">
        <v>217</v>
      </c>
      <c r="G5" s="18" t="s">
        <v>216</v>
      </c>
      <c r="H5" s="18" t="s">
        <v>217</v>
      </c>
    </row>
    <row r="6" customFormat="false" ht="15" hidden="false" customHeight="false" outlineLevel="0" collapsed="false">
      <c r="B6" s="10" t="s">
        <v>174</v>
      </c>
      <c r="C6" s="48" t="n">
        <f aca="false">SUM(C7:C11)</f>
        <v>0</v>
      </c>
      <c r="D6" s="48" t="n">
        <f aca="false">SUM(D7:D11)</f>
        <v>98829436.9946753</v>
      </c>
      <c r="E6" s="48" t="n">
        <f aca="false">SUM(E7:E11)</f>
        <v>0</v>
      </c>
      <c r="F6" s="48" t="n">
        <f aca="false">SUM(F7:F11)</f>
        <v>42783896.3386581</v>
      </c>
      <c r="G6" s="48" t="n">
        <f aca="false">SUM(G7:G11)</f>
        <v>0</v>
      </c>
      <c r="H6" s="48" t="n">
        <f aca="false">SUM(H7:H11)</f>
        <v>141613333.333333</v>
      </c>
    </row>
    <row r="7" customFormat="false" ht="15" hidden="false" customHeight="false" outlineLevel="0" collapsed="false">
      <c r="B7" s="6" t="s">
        <v>175</v>
      </c>
      <c r="C7" s="12" t="n">
        <f aca="false">ProjCost!$C$6</f>
        <v>0</v>
      </c>
      <c r="D7" s="12" t="n">
        <f aca="false">ProjCost!$D$6-F7</f>
        <v>12848992.0343625</v>
      </c>
      <c r="E7" s="12" t="n">
        <v>0</v>
      </c>
      <c r="F7" s="12" t="n">
        <f aca="false">ИНФОРМАЦИЯ!$C$26*(1-ИНФОРМАЦИЯ!$F$40/ИНФОРМАЦИЯ!$H$40)*ProjCost!$E$6/(ProjCost!$E$6+ProjCost!$E$8+ProjCost!$E$10)</f>
        <v>15151007.9656375</v>
      </c>
      <c r="G7" s="12" t="n">
        <f aca="false">C7+E7</f>
        <v>0</v>
      </c>
      <c r="H7" s="12" t="n">
        <f aca="false">D7+F7</f>
        <v>28000000</v>
      </c>
    </row>
    <row r="8" customFormat="false" ht="15" hidden="false" customHeight="false" outlineLevel="0" collapsed="false">
      <c r="B8" s="6" t="s">
        <v>177</v>
      </c>
      <c r="C8" s="12" t="n">
        <f aca="false">ProjCost!$C$7</f>
        <v>0</v>
      </c>
      <c r="D8" s="12" t="n">
        <f aca="false">ProjCost!$D$7-F8</f>
        <v>69754616.0684941</v>
      </c>
      <c r="E8" s="12" t="n">
        <v>0</v>
      </c>
      <c r="F8" s="12" t="n">
        <f aca="false">ИНФОРМАЦИЯ!$C$26*ИНФОРМАЦИЯ!$F$40/ИНФОРМАЦИЯ!$H$40*ProjCost!$E$7/(ProjCost!$E$7+ProjCost!$E$9)</f>
        <v>12715860.1219821</v>
      </c>
      <c r="G8" s="12" t="n">
        <f aca="false">C8+E8</f>
        <v>0</v>
      </c>
      <c r="H8" s="12" t="n">
        <f aca="false">D8+F8</f>
        <v>82470476.1904762</v>
      </c>
    </row>
    <row r="9" customFormat="false" ht="15" hidden="false" customHeight="false" outlineLevel="0" collapsed="false">
      <c r="B9" s="6" t="s">
        <v>179</v>
      </c>
      <c r="C9" s="12" t="n">
        <f aca="false">ProjCost!$C$8</f>
        <v>0</v>
      </c>
      <c r="D9" s="12" t="n">
        <f aca="false">ProjCost!$D$8-F9</f>
        <v>10161192.6802356</v>
      </c>
      <c r="E9" s="12" t="n">
        <v>0</v>
      </c>
      <c r="F9" s="12" t="n">
        <f aca="false">ИНФОРМАЦИЯ!$C$26*(1-ИНФОРМАЦИЯ!$F$40/ИНФОРМАЦИЯ!$H$40)*ProjCost!$E$8/(ProjCost!$E$6+ProjCost!$E$8+ProjCost!$E$10)</f>
        <v>11981664.4626215</v>
      </c>
      <c r="G9" s="12" t="n">
        <f aca="false">C9+E9</f>
        <v>0</v>
      </c>
      <c r="H9" s="12" t="n">
        <f aca="false">D9+F9</f>
        <v>22142857.1428571</v>
      </c>
    </row>
    <row r="10" customFormat="false" ht="15" hidden="false" customHeight="false" outlineLevel="0" collapsed="false">
      <c r="B10" s="6" t="s">
        <v>181</v>
      </c>
      <c r="C10" s="12" t="n">
        <f aca="false">ProjCost!$C$9</f>
        <v>0</v>
      </c>
      <c r="D10" s="12" t="n">
        <f aca="false">ProjCost!$D$9-F10</f>
        <v>4229065.92095981</v>
      </c>
      <c r="E10" s="12" t="n">
        <v>0</v>
      </c>
      <c r="F10" s="12" t="n">
        <f aca="false">ИНФОРМАЦИЯ!$C$26*ИНФОРМАЦИЯ!$F$40/ИНФОРМАЦИЯ!$H$40*ProjCost!$E$9/(ProjCost!$E$7+ProjCost!$E$9)</f>
        <v>770934.079040188</v>
      </c>
      <c r="G10" s="12" t="n">
        <f aca="false">C10+E10</f>
        <v>0</v>
      </c>
      <c r="H10" s="12" t="n">
        <f aca="false">D10+F10</f>
        <v>5000000</v>
      </c>
    </row>
    <row r="11" customFormat="false" ht="15" hidden="false" customHeight="false" outlineLevel="0" collapsed="false">
      <c r="B11" s="6" t="s">
        <v>183</v>
      </c>
      <c r="C11" s="12" t="n">
        <f aca="false">ProjCost!$C$10</f>
        <v>0</v>
      </c>
      <c r="D11" s="12" t="n">
        <f aca="false">ProjCost!$D$10-F11</f>
        <v>1835570.29062321</v>
      </c>
      <c r="E11" s="12" t="n">
        <v>0</v>
      </c>
      <c r="F11" s="12" t="n">
        <f aca="false">ИНФОРМАЦИЯ!$C$26*(1-ИНФОРМАЦИЯ!$F$40/ИНФОРМАЦИЯ!$H$40)*ProjCost!$E$10/(ProjCost!$E$6+ProjCost!$E$8+ProjCost!$E$10)</f>
        <v>2164429.70937679</v>
      </c>
      <c r="G11" s="12" t="n">
        <f aca="false">C11+E11</f>
        <v>0</v>
      </c>
      <c r="H11" s="12" t="n">
        <f aca="false">D11+F11</f>
        <v>4000000</v>
      </c>
    </row>
    <row r="12" customFormat="false" ht="15" hidden="false" customHeight="false" outlineLevel="0" collapsed="false">
      <c r="B12" s="10" t="s">
        <v>218</v>
      </c>
      <c r="C12" s="48" t="n">
        <f aca="false">ProjCost!$C$11</f>
        <v>17580620.6326593</v>
      </c>
      <c r="D12" s="48" t="n">
        <f aca="false">ProjCost!$D$11</f>
        <v>9085416.3623338</v>
      </c>
      <c r="E12" s="54" t="n">
        <v>0</v>
      </c>
      <c r="F12" s="54" t="n">
        <v>0</v>
      </c>
      <c r="G12" s="48" t="n">
        <f aca="false">C12+E12</f>
        <v>17580620.6326593</v>
      </c>
      <c r="H12" s="48" t="n">
        <f aca="false">D12+F12</f>
        <v>9085416.3623338</v>
      </c>
    </row>
    <row r="13" customFormat="false" ht="15" hidden="false" customHeight="false" outlineLevel="0" collapsed="false">
      <c r="B13" s="10" t="s">
        <v>219</v>
      </c>
      <c r="C13" s="48" t="n">
        <f aca="false">ProjCost!$C$17</f>
        <v>1073730.12835477</v>
      </c>
      <c r="D13" s="48" t="n">
        <f aca="false">ProjCost!$D$17</f>
        <v>3036468.19847976</v>
      </c>
      <c r="E13" s="54" t="n">
        <v>0</v>
      </c>
      <c r="F13" s="54" t="n">
        <v>0</v>
      </c>
      <c r="G13" s="48" t="n">
        <f aca="false">C13+E13</f>
        <v>1073730.12835477</v>
      </c>
      <c r="H13" s="48" t="n">
        <f aca="false">D13+F13</f>
        <v>3036468.19847976</v>
      </c>
    </row>
    <row r="14" customFormat="false" ht="15" hidden="false" customHeight="false" outlineLevel="0" collapsed="false">
      <c r="B14" s="6" t="s">
        <v>220</v>
      </c>
      <c r="C14" s="12" t="n">
        <f aca="false">ProjCost!$C$18</f>
        <v>0</v>
      </c>
      <c r="D14" s="12" t="n">
        <f aca="false">ProjCost!$D$18</f>
        <v>3036468.19847976</v>
      </c>
      <c r="E14" s="12" t="n">
        <v>0</v>
      </c>
      <c r="F14" s="12" t="n">
        <v>0</v>
      </c>
      <c r="G14" s="12" t="n">
        <f aca="false">C14+E14</f>
        <v>0</v>
      </c>
      <c r="H14" s="12" t="n">
        <f aca="false">D14+F14</f>
        <v>3036468.19847976</v>
      </c>
    </row>
    <row r="15" customFormat="false" ht="15" hidden="false" customHeight="false" outlineLevel="0" collapsed="false">
      <c r="B15" s="6" t="s">
        <v>221</v>
      </c>
      <c r="C15" s="12" t="n">
        <f aca="false">ProjCost!$C$19</f>
        <v>1073730.12835477</v>
      </c>
      <c r="D15" s="12" t="n">
        <f aca="false">ProjCost!$D$19</f>
        <v>0</v>
      </c>
      <c r="E15" s="12" t="n">
        <v>0</v>
      </c>
      <c r="F15" s="12" t="n">
        <v>0</v>
      </c>
      <c r="G15" s="12" t="n">
        <f aca="false">C15+E15</f>
        <v>1073730.12835477</v>
      </c>
      <c r="H15" s="12" t="n">
        <f aca="false">D15+F15</f>
        <v>0</v>
      </c>
    </row>
    <row r="16" customFormat="false" ht="15" hidden="false" customHeight="false" outlineLevel="0" collapsed="false">
      <c r="B16" s="10" t="s">
        <v>222</v>
      </c>
      <c r="C16" s="48" t="n">
        <f aca="false">ProjCost!$C$20</f>
        <v>0</v>
      </c>
      <c r="D16" s="48" t="n">
        <f aca="false">ProjCost!$D$20</f>
        <v>427838.963386581</v>
      </c>
      <c r="E16" s="54" t="n">
        <v>0</v>
      </c>
      <c r="F16" s="54" t="n">
        <v>0</v>
      </c>
      <c r="G16" s="48" t="n">
        <f aca="false">C16+E16</f>
        <v>0</v>
      </c>
      <c r="H16" s="48" t="n">
        <f aca="false">D16+F16</f>
        <v>427838.963386581</v>
      </c>
    </row>
    <row r="18" customFormat="false" ht="15" hidden="false" customHeight="false" outlineLevel="0" collapsed="false">
      <c r="B18" s="14" t="s">
        <v>199</v>
      </c>
      <c r="C18" s="15" t="n">
        <f aca="false">C6+C12+C13+C16</f>
        <v>18654350.7610141</v>
      </c>
      <c r="D18" s="15" t="n">
        <f aca="false">D6+D12+D13+D16</f>
        <v>111379160.518875</v>
      </c>
      <c r="E18" s="15" t="n">
        <f aca="false">E6+E12+E13+E16</f>
        <v>0</v>
      </c>
      <c r="F18" s="15" t="n">
        <f aca="false">F6+F12+F13+F16</f>
        <v>42783896.3386581</v>
      </c>
      <c r="G18" s="15" t="n">
        <f aca="false">G6+G12+G13+G16</f>
        <v>18654350.7610141</v>
      </c>
      <c r="H18" s="15" t="n">
        <f aca="false">H6+H12+H13+H16</f>
        <v>154163056.857534</v>
      </c>
    </row>
    <row r="19" customFormat="false" ht="15" hidden="false" customHeight="false" outlineLevel="0" collapsed="false">
      <c r="B19" s="26" t="s">
        <v>223</v>
      </c>
      <c r="C19" s="22" t="n">
        <f aca="false">C18+D18</f>
        <v>130033511.279889</v>
      </c>
      <c r="E19" s="22" t="n">
        <f aca="false">E18+F18</f>
        <v>42783896.3386581</v>
      </c>
      <c r="G19" s="22" t="n">
        <f aca="false">G18+H18</f>
        <v>172817407.618548</v>
      </c>
    </row>
    <row r="21" customFormat="false" ht="42" hidden="false" customHeight="true" outlineLevel="0" collapsed="false">
      <c r="B21" s="57" t="s">
        <v>224</v>
      </c>
      <c r="C21" s="57"/>
      <c r="D21" s="57"/>
      <c r="E21" s="57"/>
      <c r="F21" s="57"/>
      <c r="G21" s="57"/>
      <c r="H21" s="57"/>
    </row>
  </sheetData>
  <mergeCells count="4">
    <mergeCell ref="C4:D4"/>
    <mergeCell ref="E4:F4"/>
    <mergeCell ref="G4:H4"/>
    <mergeCell ref="B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6" min="5" style="0" width="9"/>
    <col collapsed="false" customWidth="true" hidden="false" outlineLevel="0" max="14" min="7" style="0" width="14"/>
  </cols>
  <sheetData>
    <row r="2" customFormat="false" ht="15" hidden="false" customHeight="false" outlineLevel="0" collapsed="false">
      <c r="B2" s="2" t="s">
        <v>225</v>
      </c>
      <c r="N2" s="51" t="s">
        <v>226</v>
      </c>
    </row>
    <row r="3" customFormat="false" ht="15" hidden="false" customHeight="false" outlineLevel="0" collapsed="false">
      <c r="B3" s="52" t="s">
        <v>227</v>
      </c>
    </row>
    <row r="5" customFormat="false" ht="30" hidden="false" customHeight="true" outlineLevel="0" collapsed="false">
      <c r="B5" s="18" t="s">
        <v>228</v>
      </c>
      <c r="C5" s="18" t="s">
        <v>229</v>
      </c>
      <c r="D5" s="18" t="s">
        <v>230</v>
      </c>
      <c r="E5" s="18" t="s">
        <v>231</v>
      </c>
      <c r="F5" s="18" t="s">
        <v>232</v>
      </c>
      <c r="G5" s="17" t="s">
        <v>233</v>
      </c>
      <c r="H5" s="17" t="s">
        <v>45</v>
      </c>
      <c r="I5" s="17" t="s">
        <v>46</v>
      </c>
      <c r="J5" s="17" t="s">
        <v>47</v>
      </c>
      <c r="K5" s="17" t="s">
        <v>48</v>
      </c>
      <c r="L5" s="17" t="s">
        <v>49</v>
      </c>
      <c r="M5" s="17" t="s">
        <v>50</v>
      </c>
      <c r="N5" s="17" t="s">
        <v>51</v>
      </c>
    </row>
    <row r="6" customFormat="false" ht="15" hidden="false" customHeight="false" outlineLevel="0" collapsed="false">
      <c r="B6" s="5"/>
      <c r="C6" s="5"/>
      <c r="D6" s="5"/>
      <c r="E6" s="5"/>
      <c r="F6" s="5"/>
      <c r="G6" s="17" t="s">
        <v>52</v>
      </c>
      <c r="H6" s="17" t="s">
        <v>53</v>
      </c>
      <c r="I6" s="17" t="s">
        <v>54</v>
      </c>
      <c r="J6" s="17" t="s">
        <v>55</v>
      </c>
      <c r="K6" s="17" t="s">
        <v>56</v>
      </c>
      <c r="L6" s="17" t="s">
        <v>57</v>
      </c>
      <c r="M6" s="17" t="s">
        <v>58</v>
      </c>
      <c r="N6" s="4" t="s">
        <v>59</v>
      </c>
    </row>
    <row r="7" customFormat="false" ht="23.85" hidden="false" customHeight="false" outlineLevel="0" collapsed="false">
      <c r="B7" s="19" t="s">
        <v>234</v>
      </c>
      <c r="C7" s="19" t="s">
        <v>175</v>
      </c>
      <c r="D7" s="12" t="n">
        <f aca="false">Исх_данные!$E$95+Исх_данные!$F$95+Исх_данные!$G$95+Исх_данные!$H$95+Исх_данные!$I$95+Исх_данные!$J$95+Исх_данные!$K$95+Исх_данные!$L$95</f>
        <v>10000000</v>
      </c>
      <c r="E7" s="31" t="n">
        <v>9</v>
      </c>
      <c r="F7" s="13" t="n">
        <f aca="false">1/E7</f>
        <v>0.111111111111111</v>
      </c>
      <c r="G7" s="12" t="n">
        <f aca="false">Исх_данные!$F$96</f>
        <v>370370.37037037</v>
      </c>
      <c r="H7" s="12" t="n">
        <f aca="false">Исх_данные!$G$96</f>
        <v>1111111.11111111</v>
      </c>
      <c r="I7" s="12" t="n">
        <f aca="false">Исх_данные!$H$96</f>
        <v>1111111.11111111</v>
      </c>
      <c r="J7" s="12" t="n">
        <f aca="false">Исх_данные!$I$96</f>
        <v>1111111.11111111</v>
      </c>
      <c r="K7" s="12" t="n">
        <f aca="false">Исх_данные!$J$96</f>
        <v>1111111.11111111</v>
      </c>
      <c r="L7" s="12" t="n">
        <f aca="false">Исх_данные!$K$96</f>
        <v>1111111.11111111</v>
      </c>
      <c r="M7" s="12" t="n">
        <f aca="false">Исх_данные!$L$96</f>
        <v>1111111.11111111</v>
      </c>
      <c r="N7" s="12" t="n">
        <f aca="false">SUM(G7:M7)</f>
        <v>7037037.03703704</v>
      </c>
    </row>
    <row r="8" customFormat="false" ht="23.85" hidden="false" customHeight="false" outlineLevel="0" collapsed="false">
      <c r="B8" s="19" t="s">
        <v>235</v>
      </c>
      <c r="C8" s="19" t="s">
        <v>175</v>
      </c>
      <c r="D8" s="12" t="n">
        <f aca="false">Исх_данные!$E$97+Исх_данные!$F$97+Исх_данные!$G$97+Исх_данные!$H$97+Исх_данные!$I$97+Исх_данные!$J$97+Исх_данные!$K$97+Исх_данные!$L$97</f>
        <v>8000000</v>
      </c>
      <c r="E8" s="31" t="n">
        <v>9</v>
      </c>
      <c r="F8" s="13" t="n">
        <f aca="false">1/E8</f>
        <v>0.111111111111111</v>
      </c>
      <c r="G8" s="12" t="n">
        <f aca="false">Исх_данные!$F$98</f>
        <v>296296.296296296</v>
      </c>
      <c r="H8" s="12" t="n">
        <f aca="false">Исх_данные!$G$98</f>
        <v>888888.888888889</v>
      </c>
      <c r="I8" s="12" t="n">
        <f aca="false">Исх_данные!$H$98</f>
        <v>888888.888888889</v>
      </c>
      <c r="J8" s="12" t="n">
        <f aca="false">Исх_данные!$I$98</f>
        <v>888888.888888889</v>
      </c>
      <c r="K8" s="12" t="n">
        <f aca="false">Исх_данные!$J$98</f>
        <v>888888.888888889</v>
      </c>
      <c r="L8" s="12" t="n">
        <f aca="false">Исх_данные!$K$98</f>
        <v>888888.888888889</v>
      </c>
      <c r="M8" s="12" t="n">
        <f aca="false">Исх_данные!$L$98</f>
        <v>888888.888888889</v>
      </c>
      <c r="N8" s="12" t="n">
        <f aca="false">SUM(G8:M8)</f>
        <v>5629629.62962963</v>
      </c>
    </row>
    <row r="9" customFormat="false" ht="23.85" hidden="false" customHeight="false" outlineLevel="0" collapsed="false">
      <c r="B9" s="19" t="s">
        <v>236</v>
      </c>
      <c r="C9" s="19" t="s">
        <v>175</v>
      </c>
      <c r="D9" s="12" t="n">
        <f aca="false">Исх_данные!$E$99+Исх_данные!$F$99+Исх_данные!$G$99+Исх_данные!$H$99+Исх_данные!$I$99+Исх_данные!$J$99+Исх_данные!$K$99+Исх_данные!$L$99</f>
        <v>5000000</v>
      </c>
      <c r="E9" s="31" t="n">
        <v>9</v>
      </c>
      <c r="F9" s="13" t="n">
        <f aca="false">1/E9</f>
        <v>0.111111111111111</v>
      </c>
      <c r="G9" s="12" t="n">
        <f aca="false">Исх_данные!$F$100</f>
        <v>185185.185185185</v>
      </c>
      <c r="H9" s="12" t="n">
        <f aca="false">Исх_данные!$G$100</f>
        <v>555555.555555556</v>
      </c>
      <c r="I9" s="12" t="n">
        <f aca="false">Исх_данные!$H$100</f>
        <v>555555.555555556</v>
      </c>
      <c r="J9" s="12" t="n">
        <f aca="false">Исх_данные!$I$100</f>
        <v>555555.555555556</v>
      </c>
      <c r="K9" s="12" t="n">
        <f aca="false">Исх_данные!$J$100</f>
        <v>555555.555555556</v>
      </c>
      <c r="L9" s="12" t="n">
        <f aca="false">Исх_данные!$K$100</f>
        <v>555555.555555556</v>
      </c>
      <c r="M9" s="12" t="n">
        <f aca="false">Исх_данные!$L$100</f>
        <v>555555.555555556</v>
      </c>
      <c r="N9" s="12" t="n">
        <f aca="false">SUM(G9:M9)</f>
        <v>3518518.51851852</v>
      </c>
    </row>
    <row r="10" customFormat="false" ht="15" hidden="false" customHeight="false" outlineLevel="0" collapsed="false">
      <c r="B10" s="19" t="s">
        <v>237</v>
      </c>
      <c r="C10" s="19" t="s">
        <v>177</v>
      </c>
      <c r="D10" s="12" t="n">
        <f aca="false">Исх_данные!$E$101+Исх_данные!$F$101+Исх_данные!$G$101+Исх_данные!$H$101+Исх_данные!$I$101+Исх_данные!$J$101+Исх_данные!$K$101+Исх_данные!$L$101</f>
        <v>82000000</v>
      </c>
      <c r="E10" s="31" t="n">
        <v>9</v>
      </c>
      <c r="F10" s="13" t="n">
        <f aca="false">1/E10</f>
        <v>0.111111111111111</v>
      </c>
      <c r="G10" s="12" t="n">
        <f aca="false">Исх_данные!$F$102</f>
        <v>3037037.03703704</v>
      </c>
      <c r="H10" s="12" t="n">
        <f aca="false">Исх_данные!$G$102</f>
        <v>9111111.11111111</v>
      </c>
      <c r="I10" s="12" t="n">
        <f aca="false">Исх_данные!$H$102</f>
        <v>9111111.11111111</v>
      </c>
      <c r="J10" s="12" t="n">
        <f aca="false">Исх_данные!$I$102</f>
        <v>9111111.11111111</v>
      </c>
      <c r="K10" s="12" t="n">
        <f aca="false">Исх_данные!$J$102</f>
        <v>9111111.11111111</v>
      </c>
      <c r="L10" s="12" t="n">
        <f aca="false">Исх_данные!$K$102</f>
        <v>9111111.11111111</v>
      </c>
      <c r="M10" s="12" t="n">
        <f aca="false">Исх_данные!$L$102</f>
        <v>9111111.11111111</v>
      </c>
      <c r="N10" s="12" t="n">
        <f aca="false">SUM(G10:M10)</f>
        <v>57703703.7037037</v>
      </c>
    </row>
    <row r="11" customFormat="false" ht="23.85" hidden="false" customHeight="false" outlineLevel="0" collapsed="false">
      <c r="B11" s="19" t="s">
        <v>238</v>
      </c>
      <c r="C11" s="19" t="s">
        <v>175</v>
      </c>
      <c r="D11" s="12" t="n">
        <f aca="false">Исх_данные!$E$103+Исх_данные!$F$103+Исх_данные!$G$103+Исх_данные!$H$103+Исх_данные!$I$103+Исх_данные!$J$103+Исх_данные!$K$103+Исх_данные!$L$103</f>
        <v>5000000</v>
      </c>
      <c r="E11" s="31" t="n">
        <v>9</v>
      </c>
      <c r="F11" s="13" t="n">
        <f aca="false">1/E11</f>
        <v>0.111111111111111</v>
      </c>
      <c r="G11" s="12" t="n">
        <f aca="false">Исх_данные!$F$104</f>
        <v>185185.185185185</v>
      </c>
      <c r="H11" s="12" t="n">
        <f aca="false">Исх_данные!$G$104</f>
        <v>555555.555555556</v>
      </c>
      <c r="I11" s="12" t="n">
        <f aca="false">Исх_данные!$H$104</f>
        <v>555555.555555556</v>
      </c>
      <c r="J11" s="12" t="n">
        <f aca="false">Исх_данные!$I$104</f>
        <v>555555.555555556</v>
      </c>
      <c r="K11" s="12" t="n">
        <f aca="false">Исх_данные!$J$104</f>
        <v>555555.555555556</v>
      </c>
      <c r="L11" s="12" t="n">
        <f aca="false">Исх_данные!$K$104</f>
        <v>555555.555555556</v>
      </c>
      <c r="M11" s="12" t="n">
        <f aca="false">Исх_данные!$L$104</f>
        <v>555555.555555556</v>
      </c>
      <c r="N11" s="12" t="n">
        <f aca="false">SUM(G11:M11)</f>
        <v>3518518.51851852</v>
      </c>
    </row>
    <row r="12" customFormat="false" ht="23.85" hidden="false" customHeight="false" outlineLevel="0" collapsed="false">
      <c r="B12" s="19" t="s">
        <v>239</v>
      </c>
      <c r="C12" s="19" t="s">
        <v>179</v>
      </c>
      <c r="D12" s="12" t="n">
        <f aca="false">Исх_данные!$E$105+Исх_данные!$F$105+Исх_данные!$G$105+Исх_данные!$H$105+Исх_данные!$I$105+Исх_данные!$J$105+Исх_данные!$K$105+Исх_данные!$L$105</f>
        <v>5000000</v>
      </c>
      <c r="E12" s="31" t="n">
        <v>9</v>
      </c>
      <c r="F12" s="13" t="n">
        <f aca="false">1/E12</f>
        <v>0.111111111111111</v>
      </c>
      <c r="G12" s="12" t="n">
        <f aca="false">Исх_данные!$F$106</f>
        <v>185185.185185185</v>
      </c>
      <c r="H12" s="12" t="n">
        <f aca="false">Исх_данные!$G$106</f>
        <v>555555.555555556</v>
      </c>
      <c r="I12" s="12" t="n">
        <f aca="false">Исх_данные!$H$106</f>
        <v>555555.555555556</v>
      </c>
      <c r="J12" s="12" t="n">
        <f aca="false">Исх_данные!$I$106</f>
        <v>555555.555555556</v>
      </c>
      <c r="K12" s="12" t="n">
        <f aca="false">Исх_данные!$J$106</f>
        <v>555555.555555556</v>
      </c>
      <c r="L12" s="12" t="n">
        <f aca="false">Исх_данные!$K$106</f>
        <v>555555.555555556</v>
      </c>
      <c r="M12" s="12" t="n">
        <f aca="false">Исх_данные!$L$106</f>
        <v>555555.555555556</v>
      </c>
      <c r="N12" s="12" t="n">
        <f aca="false">SUM(G12:M12)</f>
        <v>3518518.51851852</v>
      </c>
    </row>
    <row r="13" customFormat="false" ht="23.85" hidden="false" customHeight="false" outlineLevel="0" collapsed="false">
      <c r="B13" s="19" t="s">
        <v>240</v>
      </c>
      <c r="C13" s="19" t="s">
        <v>179</v>
      </c>
      <c r="D13" s="12" t="n">
        <f aca="false">Исх_данные!$E$107+Исх_данные!$F$107+Исх_данные!$G$107+Исх_данные!$H$107+Исх_данные!$I$107+Исх_данные!$J$107+Исх_данные!$K$107+Исх_данные!$L$107</f>
        <v>10000000</v>
      </c>
      <c r="E13" s="31" t="n">
        <v>9</v>
      </c>
      <c r="F13" s="13" t="n">
        <f aca="false">1/E13</f>
        <v>0.111111111111111</v>
      </c>
      <c r="G13" s="12" t="n">
        <f aca="false">Исх_данные!$F$108</f>
        <v>370370.37037037</v>
      </c>
      <c r="H13" s="12" t="n">
        <f aca="false">Исх_данные!$G$108</f>
        <v>1111111.11111111</v>
      </c>
      <c r="I13" s="12" t="n">
        <f aca="false">Исх_данные!$H$108</f>
        <v>1111111.11111111</v>
      </c>
      <c r="J13" s="12" t="n">
        <f aca="false">Исх_данные!$I$108</f>
        <v>1111111.11111111</v>
      </c>
      <c r="K13" s="12" t="n">
        <f aca="false">Исх_данные!$J$108</f>
        <v>1111111.11111111</v>
      </c>
      <c r="L13" s="12" t="n">
        <f aca="false">Исх_данные!$K$108</f>
        <v>1111111.11111111</v>
      </c>
      <c r="M13" s="12" t="n">
        <f aca="false">Исх_данные!$L$108</f>
        <v>1111111.11111111</v>
      </c>
      <c r="N13" s="12" t="n">
        <f aca="false">SUM(G13:M13)</f>
        <v>7037037.03703704</v>
      </c>
    </row>
    <row r="14" customFormat="false" ht="15" hidden="false" customHeight="false" outlineLevel="0" collapsed="false">
      <c r="B14" s="19" t="s">
        <v>241</v>
      </c>
      <c r="C14" s="19" t="s">
        <v>181</v>
      </c>
      <c r="D14" s="12" t="n">
        <f aca="false">Исх_данные!$E$109+Исх_данные!$F$109+Исх_данные!$G$109+Исх_данные!$H$109+Исх_данные!$I$109+Исх_данные!$J$109+Исх_данные!$K$109+Исх_данные!$L$109</f>
        <v>5000000</v>
      </c>
      <c r="E14" s="31" t="n">
        <v>9</v>
      </c>
      <c r="F14" s="13" t="n">
        <f aca="false">1/E14</f>
        <v>0.111111111111111</v>
      </c>
      <c r="G14" s="12" t="n">
        <f aca="false">Исх_данные!$F$110</f>
        <v>185185.185185185</v>
      </c>
      <c r="H14" s="12" t="n">
        <f aca="false">Исх_данные!$G$110</f>
        <v>555555.555555556</v>
      </c>
      <c r="I14" s="12" t="n">
        <f aca="false">Исх_данные!$H$110</f>
        <v>555555.555555556</v>
      </c>
      <c r="J14" s="12" t="n">
        <f aca="false">Исх_данные!$I$110</f>
        <v>555555.555555556</v>
      </c>
      <c r="K14" s="12" t="n">
        <f aca="false">Исх_данные!$J$110</f>
        <v>555555.555555556</v>
      </c>
      <c r="L14" s="12" t="n">
        <f aca="false">Исх_данные!$K$110</f>
        <v>555555.555555556</v>
      </c>
      <c r="M14" s="12" t="n">
        <f aca="false">Исх_данные!$L$110</f>
        <v>555555.555555556</v>
      </c>
      <c r="N14" s="12" t="n">
        <f aca="false">SUM(G14:M14)</f>
        <v>3518518.51851852</v>
      </c>
    </row>
    <row r="15" customFormat="false" ht="15" hidden="false" customHeight="false" outlineLevel="0" collapsed="false">
      <c r="B15" s="19" t="s">
        <v>242</v>
      </c>
      <c r="C15" s="19" t="s">
        <v>183</v>
      </c>
      <c r="D15" s="12" t="n">
        <f aca="false">Исх_данные!$E$111+Исх_данные!$F$111+Исх_данные!$G$111+Исх_данные!$H$111+Исх_данные!$I$111+Исх_данные!$J$111+Исх_данные!$K$111+Исх_данные!$L$111</f>
        <v>4000000</v>
      </c>
      <c r="E15" s="31" t="n">
        <v>9</v>
      </c>
      <c r="F15" s="13" t="n">
        <f aca="false">1/E15</f>
        <v>0.111111111111111</v>
      </c>
      <c r="G15" s="12" t="n">
        <f aca="false">Исх_данные!$F$112</f>
        <v>148148.148148148</v>
      </c>
      <c r="H15" s="12" t="n">
        <f aca="false">Исх_данные!$G$112</f>
        <v>444444.444444444</v>
      </c>
      <c r="I15" s="12" t="n">
        <f aca="false">Исх_данные!$H$112</f>
        <v>444444.444444444</v>
      </c>
      <c r="J15" s="12" t="n">
        <f aca="false">Исх_данные!$I$112</f>
        <v>444444.444444444</v>
      </c>
      <c r="K15" s="12" t="n">
        <f aca="false">Исх_данные!$J$112</f>
        <v>444444.444444444</v>
      </c>
      <c r="L15" s="12" t="n">
        <f aca="false">Исх_данные!$K$112</f>
        <v>444444.444444444</v>
      </c>
      <c r="M15" s="12" t="n">
        <f aca="false">Исх_данные!$L$112</f>
        <v>444444.444444444</v>
      </c>
      <c r="N15" s="12" t="n">
        <f aca="false">SUM(G15:M15)</f>
        <v>2814814.81481481</v>
      </c>
    </row>
    <row r="16" customFormat="false" ht="23.85" hidden="false" customHeight="false" outlineLevel="0" collapsed="false">
      <c r="B16" s="19" t="s">
        <v>243</v>
      </c>
      <c r="C16" s="19" t="s">
        <v>179</v>
      </c>
      <c r="D16" s="12" t="n">
        <f aca="false">Исх_данные!$E$113+Исх_данные!$F$113+Исх_данные!$G$113+Исх_данные!$H$113+Исх_данные!$I$113+Исх_данные!$J$113+Исх_данные!$K$113+Исх_данные!$L$113</f>
        <v>7142857.14285714</v>
      </c>
      <c r="E16" s="31" t="n">
        <v>9</v>
      </c>
      <c r="F16" s="13" t="n">
        <f aca="false">1/E16</f>
        <v>0.111111111111111</v>
      </c>
      <c r="G16" s="12" t="n">
        <f aca="false">Исх_данные!$F$114</f>
        <v>264550.264550265</v>
      </c>
      <c r="H16" s="12" t="n">
        <f aca="false">Исх_данные!$G$114</f>
        <v>793650.793650794</v>
      </c>
      <c r="I16" s="12" t="n">
        <f aca="false">Исх_данные!$H$114</f>
        <v>793650.793650794</v>
      </c>
      <c r="J16" s="12" t="n">
        <f aca="false">Исх_данные!$I$114</f>
        <v>793650.793650794</v>
      </c>
      <c r="K16" s="12" t="n">
        <f aca="false">Исх_данные!$J$114</f>
        <v>793650.793650794</v>
      </c>
      <c r="L16" s="12" t="n">
        <f aca="false">Исх_данные!$K$114</f>
        <v>793650.793650794</v>
      </c>
      <c r="M16" s="12" t="n">
        <f aca="false">Исх_данные!$L$114</f>
        <v>793650.793650794</v>
      </c>
      <c r="N16" s="12" t="n">
        <f aca="false">SUM(G16:M16)</f>
        <v>5026455.02645503</v>
      </c>
    </row>
    <row r="17" customFormat="false" ht="23.85" hidden="false" customHeight="false" outlineLevel="0" collapsed="false">
      <c r="B17" s="19" t="s">
        <v>244</v>
      </c>
      <c r="C17" s="19" t="s">
        <v>177</v>
      </c>
      <c r="D17" s="12" t="n">
        <f aca="false">Исх_данные!$E$115+Исх_данные!$F$115+Исх_данные!$G$115+Исх_данные!$H$115+Исх_данные!$I$115+Исх_данные!$J$115+Исх_данные!$K$115+Исх_данные!$L$115</f>
        <v>8939047.61904762</v>
      </c>
      <c r="E17" s="31" t="n">
        <v>10</v>
      </c>
      <c r="F17" s="13" t="n">
        <f aca="false">1/E17</f>
        <v>0.1</v>
      </c>
      <c r="G17" s="12" t="n">
        <f aca="false">Исх_данные!$F$116</f>
        <v>9801.5873015873</v>
      </c>
      <c r="H17" s="12" t="n">
        <f aca="false">Исх_данные!$G$116</f>
        <v>188190.476190476</v>
      </c>
      <c r="I17" s="12" t="n">
        <f aca="false">Исх_данные!$H$116</f>
        <v>329333.333333333</v>
      </c>
      <c r="J17" s="12" t="n">
        <f aca="false">Исх_данные!$I$116</f>
        <v>470476.190476191</v>
      </c>
      <c r="K17" s="12" t="n">
        <f aca="false">Исх_данные!$J$116</f>
        <v>611619.047619048</v>
      </c>
      <c r="L17" s="12" t="n">
        <f aca="false">Исх_данные!$K$116</f>
        <v>752761.904761905</v>
      </c>
      <c r="M17" s="12" t="n">
        <f aca="false">Исх_данные!$L$116</f>
        <v>893904.761904762</v>
      </c>
      <c r="N17" s="12" t="n">
        <f aca="false">SUM(G17:M17)</f>
        <v>3256087.3015873</v>
      </c>
    </row>
    <row r="18" customFormat="false" ht="23.85" hidden="false" customHeight="false" outlineLevel="0" collapsed="false">
      <c r="B18" s="19" t="s">
        <v>245</v>
      </c>
      <c r="C18" s="6" t="s">
        <v>246</v>
      </c>
      <c r="D18" s="12" t="n">
        <f aca="false">LOANS!$C$106</f>
        <v>3036468.19847976</v>
      </c>
      <c r="E18" s="58" t="n">
        <f aca="false">Исх_данные!$E$7</f>
        <v>20</v>
      </c>
      <c r="F18" s="13" t="n">
        <f aca="false">1/E18</f>
        <v>0.05</v>
      </c>
      <c r="G18" s="12" t="n">
        <f aca="false">D18/E18*Исх_данные!$E$8/12</f>
        <v>50607.803307996</v>
      </c>
      <c r="H18" s="12" t="n">
        <f aca="false">D18/E18</f>
        <v>151823.409923988</v>
      </c>
      <c r="I18" s="12" t="n">
        <f aca="false">D18/E18</f>
        <v>151823.409923988</v>
      </c>
      <c r="J18" s="12" t="n">
        <f aca="false">D18/E18</f>
        <v>151823.409923988</v>
      </c>
      <c r="K18" s="12" t="n">
        <f aca="false">D18/E18</f>
        <v>151823.409923988</v>
      </c>
      <c r="L18" s="12" t="n">
        <f aca="false">D18/E18</f>
        <v>151823.409923988</v>
      </c>
      <c r="M18" s="12" t="n">
        <f aca="false">D18/E18</f>
        <v>151823.409923988</v>
      </c>
      <c r="N18" s="12" t="n">
        <f aca="false">SUM(G18:M18)</f>
        <v>961548.262851924</v>
      </c>
    </row>
    <row r="19" customFormat="false" ht="15" hidden="false" customHeight="false" outlineLevel="0" collapsed="false">
      <c r="B19" s="10" t="s">
        <v>171</v>
      </c>
      <c r="C19" s="59" t="s">
        <v>247</v>
      </c>
      <c r="D19" s="48" t="n">
        <f aca="false">SUM(D7:D18)</f>
        <v>153118372.960385</v>
      </c>
      <c r="E19" s="60"/>
      <c r="F19" s="60"/>
      <c r="G19" s="48" t="n">
        <f aca="false">SUM(G7:G18)</f>
        <v>5287922.61812281</v>
      </c>
      <c r="H19" s="48" t="n">
        <f aca="false">SUM(H7:H18)</f>
        <v>16022553.5686541</v>
      </c>
      <c r="I19" s="48" t="n">
        <f aca="false">SUM(I7:I18)</f>
        <v>16163696.425797</v>
      </c>
      <c r="J19" s="48" t="n">
        <f aca="false">SUM(J7:J18)</f>
        <v>16304839.2829399</v>
      </c>
      <c r="K19" s="48" t="n">
        <f aca="false">SUM(K7:K18)</f>
        <v>16445982.1400827</v>
      </c>
      <c r="L19" s="48" t="n">
        <f aca="false">SUM(L7:L18)</f>
        <v>16587124.9972256</v>
      </c>
      <c r="M19" s="48" t="n">
        <f aca="false">SUM(M7:M18)</f>
        <v>16728267.8543684</v>
      </c>
      <c r="N19" s="48" t="n">
        <f aca="false">SUM(N7:N18)</f>
        <v>103540386.887191</v>
      </c>
    </row>
    <row r="20" customFormat="false" ht="15" hidden="false" customHeight="false" outlineLevel="0" collapsed="false">
      <c r="B20" s="6" t="s">
        <v>248</v>
      </c>
      <c r="G20" s="12" t="n">
        <f aca="false">G19-G21</f>
        <v>5287922.61812281</v>
      </c>
      <c r="H20" s="12" t="n">
        <f aca="false">H19-H21</f>
        <v>16022553.5686541</v>
      </c>
      <c r="I20" s="12" t="n">
        <f aca="false">I19-I21</f>
        <v>16163696.425797</v>
      </c>
      <c r="J20" s="12" t="n">
        <f aca="false">J19-J21</f>
        <v>16304839.2829399</v>
      </c>
      <c r="K20" s="12" t="n">
        <f aca="false">K19-K21</f>
        <v>16445982.1400827</v>
      </c>
      <c r="L20" s="12" t="n">
        <f aca="false">L19-L21</f>
        <v>16587124.9972256</v>
      </c>
      <c r="M20" s="12" t="n">
        <f aca="false">M19-M21</f>
        <v>16728267.8543684</v>
      </c>
      <c r="N20" s="12" t="n">
        <f aca="false">SUM(G20:M20)</f>
        <v>103540386.887191</v>
      </c>
    </row>
    <row r="21" customFormat="false" ht="15" hidden="false" customHeight="false" outlineLevel="0" collapsed="false">
      <c r="B21" s="6" t="s">
        <v>249</v>
      </c>
      <c r="G21" s="12" t="n">
        <f aca="false">Исх_данные!$F$72</f>
        <v>0</v>
      </c>
      <c r="H21" s="12" t="n">
        <f aca="false">Исх_данные!$G$72</f>
        <v>0</v>
      </c>
      <c r="I21" s="12" t="n">
        <f aca="false">Исх_данные!$H$72</f>
        <v>0</v>
      </c>
      <c r="J21" s="12" t="n">
        <f aca="false">Исх_данные!$I$72</f>
        <v>0</v>
      </c>
      <c r="K21" s="12" t="n">
        <f aca="false">Исх_данные!$J$72</f>
        <v>0</v>
      </c>
      <c r="L21" s="12" t="n">
        <f aca="false">Исх_данные!$K$72</f>
        <v>0</v>
      </c>
      <c r="M21" s="12" t="n">
        <f aca="false">Исх_данные!$L$72</f>
        <v>0</v>
      </c>
      <c r="N21" s="12" t="n">
        <f aca="false">SUM(G21:M21)</f>
        <v>0</v>
      </c>
    </row>
    <row r="23" customFormat="false" ht="15" hidden="false" customHeight="false" outlineLevel="0" collapsed="false">
      <c r="B23" s="26" t="s">
        <v>250</v>
      </c>
      <c r="G23" s="12" t="n">
        <f aca="false">SUM($G$19:G19)</f>
        <v>5287922.61812281</v>
      </c>
      <c r="H23" s="12" t="n">
        <f aca="false">SUM($G$19:H19)</f>
        <v>21310476.186777</v>
      </c>
      <c r="I23" s="12" t="n">
        <f aca="false">SUM($G$19:I19)</f>
        <v>37474172.612574</v>
      </c>
      <c r="J23" s="12" t="n">
        <f aca="false">SUM($G$19:J19)</f>
        <v>53779011.8955138</v>
      </c>
      <c r="K23" s="12" t="n">
        <f aca="false">SUM($G$19:K19)</f>
        <v>70224994.0355965</v>
      </c>
      <c r="L23" s="12" t="n">
        <f aca="false">SUM($G$19:L19)</f>
        <v>86812119.0328221</v>
      </c>
      <c r="M23" s="12" t="n">
        <f aca="false">SUM($G$19:M19)</f>
        <v>103540386.887191</v>
      </c>
    </row>
    <row r="24" customFormat="false" ht="15" hidden="false" customHeight="false" outlineLevel="0" collapsed="false">
      <c r="B24" s="26" t="s">
        <v>251</v>
      </c>
      <c r="G24" s="12" t="n">
        <f aca="false">Исх_данные!$E$95+Исх_данные!$F$95+Исх_данные!$E$97+Исх_данные!$F$97+Исх_данные!$E$99+Исх_данные!$F$99+Исх_данные!$E$101+Исх_данные!$F$101+Исх_данные!$E$103+Исх_данные!$F$103+Исх_данные!$E$105+Исх_данные!$F$105+Исх_данные!$E$107+Исх_данные!$F$107+Исх_данные!$E$109+Исх_данные!$F$109+Исх_данные!$E$111+Исх_данные!$F$111+Исх_данные!$E$113+Исх_данные!$F$113+Исх_данные!$E$115+Исх_данные!$F$115+$D$18-G23</f>
        <v>139361878.91369</v>
      </c>
      <c r="H24" s="12" t="n">
        <f aca="false">Исх_данные!$E$95+Исх_данные!$F$95+Исх_данные!$G$95+Исх_данные!$E$97+Исх_данные!$F$97+Исх_данные!$G$97+Исх_данные!$E$99+Исх_данные!$F$99+Исх_данные!$G$99+Исх_данные!$E$101+Исх_данные!$F$101+Исх_данные!$G$101+Исх_данные!$E$103+Исх_данные!$F$103+Исх_данные!$G$103+Исх_данные!$E$105+Исх_данные!$F$105+Исх_данные!$G$105+Исх_данные!$E$107+Исх_данные!$F$107+Исх_данные!$G$107+Исх_данные!$E$109+Исх_данные!$F$109+Исх_данные!$G$109+Исх_данные!$E$111+Исх_данные!$F$111+Исх_данные!$G$111+Исх_данные!$E$113+Исх_данные!$F$113+Исх_данные!$G$113+Исх_данные!$E$115+Исх_данные!$F$115+Исх_данные!$G$115+$D$18-H23</f>
        <v>124750753.916465</v>
      </c>
      <c r="I24" s="12" t="n">
        <f aca="false">Исх_данные!$E$95+Исх_данные!$F$95+Исх_данные!$G$95+Исх_данные!$H$95+Исх_данные!$E$97+Исх_данные!$F$97+Исх_данные!$G$97+Исх_данные!$H$97+Исх_данные!$E$99+Исх_данные!$F$99+Исх_данные!$G$99+Исх_данные!$H$99+Исх_данные!$E$101+Исх_данные!$F$101+Исх_данные!$G$101+Исх_данные!$H$101+Исх_данные!$E$103+Исх_данные!$F$103+Исх_данные!$G$103+Исх_данные!$H$103+Исх_данные!$E$105+Исх_данные!$F$105+Исх_данные!$G$105+Исх_данные!$H$105+Исх_данные!$E$107+Исх_данные!$F$107+Исх_данные!$G$107+Исх_данные!$H$107+Исх_данные!$E$109+Исх_данные!$F$109+Исх_данные!$G$109+Исх_данные!$H$109+Исх_данные!$E$111+Исх_данные!$F$111+Исх_данные!$G$111+Исх_данные!$H$111+Исх_данные!$E$113+Исх_данные!$F$113+Исх_данные!$G$113+Исх_данные!$H$113+Исх_данные!$E$115+Исх_данные!$F$115+Исх_данные!$G$115+Исх_данные!$H$115+$D$18-I23</f>
        <v>109998486.062096</v>
      </c>
      <c r="J24" s="12" t="n">
        <f aca="false">Исх_данные!$E$95+Исх_данные!$F$95+Исх_данные!$G$95+Исх_данные!$H$95+Исх_данные!$I$95+Исх_данные!$E$97+Исх_данные!$F$97+Исх_данные!$G$97+Исх_данные!$H$97+Исх_данные!$I$97+Исх_данные!$E$99+Исх_данные!$F$99+Исх_данные!$G$99+Исх_данные!$H$99+Исх_данные!$I$99+Исх_данные!$E$101+Исх_данные!$F$101+Исх_данные!$G$101+Исх_данные!$H$101+Исх_данные!$I$101+Исх_данные!$E$103+Исх_данные!$F$103+Исх_данные!$G$103+Исх_данные!$H$103+Исх_данные!$I$103+Исх_данные!$E$105+Исх_данные!$F$105+Исх_данные!$G$105+Исх_данные!$H$105+Исх_данные!$I$105+Исх_данные!$E$107+Исх_данные!$F$107+Исх_данные!$G$107+Исх_данные!$H$107+Исх_данные!$I$107+Исх_данные!$E$109+Исх_данные!$F$109+Исх_данные!$G$109+Исх_данные!$H$109+Исх_данные!$I$109+Исх_данные!$E$111+Исх_данные!$F$111+Исх_данные!$G$111+Исх_данные!$H$111+Исх_данные!$I$111+Исх_данные!$E$113+Исх_данные!$F$113+Исх_данные!$G$113+Исх_данные!$H$113+Исх_данные!$I$113+Исх_данные!$E$115+Исх_данные!$F$115+Исх_данные!$G$115+Исх_данные!$H$115+Исх_данные!$I$115+$D$18-J23</f>
        <v>95105075.350585</v>
      </c>
      <c r="K24" s="12" t="n">
        <f aca="false">Исх_данные!$E$95+Исх_данные!$F$95+Исх_данные!$G$95+Исх_данные!$H$95+Исх_данные!$I$95+Исх_данные!$J$95+Исх_данные!$E$97+Исх_данные!$F$97+Исх_данные!$G$97+Исх_данные!$H$97+Исх_данные!$I$97+Исх_данные!$J$97+Исх_данные!$E$99+Исх_данные!$F$99+Исх_данные!$G$99+Исх_данные!$H$99+Исх_данные!$I$99+Исх_данные!$J$99+Исх_данные!$E$101+Исх_данные!$F$101+Исх_данные!$G$101+Исх_данные!$H$101+Исх_данные!$I$101+Исх_данные!$J$101+Исх_данные!$E$103+Исх_данные!$F$103+Исх_данные!$G$103+Исх_данные!$H$103+Исх_данные!$I$103+Исх_данные!$J$103+Исх_данные!$E$105+Исх_данные!$F$105+Исх_данные!$G$105+Исх_данные!$H$105+Исх_данные!$I$105+Исх_данные!$J$105+Исх_данные!$E$107+Исх_данные!$F$107+Исх_данные!$G$107+Исх_данные!$H$107+Исх_данные!$I$107+Исх_данные!$J$107+Исх_данные!$E$109+Исх_данные!$F$109+Исх_данные!$G$109+Исх_данные!$H$109+Исх_данные!$I$109+Исх_данные!$J$109+Исх_данные!$E$111+Исх_данные!$F$111+Исх_данные!$G$111+Исх_данные!$H$111+Исх_данные!$I$111+Исх_данные!$J$111+Исх_данные!$E$113+Исх_данные!$F$113+Исх_данные!$G$113+Исх_данные!$H$113+Исх_данные!$I$113+Исх_данные!$J$113+Исх_данные!$E$115+Исх_данные!$F$115+Исх_данные!$G$115+Исх_данные!$H$115+Исх_данные!$I$115+Исх_данные!$J$115+$D$18-K23</f>
        <v>80070521.7819308</v>
      </c>
      <c r="L24" s="12" t="n">
        <f aca="false">Исх_данные!$E$95+Исх_данные!$F$95+Исх_данные!$G$95+Исх_данные!$H$95+Исх_данные!$I$95+Исх_данные!$J$95+Исх_данные!$K$95+Исх_данные!$E$97+Исх_данные!$F$97+Исх_данные!$G$97+Исх_данные!$H$97+Исх_данные!$I$97+Исх_данные!$J$97+Исх_данные!$K$97+Исх_данные!$E$99+Исх_данные!$F$99+Исх_данные!$G$99+Исх_данные!$H$99+Исх_данные!$I$99+Исх_данные!$J$99+Исх_данные!$K$99+Исх_данные!$E$101+Исх_данные!$F$101+Исх_данные!$G$101+Исх_данные!$H$101+Исх_данные!$I$101+Исх_данные!$J$101+Исх_данные!$K$101+Исх_данные!$E$103+Исх_данные!$F$103+Исх_данные!$G$103+Исх_данные!$H$103+Исх_данные!$I$103+Исх_данные!$J$103+Исх_данные!$K$103+Исх_данные!$E$105+Исх_данные!$F$105+Исх_данные!$G$105+Исх_данные!$H$105+Исх_данные!$I$105+Исх_данные!$J$105+Исх_данные!$K$105+Исх_данные!$E$107+Исх_данные!$F$107+Исх_данные!$G$107+Исх_данные!$H$107+Исх_данные!$I$107+Исх_данные!$J$107+Исх_данные!$K$107+Исх_данные!$E$109+Исх_данные!$F$109+Исх_данные!$G$109+Исх_данные!$H$109+Исх_данные!$I$109+Исх_данные!$J$109+Исх_данные!$K$109+Исх_данные!$E$111+Исх_данные!$F$111+Исх_данные!$G$111+Исх_данные!$H$111+Исх_данные!$I$111+Исх_данные!$J$111+Исх_данные!$K$111+Исх_данные!$E$113+Исх_данные!$F$113+Исх_данные!$G$113+Исх_данные!$H$113+Исх_данные!$I$113+Исх_данные!$J$113+Исх_данные!$K$113+Исх_данные!$E$115+Исх_данные!$F$115+Исх_данные!$G$115+Исх_данные!$H$115+Исх_данные!$I$115+Исх_данные!$J$115+Исх_данные!$K$115+$D$18-L23</f>
        <v>64894825.3561338</v>
      </c>
      <c r="M24" s="12" t="n">
        <f aca="false">Исх_данные!$E$95+Исх_данные!$F$95+Исх_данные!$G$95+Исх_данные!$H$95+Исх_данные!$I$95+Исх_данные!$J$95+Исх_данные!$K$95+Исх_данные!$L$95+Исх_данные!$E$97+Исх_данные!$F$97+Исх_данные!$G$97+Исх_данные!$H$97+Исх_данные!$I$97+Исх_данные!$J$97+Исх_данные!$K$97+Исх_данные!$L$97+Исх_данные!$E$99+Исх_данные!$F$99+Исх_данные!$G$99+Исх_данные!$H$99+Исх_данные!$I$99+Исх_данные!$J$99+Исх_данные!$K$99+Исх_данные!$L$99+Исх_данные!$E$101+Исх_данные!$F$101+Исх_данные!$G$101+Исх_данные!$H$101+Исх_данные!$I$101+Исх_данные!$J$101+Исх_данные!$K$101+Исх_данные!$L$101+Исх_данные!$E$103+Исх_данные!$F$103+Исх_данные!$G$103+Исх_данные!$H$103+Исх_данные!$I$103+Исх_данные!$J$103+Исх_данные!$K$103+Исх_данные!$L$103+Исх_данные!$E$105+Исх_данные!$F$105+Исх_данные!$G$105+Исх_данные!$H$105+Исх_данные!$I$105+Исх_данные!$J$105+Исх_данные!$K$105+Исх_данные!$L$105+Исх_данные!$E$107+Исх_данные!$F$107+Исх_данные!$G$107+Исх_данные!$H$107+Исх_данные!$I$107+Исх_данные!$J$107+Исх_данные!$K$107+Исх_данные!$L$107+Исх_данные!$E$109+Исх_данные!$F$109+Исх_данные!$G$109+Исх_данные!$H$109+Исх_данные!$I$109+Исх_данные!$J$109+Исх_данные!$K$109+Исх_данные!$L$109+Исх_данные!$E$111+Исх_данные!$F$111+Исх_данные!$G$111+Исх_данные!$H$111+Исх_данные!$I$111+Исх_данные!$J$111+Исх_данные!$K$111+Исх_данные!$L$111+Исх_данные!$E$113+Исх_данные!$F$113+Исх_данные!$G$113+Исх_данные!$H$113+Исх_данные!$I$113+Исх_данные!$J$113+Исх_данные!$K$113+Исх_данные!$L$113+Исх_данные!$E$115+Исх_данные!$F$115+Исх_данные!$G$115+Исх_данные!$H$115+Исх_данные!$I$115+Исх_данные!$J$115+Исх_данные!$K$115+Исх_данные!$L$115+$D$18-M23</f>
        <v>49577986.073194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11" min="4" style="0" width="14"/>
  </cols>
  <sheetData>
    <row r="2" customFormat="false" ht="15" hidden="false" customHeight="false" outlineLevel="0" collapsed="false">
      <c r="B2" s="2" t="s">
        <v>252</v>
      </c>
      <c r="K2" s="51" t="s">
        <v>253</v>
      </c>
    </row>
    <row r="4" customFormat="false" ht="42" hidden="false" customHeight="true" outlineLevel="0" collapsed="false">
      <c r="B4" s="18" t="s">
        <v>254</v>
      </c>
      <c r="C4" s="18" t="s">
        <v>43</v>
      </c>
      <c r="D4" s="18" t="s">
        <v>255</v>
      </c>
      <c r="E4" s="18" t="s">
        <v>14</v>
      </c>
      <c r="F4" s="18" t="s">
        <v>256</v>
      </c>
      <c r="G4" s="18" t="s">
        <v>257</v>
      </c>
      <c r="H4" s="18" t="s">
        <v>258</v>
      </c>
    </row>
    <row r="5" customFormat="false" ht="15" hidden="false" customHeight="false" outlineLevel="0" collapsed="false">
      <c r="B5" s="6" t="s">
        <v>11</v>
      </c>
      <c r="C5" s="20" t="s">
        <v>259</v>
      </c>
      <c r="D5" s="61" t="n">
        <f aca="false">Исх_данные!$E$28</f>
        <v>4200</v>
      </c>
      <c r="E5" s="20" t="s">
        <v>260</v>
      </c>
      <c r="F5" s="29" t="n">
        <f aca="false">Исх_данные!$I$34</f>
        <v>44895.0074368856</v>
      </c>
      <c r="G5" s="12" t="n">
        <v>0</v>
      </c>
      <c r="H5" s="12" t="n">
        <f aca="false">D5*F5</f>
        <v>188559031.23492</v>
      </c>
    </row>
    <row r="6" customFormat="false" ht="15" hidden="false" customHeight="false" outlineLevel="0" collapsed="false">
      <c r="B6" s="10" t="s">
        <v>215</v>
      </c>
      <c r="C6" s="48"/>
      <c r="D6" s="48"/>
      <c r="E6" s="48"/>
      <c r="F6" s="48"/>
      <c r="G6" s="48" t="n">
        <f aca="false">SUM(G5:G5)</f>
        <v>0</v>
      </c>
      <c r="H6" s="48" t="n">
        <f aca="false">SUM(H5:H5)</f>
        <v>188559031.23492</v>
      </c>
    </row>
    <row r="8" customFormat="false" ht="30" hidden="false" customHeight="true" outlineLevel="0" collapsed="false">
      <c r="B8" s="17" t="s">
        <v>42</v>
      </c>
      <c r="C8" s="18" t="s">
        <v>43</v>
      </c>
      <c r="D8" s="18" t="s">
        <v>44</v>
      </c>
      <c r="E8" s="18" t="s">
        <v>45</v>
      </c>
      <c r="F8" s="18" t="s">
        <v>46</v>
      </c>
      <c r="G8" s="18" t="s">
        <v>47</v>
      </c>
      <c r="H8" s="18" t="s">
        <v>48</v>
      </c>
      <c r="I8" s="18" t="s">
        <v>49</v>
      </c>
      <c r="J8" s="18" t="s">
        <v>50</v>
      </c>
      <c r="K8" s="17" t="s">
        <v>51</v>
      </c>
    </row>
    <row r="9" customFormat="false" ht="15" hidden="false" customHeight="false" outlineLevel="0" collapsed="false">
      <c r="B9" s="5"/>
      <c r="C9" s="5"/>
      <c r="D9" s="17" t="s">
        <v>52</v>
      </c>
      <c r="E9" s="17" t="s">
        <v>53</v>
      </c>
      <c r="F9" s="17" t="s">
        <v>54</v>
      </c>
      <c r="G9" s="17" t="s">
        <v>55</v>
      </c>
      <c r="H9" s="17" t="s">
        <v>56</v>
      </c>
      <c r="I9" s="17" t="s">
        <v>57</v>
      </c>
      <c r="J9" s="17" t="s">
        <v>58</v>
      </c>
      <c r="K9" s="17" t="s">
        <v>59</v>
      </c>
    </row>
    <row r="10" customFormat="false" ht="15" hidden="false" customHeight="false" outlineLevel="0" collapsed="false">
      <c r="B10" s="10" t="s">
        <v>261</v>
      </c>
      <c r="C10" s="60"/>
      <c r="D10" s="60"/>
      <c r="E10" s="60"/>
      <c r="F10" s="60"/>
      <c r="G10" s="60"/>
      <c r="H10" s="60"/>
      <c r="I10" s="60"/>
      <c r="J10" s="60"/>
      <c r="K10" s="60"/>
    </row>
    <row r="11" customFormat="false" ht="15" hidden="false" customHeight="false" outlineLevel="0" collapsed="false">
      <c r="B11" s="19" t="s">
        <v>11</v>
      </c>
      <c r="C11" s="20" t="s">
        <v>262</v>
      </c>
      <c r="D11" s="13" t="n">
        <f aca="false">Исх_данные!$F$29</f>
        <v>0.157862951062778</v>
      </c>
      <c r="E11" s="13" t="n">
        <f aca="false">Исх_данные!$G$29</f>
        <v>0.555119953863899</v>
      </c>
      <c r="F11" s="13" t="n">
        <f aca="false">Исх_данные!$H$29</f>
        <v>0.600342004448838</v>
      </c>
      <c r="G11" s="13" t="n">
        <f aca="false">Исх_данные!$I$29</f>
        <v>0.762685157103037</v>
      </c>
      <c r="H11" s="13" t="n">
        <f aca="false">Исх_данные!$J$29</f>
        <v>0.733239707784094</v>
      </c>
      <c r="I11" s="13" t="n">
        <f aca="false">Исх_данные!$K$29</f>
        <v>0.73275148294612</v>
      </c>
      <c r="J11" s="13" t="n">
        <f aca="false">Исх_данные!$L$29</f>
        <v>0.73275148294612</v>
      </c>
      <c r="K11" s="13" t="n">
        <f aca="false">AVERAGE(D11:J11)</f>
        <v>0.610678962879269</v>
      </c>
    </row>
    <row r="12" customFormat="false" ht="15" hidden="false" customHeight="false" outlineLevel="0" collapsed="false">
      <c r="B12" s="10" t="s">
        <v>263</v>
      </c>
      <c r="C12" s="60"/>
      <c r="D12" s="60"/>
      <c r="E12" s="60"/>
      <c r="F12" s="60"/>
      <c r="G12" s="60"/>
      <c r="H12" s="60"/>
      <c r="I12" s="60"/>
      <c r="J12" s="60"/>
      <c r="K12" s="60"/>
    </row>
    <row r="13" customFormat="false" ht="15" hidden="false" customHeight="false" outlineLevel="0" collapsed="false">
      <c r="B13" s="19" t="s">
        <v>11</v>
      </c>
      <c r="C13" s="20" t="s">
        <v>259</v>
      </c>
      <c r="D13" s="61" t="n">
        <f aca="false">$D$5*D11</f>
        <v>663.024394463668</v>
      </c>
      <c r="E13" s="61" t="n">
        <f aca="false">$D$5*E11</f>
        <v>2331.50380622837</v>
      </c>
      <c r="F13" s="61" t="n">
        <f aca="false">$D$5*F11</f>
        <v>2521.43641868512</v>
      </c>
      <c r="G13" s="61" t="n">
        <f aca="false">$D$5*G11</f>
        <v>3203.27765983275</v>
      </c>
      <c r="H13" s="61" t="n">
        <f aca="false">$D$5*H11</f>
        <v>3079.6067726932</v>
      </c>
      <c r="I13" s="61" t="n">
        <f aca="false">$D$5*I11</f>
        <v>3077.5562283737</v>
      </c>
      <c r="J13" s="61" t="n">
        <f aca="false">$D$5*J11</f>
        <v>3077.5562283737</v>
      </c>
      <c r="K13" s="61" t="n">
        <f aca="false">SUM(D13:J13)</f>
        <v>17953.9615086505</v>
      </c>
    </row>
    <row r="14" customFormat="false" ht="15" hidden="false" customHeight="false" outlineLevel="0" collapsed="false">
      <c r="B14" s="10" t="s">
        <v>264</v>
      </c>
      <c r="C14" s="60"/>
      <c r="D14" s="60"/>
      <c r="E14" s="60"/>
      <c r="F14" s="60"/>
      <c r="G14" s="60"/>
      <c r="H14" s="60"/>
      <c r="I14" s="60"/>
      <c r="J14" s="60"/>
      <c r="K14" s="60"/>
    </row>
    <row r="15" customFormat="false" ht="15" hidden="false" customHeight="false" outlineLevel="0" collapsed="false">
      <c r="B15" s="19" t="s">
        <v>265</v>
      </c>
      <c r="C15" s="20" t="s">
        <v>259</v>
      </c>
      <c r="D15" s="61" t="n">
        <f aca="false">Исх_данные!$F$31</f>
        <v>0</v>
      </c>
      <c r="E15" s="61" t="n">
        <f aca="false">Исх_данные!$G$31</f>
        <v>0</v>
      </c>
      <c r="F15" s="61" t="n">
        <f aca="false">Исх_данные!$H$31</f>
        <v>0</v>
      </c>
      <c r="G15" s="61" t="n">
        <f aca="false">Исх_данные!$I$31</f>
        <v>0</v>
      </c>
      <c r="H15" s="61" t="n">
        <f aca="false">Исх_данные!$J$31</f>
        <v>0</v>
      </c>
      <c r="I15" s="61" t="n">
        <f aca="false">Исх_данные!$K$31</f>
        <v>0</v>
      </c>
      <c r="J15" s="61" t="n">
        <f aca="false">Исх_данные!$L$31</f>
        <v>0</v>
      </c>
      <c r="K15" s="61" t="n">
        <f aca="false">SUM(D15:J15)</f>
        <v>0</v>
      </c>
    </row>
    <row r="16" customFormat="false" ht="23.85" hidden="false" customHeight="false" outlineLevel="0" collapsed="false">
      <c r="B16" s="19" t="s">
        <v>266</v>
      </c>
      <c r="C16" s="20" t="s">
        <v>259</v>
      </c>
      <c r="D16" s="61" t="n">
        <f aca="false">Исх_данные!$F$32</f>
        <v>663.024394463668</v>
      </c>
      <c r="E16" s="61" t="n">
        <f aca="false">Исх_данные!$G$32</f>
        <v>2331.50380622837</v>
      </c>
      <c r="F16" s="61" t="n">
        <f aca="false">Исх_данные!$H$32</f>
        <v>2521.43641868512</v>
      </c>
      <c r="G16" s="61" t="n">
        <f aca="false">Исх_данные!$I$32</f>
        <v>3203.27765983275</v>
      </c>
      <c r="H16" s="61" t="n">
        <f aca="false">Исх_данные!$J$32</f>
        <v>3079.6067726932</v>
      </c>
      <c r="I16" s="61" t="n">
        <f aca="false">Исх_данные!$K$32</f>
        <v>3077.5562283737</v>
      </c>
      <c r="J16" s="61" t="n">
        <f aca="false">Исх_данные!$L$32</f>
        <v>3077.5562283737</v>
      </c>
      <c r="K16" s="61" t="n">
        <f aca="false">SUM(D16:J16)</f>
        <v>17953.9615086505</v>
      </c>
    </row>
    <row r="17" customFormat="false" ht="15" hidden="false" customHeight="false" outlineLevel="0" collapsed="false">
      <c r="B17" s="10" t="s">
        <v>267</v>
      </c>
      <c r="C17" s="60"/>
      <c r="D17" s="60"/>
      <c r="E17" s="60"/>
      <c r="F17" s="60"/>
      <c r="G17" s="60"/>
      <c r="H17" s="60"/>
      <c r="I17" s="60"/>
      <c r="J17" s="60"/>
      <c r="K17" s="60"/>
    </row>
    <row r="18" customFormat="false" ht="15" hidden="false" customHeight="false" outlineLevel="0" collapsed="false">
      <c r="B18" s="19" t="s">
        <v>11</v>
      </c>
      <c r="C18" s="20" t="s">
        <v>259</v>
      </c>
      <c r="D18" s="61" t="n">
        <f aca="false">0+D13-D15-D16</f>
        <v>0</v>
      </c>
      <c r="E18" s="61" t="n">
        <f aca="false">D18+E13-E15-E16</f>
        <v>0</v>
      </c>
      <c r="F18" s="61" t="n">
        <f aca="false">E18+F13-F15-F16</f>
        <v>0</v>
      </c>
      <c r="G18" s="61" t="n">
        <f aca="false">F18+G13-G15-G16</f>
        <v>0</v>
      </c>
      <c r="H18" s="61" t="n">
        <f aca="false">G18+H13-H15-H16</f>
        <v>0</v>
      </c>
      <c r="I18" s="61" t="n">
        <f aca="false">H18+I13-I15-I16</f>
        <v>0</v>
      </c>
      <c r="J18" s="61" t="n">
        <f aca="false">I18+J13-J15-J16</f>
        <v>0</v>
      </c>
      <c r="K18" s="61" t="n">
        <f aca="false">J18</f>
        <v>0</v>
      </c>
    </row>
    <row r="19" customFormat="false" ht="15" hidden="false" customHeight="false" outlineLevel="0" collapsed="false">
      <c r="B19" s="10" t="s">
        <v>268</v>
      </c>
      <c r="C19" s="60"/>
      <c r="D19" s="60"/>
      <c r="E19" s="60"/>
      <c r="F19" s="60"/>
      <c r="G19" s="60"/>
      <c r="H19" s="60"/>
      <c r="I19" s="60"/>
      <c r="J19" s="60"/>
      <c r="K19" s="60"/>
    </row>
    <row r="20" customFormat="false" ht="15" hidden="false" customHeight="false" outlineLevel="0" collapsed="false">
      <c r="B20" s="19" t="s">
        <v>11</v>
      </c>
      <c r="C20" s="20" t="s">
        <v>269</v>
      </c>
      <c r="D20" s="29" t="n">
        <f aca="false">Исх_данные!$F$34</f>
        <v>42389.5686200496</v>
      </c>
      <c r="E20" s="29" t="n">
        <f aca="false">Исх_данные!$G$34</f>
        <v>42982.9537234516</v>
      </c>
      <c r="F20" s="29" t="n">
        <f aca="false">Исх_данные!$H$34</f>
        <v>43928.5787053675</v>
      </c>
      <c r="G20" s="29" t="n">
        <f aca="false">Исх_данные!$I$34</f>
        <v>44895.0074368856</v>
      </c>
      <c r="H20" s="29" t="n">
        <f aca="false">Исх_данные!$J$34</f>
        <v>45882.6976004971</v>
      </c>
      <c r="I20" s="29" t="n">
        <f aca="false">Исх_данные!$K$34</f>
        <v>46892.116947708</v>
      </c>
      <c r="J20" s="29" t="n">
        <f aca="false">Исх_данные!$L$34</f>
        <v>47923.7435205576</v>
      </c>
      <c r="K20" s="29" t="n">
        <f aca="false">AVERAGE(D20:J20)</f>
        <v>44984.952364931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270</v>
      </c>
      <c r="K2" s="51" t="s">
        <v>271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0" t="s">
        <v>272</v>
      </c>
      <c r="C6" s="60"/>
      <c r="D6" s="60"/>
      <c r="E6" s="60"/>
      <c r="F6" s="60"/>
      <c r="G6" s="60"/>
      <c r="H6" s="60"/>
      <c r="I6" s="60"/>
      <c r="J6" s="60"/>
      <c r="K6" s="60"/>
    </row>
    <row r="7" customFormat="false" ht="15" hidden="false" customHeight="false" outlineLevel="0" collapsed="false">
      <c r="B7" s="19" t="s">
        <v>273</v>
      </c>
      <c r="C7" s="20" t="s">
        <v>32</v>
      </c>
      <c r="D7" s="12" t="n">
        <f aca="false">ProdPlan!D15*ProdPlan!D20</f>
        <v>0</v>
      </c>
      <c r="E7" s="12" t="n">
        <f aca="false">ProdPlan!E15*ProdPlan!E20</f>
        <v>0</v>
      </c>
      <c r="F7" s="12" t="n">
        <f aca="false">ProdPlan!F15*ProdPlan!F20</f>
        <v>0</v>
      </c>
      <c r="G7" s="12" t="n">
        <f aca="false">ProdPlan!G15*ProdPlan!G20</f>
        <v>0</v>
      </c>
      <c r="H7" s="12" t="n">
        <f aca="false">ProdPlan!H15*ProdPlan!H20</f>
        <v>0</v>
      </c>
      <c r="I7" s="12" t="n">
        <f aca="false">ProdPlan!I15*ProdPlan!I20</f>
        <v>0</v>
      </c>
      <c r="J7" s="12" t="n">
        <f aca="false">ProdPlan!J15*ProdPlan!J20</f>
        <v>0</v>
      </c>
      <c r="K7" s="12" t="n">
        <f aca="false">SUM(D7:J7)</f>
        <v>0</v>
      </c>
    </row>
    <row r="8" customFormat="false" ht="15" hidden="false" customHeight="false" outlineLevel="0" collapsed="false">
      <c r="B8" s="62" t="s">
        <v>215</v>
      </c>
      <c r="C8" s="20" t="s">
        <v>32</v>
      </c>
      <c r="D8" s="22" t="n">
        <f aca="false">SUM(D7:D7)</f>
        <v>0</v>
      </c>
      <c r="E8" s="22" t="n">
        <f aca="false">SUM(E7:E7)</f>
        <v>0</v>
      </c>
      <c r="F8" s="22" t="n">
        <f aca="false">SUM(F7:F7)</f>
        <v>0</v>
      </c>
      <c r="G8" s="22" t="n">
        <f aca="false">SUM(G7:G7)</f>
        <v>0</v>
      </c>
      <c r="H8" s="22" t="n">
        <f aca="false">SUM(H7:H7)</f>
        <v>0</v>
      </c>
      <c r="I8" s="22" t="n">
        <f aca="false">SUM(I7:I7)</f>
        <v>0</v>
      </c>
      <c r="J8" s="22" t="n">
        <f aca="false">SUM(J7:J7)</f>
        <v>0</v>
      </c>
      <c r="K8" s="22" t="n">
        <f aca="false">SUM(D8:J8)</f>
        <v>0</v>
      </c>
    </row>
    <row r="10" customFormat="false" ht="15" hidden="false" customHeight="false" outlineLevel="0" collapsed="false">
      <c r="B10" s="10" t="s">
        <v>274</v>
      </c>
      <c r="C10" s="60"/>
      <c r="D10" s="60"/>
      <c r="E10" s="60"/>
      <c r="F10" s="60"/>
      <c r="G10" s="60"/>
      <c r="H10" s="60"/>
      <c r="I10" s="60"/>
      <c r="J10" s="60"/>
      <c r="K10" s="60"/>
    </row>
    <row r="11" customFormat="false" ht="15" hidden="false" customHeight="false" outlineLevel="0" collapsed="false">
      <c r="B11" s="19" t="s">
        <v>273</v>
      </c>
      <c r="C11" s="20" t="s">
        <v>32</v>
      </c>
      <c r="D11" s="12" t="n">
        <f aca="false">ProdPlan!D16*ProdPlan!D20</f>
        <v>28105318.0658845</v>
      </c>
      <c r="E11" s="12" t="n">
        <f aca="false">ProdPlan!E16*ProdPlan!E20</f>
        <v>100214920.209165</v>
      </c>
      <c r="F11" s="12" t="n">
        <f aca="false">ProdPlan!F16*ProdPlan!F20</f>
        <v>110763118.168789</v>
      </c>
      <c r="G11" s="12" t="n">
        <f aca="false">ProdPlan!G16*ProdPlan!G20</f>
        <v>143811174.360601</v>
      </c>
      <c r="H11" s="12" t="n">
        <f aca="false">ProdPlan!H16*ProdPlan!H20</f>
        <v>141300666.279925</v>
      </c>
      <c r="I11" s="12" t="n">
        <f aca="false">ProdPlan!I16*ProdPlan!I20</f>
        <v>144313126.574047</v>
      </c>
      <c r="J11" s="12" t="n">
        <f aca="false">ProdPlan!J16*ProdPlan!J20</f>
        <v>147488015.358676</v>
      </c>
      <c r="K11" s="12" t="n">
        <f aca="false">SUM(D11:J11)</f>
        <v>815996339.017088</v>
      </c>
    </row>
    <row r="12" customFormat="false" ht="15" hidden="false" customHeight="false" outlineLevel="0" collapsed="false">
      <c r="B12" s="62" t="s">
        <v>215</v>
      </c>
      <c r="C12" s="20" t="s">
        <v>32</v>
      </c>
      <c r="D12" s="22" t="n">
        <f aca="false">SUM(D11:D11)</f>
        <v>28105318.0658845</v>
      </c>
      <c r="E12" s="22" t="n">
        <f aca="false">SUM(E11:E11)</f>
        <v>100214920.209165</v>
      </c>
      <c r="F12" s="22" t="n">
        <f aca="false">SUM(F11:F11)</f>
        <v>110763118.168789</v>
      </c>
      <c r="G12" s="22" t="n">
        <f aca="false">SUM(G11:G11)</f>
        <v>143811174.360601</v>
      </c>
      <c r="H12" s="22" t="n">
        <f aca="false">SUM(H11:H11)</f>
        <v>141300666.279925</v>
      </c>
      <c r="I12" s="22" t="n">
        <f aca="false">SUM(I11:I11)</f>
        <v>144313126.574047</v>
      </c>
      <c r="J12" s="22" t="n">
        <f aca="false">SUM(J11:J11)</f>
        <v>147488015.358676</v>
      </c>
      <c r="K12" s="22" t="n">
        <f aca="false">SUM(D12:J12)</f>
        <v>815996339.017088</v>
      </c>
    </row>
    <row r="14" customFormat="false" ht="15" hidden="false" customHeight="false" outlineLevel="0" collapsed="false">
      <c r="B14" s="34" t="s">
        <v>275</v>
      </c>
      <c r="C14" s="63" t="s">
        <v>32</v>
      </c>
      <c r="D14" s="15" t="n">
        <f aca="false">D8+D12</f>
        <v>28105318.0658845</v>
      </c>
      <c r="E14" s="15" t="n">
        <f aca="false">E8+E12</f>
        <v>100214920.209165</v>
      </c>
      <c r="F14" s="15" t="n">
        <f aca="false">F8+F12</f>
        <v>110763118.168789</v>
      </c>
      <c r="G14" s="15" t="n">
        <f aca="false">G8+G12</f>
        <v>143811174.360601</v>
      </c>
      <c r="H14" s="15" t="n">
        <f aca="false">H8+H12</f>
        <v>141300666.279925</v>
      </c>
      <c r="I14" s="15" t="n">
        <f aca="false">I8+I12</f>
        <v>144313126.574047</v>
      </c>
      <c r="J14" s="15" t="n">
        <f aca="false">J8+J12</f>
        <v>147488015.358676</v>
      </c>
      <c r="K14" s="15" t="n">
        <f aca="false">SUM(D14:J14)</f>
        <v>815996339.017088</v>
      </c>
    </row>
    <row r="15" customFormat="false" ht="15" hidden="false" customHeight="false" outlineLevel="0" collapsed="false">
      <c r="B15" s="19" t="s">
        <v>276</v>
      </c>
      <c r="C15" s="20" t="s">
        <v>262</v>
      </c>
      <c r="D15" s="13" t="n">
        <f aca="false">IFERROR(D8/D14,0)</f>
        <v>0</v>
      </c>
      <c r="E15" s="13" t="n">
        <f aca="false">IFERROR(E8/E14,0)</f>
        <v>0</v>
      </c>
      <c r="F15" s="13" t="n">
        <f aca="false">IFERROR(F8/F14,0)</f>
        <v>0</v>
      </c>
      <c r="G15" s="13" t="n">
        <f aca="false">IFERROR(G8/G14,0)</f>
        <v>0</v>
      </c>
      <c r="H15" s="13" t="n">
        <f aca="false">IFERROR(H8/H14,0)</f>
        <v>0</v>
      </c>
      <c r="I15" s="13" t="n">
        <f aca="false">IFERROR(I8/I14,0)</f>
        <v>0</v>
      </c>
      <c r="J15" s="13" t="n">
        <f aca="false">IFERROR(J8/J14,0)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42"/>
  </cols>
  <sheetData>
    <row r="2" customFormat="false" ht="15" hidden="false" customHeight="false" outlineLevel="0" collapsed="false">
      <c r="B2" s="2" t="s">
        <v>277</v>
      </c>
      <c r="G2" s="51" t="s">
        <v>278</v>
      </c>
    </row>
    <row r="3" customFormat="false" ht="15" hidden="false" customHeight="false" outlineLevel="0" collapsed="false">
      <c r="B3" s="52" t="s">
        <v>279</v>
      </c>
    </row>
    <row r="5" customFormat="false" ht="30" hidden="false" customHeight="true" outlineLevel="0" collapsed="false">
      <c r="B5" s="18" t="s">
        <v>280</v>
      </c>
      <c r="C5" s="18" t="s">
        <v>43</v>
      </c>
      <c r="D5" s="18" t="s">
        <v>281</v>
      </c>
      <c r="E5" s="18" t="s">
        <v>282</v>
      </c>
      <c r="F5" s="18" t="s">
        <v>283</v>
      </c>
      <c r="G5" s="18" t="s">
        <v>284</v>
      </c>
      <c r="H5" s="18" t="s">
        <v>285</v>
      </c>
    </row>
    <row r="6" customFormat="false" ht="15" hidden="false" customHeight="false" outlineLevel="0" collapsed="false">
      <c r="B6" s="10" t="s">
        <v>286</v>
      </c>
      <c r="C6" s="60"/>
      <c r="D6" s="60"/>
      <c r="E6" s="60"/>
      <c r="F6" s="60"/>
      <c r="G6" s="60"/>
      <c r="H6" s="60"/>
    </row>
    <row r="7" customFormat="false" ht="15" hidden="false" customHeight="false" outlineLevel="0" collapsed="false">
      <c r="B7" s="19" t="s">
        <v>287</v>
      </c>
      <c r="C7" s="20" t="s">
        <v>259</v>
      </c>
      <c r="D7" s="29" t="n">
        <f aca="false">IFERROR(F7/E7,0)</f>
        <v>28.389042396056</v>
      </c>
      <c r="E7" s="61" t="n">
        <f aca="false">Исх_данные!$I$118</f>
        <v>600000</v>
      </c>
      <c r="F7" s="12" t="n">
        <f aca="false">Исх_данные!$I$119</f>
        <v>17033425.4376336</v>
      </c>
      <c r="G7" s="13" t="n">
        <f aca="false">IFERROR(F7/$F$16,0)</f>
        <v>0.540061324245067</v>
      </c>
      <c r="H7" s="53" t="s">
        <v>288</v>
      </c>
    </row>
    <row r="8" customFormat="false" ht="15" hidden="false" customHeight="false" outlineLevel="0" collapsed="false">
      <c r="B8" s="19" t="s">
        <v>289</v>
      </c>
      <c r="C8" s="20" t="s">
        <v>259</v>
      </c>
      <c r="D8" s="29" t="n">
        <f aca="false">IFERROR(F8/E8,0)</f>
        <v>23.1897641361257</v>
      </c>
      <c r="E8" s="61" t="n">
        <f aca="false">Исх_данные!$I$120</f>
        <v>600000</v>
      </c>
      <c r="F8" s="12" t="n">
        <f aca="false">Исх_данные!$I$121</f>
        <v>13913858.4816754</v>
      </c>
      <c r="G8" s="13" t="n">
        <f aca="false">IFERROR(F8/$F$16,0)</f>
        <v>0.441152419076549</v>
      </c>
      <c r="H8" s="53" t="s">
        <v>288</v>
      </c>
    </row>
    <row r="9" customFormat="false" ht="15" hidden="false" customHeight="false" outlineLevel="0" collapsed="false">
      <c r="B9" s="19" t="s">
        <v>290</v>
      </c>
      <c r="C9" s="20" t="s">
        <v>259</v>
      </c>
      <c r="D9" s="29" t="n">
        <f aca="false">IFERROR(F9/E9,0)</f>
        <v>166.870976942716</v>
      </c>
      <c r="E9" s="61" t="n">
        <f aca="false">Исх_данные!$I$122</f>
        <v>3203.27765983275</v>
      </c>
      <c r="F9" s="12" t="n">
        <f aca="false">Исх_данные!$I$123</f>
        <v>534534.07251507</v>
      </c>
      <c r="G9" s="13" t="n">
        <f aca="false">IFERROR(F9/$F$16,0)</f>
        <v>0.0169479227835633</v>
      </c>
      <c r="H9" s="53" t="s">
        <v>288</v>
      </c>
    </row>
    <row r="10" customFormat="false" ht="15" hidden="false" customHeight="false" outlineLevel="0" collapsed="false">
      <c r="B10" s="26" t="s">
        <v>291</v>
      </c>
      <c r="F10" s="22" t="n">
        <f aca="false">SUM(F7:F9)</f>
        <v>31481817.9918241</v>
      </c>
      <c r="G10" s="13" t="n">
        <f aca="false">IFERROR(F10/$F$16,0)</f>
        <v>0.99816166610518</v>
      </c>
    </row>
    <row r="12" customFormat="false" ht="15" hidden="false" customHeight="false" outlineLevel="0" collapsed="false">
      <c r="B12" s="10" t="s">
        <v>292</v>
      </c>
      <c r="C12" s="60"/>
      <c r="D12" s="60"/>
      <c r="E12" s="60"/>
      <c r="F12" s="60"/>
      <c r="G12" s="60"/>
      <c r="H12" s="60"/>
    </row>
    <row r="13" customFormat="false" ht="15" hidden="false" customHeight="false" outlineLevel="0" collapsed="false">
      <c r="B13" s="19" t="s">
        <v>293</v>
      </c>
      <c r="C13" s="20" t="s">
        <v>294</v>
      </c>
      <c r="D13" s="29" t="n">
        <f aca="false">IFERROR(F13/E13,0)</f>
        <v>0.0966344682265769</v>
      </c>
      <c r="E13" s="61" t="n">
        <f aca="false">Исх_данные!$I$124</f>
        <v>600000</v>
      </c>
      <c r="F13" s="12" t="n">
        <f aca="false">Исх_данные!$I$125</f>
        <v>57980.6809359462</v>
      </c>
      <c r="G13" s="13" t="n">
        <f aca="false">IFERROR(F13/$F$16,0)</f>
        <v>0.0018383338948204</v>
      </c>
      <c r="H13" s="53" t="s">
        <v>288</v>
      </c>
    </row>
    <row r="14" customFormat="false" ht="15" hidden="false" customHeight="false" outlineLevel="0" collapsed="false">
      <c r="B14" s="26" t="s">
        <v>295</v>
      </c>
      <c r="F14" s="22" t="n">
        <f aca="false">SUM(F13:F13)</f>
        <v>57980.6809359462</v>
      </c>
      <c r="G14" s="13" t="n">
        <f aca="false">IFERROR(F14/$F$16,0)</f>
        <v>0.0018383338948204</v>
      </c>
    </row>
    <row r="16" customFormat="false" ht="15" hidden="false" customHeight="false" outlineLevel="0" collapsed="false">
      <c r="B16" s="14" t="s">
        <v>296</v>
      </c>
      <c r="F16" s="15" t="n">
        <f aca="false">F10+F14</f>
        <v>31539798.67276</v>
      </c>
      <c r="G16" s="13" t="n">
        <f aca="false">IFERROR(F16/$F$16,0)</f>
        <v>1</v>
      </c>
    </row>
    <row r="18" customFormat="false" ht="15" hidden="false" customHeight="false" outlineLevel="0" collapsed="false">
      <c r="B18" s="10" t="s">
        <v>297</v>
      </c>
      <c r="C18" s="60"/>
      <c r="D18" s="60"/>
      <c r="E18" s="60"/>
      <c r="F18" s="60"/>
      <c r="G18" s="60"/>
      <c r="H18" s="60"/>
    </row>
    <row r="19" customFormat="false" ht="15" hidden="false" customHeight="false" outlineLevel="0" collapsed="false">
      <c r="B19" s="26" t="s">
        <v>298</v>
      </c>
      <c r="F19" s="26" t="s">
        <v>283</v>
      </c>
      <c r="H19" s="26" t="s">
        <v>299</v>
      </c>
    </row>
    <row r="20" customFormat="false" ht="15" hidden="false" customHeight="false" outlineLevel="0" collapsed="false">
      <c r="B20" s="6" t="s">
        <v>300</v>
      </c>
      <c r="F20" s="12" t="n">
        <f aca="false">Исх_данные!$I$63-(0)</f>
        <v>0</v>
      </c>
      <c r="H20" s="64"/>
    </row>
    <row r="21" customFormat="false" ht="15" hidden="false" customHeight="false" outlineLevel="0" collapsed="false">
      <c r="B21" s="6" t="s">
        <v>301</v>
      </c>
      <c r="F21" s="12" t="n">
        <f aca="false">Исх_данные!$I$64-(Исх_данные!$I$119+Исх_данные!$I$121+Исх_данные!$I$123+Исх_данные!$I$125)-Исх_данные!$I$66</f>
        <v>467556.211067478</v>
      </c>
      <c r="H21" s="64" t="s">
        <v>302</v>
      </c>
    </row>
    <row r="22" customFormat="false" ht="15" hidden="false" customHeight="false" outlineLevel="0" collapsed="false">
      <c r="B22" s="6" t="s">
        <v>303</v>
      </c>
      <c r="F22" s="12" t="n">
        <f aca="false">Исх_данные!$I$66</f>
        <v>3882901.70773623</v>
      </c>
    </row>
    <row r="23" customFormat="false" ht="15" hidden="false" customHeight="false" outlineLevel="0" collapsed="false">
      <c r="B23" s="26" t="s">
        <v>304</v>
      </c>
      <c r="F23" s="22" t="n">
        <f aca="false">SUM(F20:F22)</f>
        <v>4350457.9188037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7" min="6" style="0" width="16"/>
    <col collapsed="false" customWidth="true" hidden="false" outlineLevel="0" max="8" min="8" style="0" width="30"/>
  </cols>
  <sheetData>
    <row r="2" customFormat="false" ht="15" hidden="false" customHeight="false" outlineLevel="0" collapsed="false">
      <c r="B2" s="2" t="s">
        <v>305</v>
      </c>
      <c r="G2" s="51" t="s">
        <v>306</v>
      </c>
    </row>
    <row r="5" customFormat="false" ht="30" hidden="false" customHeight="true" outlineLevel="0" collapsed="false">
      <c r="B5" s="18" t="s">
        <v>307</v>
      </c>
      <c r="C5" s="18" t="s">
        <v>43</v>
      </c>
      <c r="D5" s="18" t="s">
        <v>282</v>
      </c>
      <c r="E5" s="18" t="s">
        <v>281</v>
      </c>
      <c r="F5" s="18" t="s">
        <v>283</v>
      </c>
    </row>
    <row r="6" customFormat="false" ht="15" hidden="false" customHeight="false" outlineLevel="0" collapsed="false">
      <c r="B6" s="6" t="s">
        <v>308</v>
      </c>
      <c r="F6" s="12" t="n">
        <f aca="false">Исх_данные!$I$57-(0)</f>
        <v>0</v>
      </c>
    </row>
    <row r="7" customFormat="false" ht="15" hidden="false" customHeight="false" outlineLevel="0" collapsed="false">
      <c r="B7" s="6" t="s">
        <v>309</v>
      </c>
      <c r="F7" s="12" t="n">
        <f aca="false">Исх_данные!$I$58-(0)</f>
        <v>0</v>
      </c>
    </row>
    <row r="8" customFormat="false" ht="15" hidden="false" customHeight="false" outlineLevel="0" collapsed="false">
      <c r="B8" s="6" t="s">
        <v>310</v>
      </c>
      <c r="F8" s="12" t="n">
        <f aca="false">Исх_данные!$I$59-(0)</f>
        <v>0</v>
      </c>
    </row>
    <row r="9" customFormat="false" ht="15" hidden="false" customHeight="false" outlineLevel="0" collapsed="false">
      <c r="B9" s="10" t="s">
        <v>311</v>
      </c>
      <c r="F9" s="48" t="n">
        <f aca="false">SUM(F6:F8)</f>
        <v>0</v>
      </c>
    </row>
    <row r="11" customFormat="false" ht="15" hidden="false" customHeight="false" outlineLevel="0" collapsed="false">
      <c r="B11" s="33" t="s">
        <v>312</v>
      </c>
    </row>
    <row r="12" customFormat="false" ht="42" hidden="false" customHeight="true" outlineLevel="0" collapsed="false">
      <c r="B12" s="18" t="s">
        <v>42</v>
      </c>
      <c r="C12" s="18" t="s">
        <v>313</v>
      </c>
      <c r="D12" s="18" t="s">
        <v>314</v>
      </c>
      <c r="E12" s="18" t="s">
        <v>315</v>
      </c>
      <c r="F12" s="18" t="s">
        <v>316</v>
      </c>
      <c r="G12" s="18" t="s">
        <v>317</v>
      </c>
    </row>
    <row r="13" customFormat="false" ht="15" hidden="false" customHeight="false" outlineLevel="0" collapsed="false">
      <c r="B13" s="10" t="s">
        <v>318</v>
      </c>
      <c r="C13" s="60"/>
      <c r="D13" s="60"/>
      <c r="E13" s="60"/>
      <c r="F13" s="60"/>
      <c r="G13" s="60"/>
    </row>
    <row r="14" customFormat="false" ht="15" hidden="false" customHeight="false" outlineLevel="0" collapsed="false">
      <c r="B14" s="19" t="s">
        <v>319</v>
      </c>
      <c r="C14" s="61" t="n">
        <f aca="false">Исх_данные!$I$133</f>
        <v>10</v>
      </c>
      <c r="D14" s="12" t="s">
        <v>320</v>
      </c>
      <c r="E14" s="12" t="n">
        <f aca="false">IFERROR(F14/C14/12,0)</f>
        <v>5144.68704325805</v>
      </c>
      <c r="F14" s="12" t="n">
        <f aca="false">Исх_данные!$I$135</f>
        <v>617362.445190965</v>
      </c>
      <c r="G14" s="12" t="n">
        <f aca="false">F14*Исх_данные!$E$17</f>
        <v>74083.4934229159</v>
      </c>
    </row>
    <row r="15" customFormat="false" ht="15" hidden="false" customHeight="false" outlineLevel="0" collapsed="false">
      <c r="B15" s="19" t="s">
        <v>321</v>
      </c>
      <c r="C15" s="61" t="n">
        <f aca="false">Исх_данные!$I$136</f>
        <v>31</v>
      </c>
      <c r="D15" s="12" t="s">
        <v>320</v>
      </c>
      <c r="E15" s="12" t="n">
        <f aca="false">IFERROR(F15/C15/12,0)</f>
        <v>2529.3983411604</v>
      </c>
      <c r="F15" s="12" t="n">
        <f aca="false">Исх_данные!$I$138</f>
        <v>940936.182911669</v>
      </c>
      <c r="G15" s="12" t="n">
        <f aca="false">F15*Исх_данные!$E$17</f>
        <v>112912.3419494</v>
      </c>
    </row>
    <row r="16" customFormat="false" ht="15" hidden="false" customHeight="false" outlineLevel="0" collapsed="false">
      <c r="B16" s="19" t="s">
        <v>322</v>
      </c>
      <c r="C16" s="61" t="n">
        <f aca="false">Исх_данные!$I$139</f>
        <v>8</v>
      </c>
      <c r="D16" s="12" t="s">
        <v>320</v>
      </c>
      <c r="E16" s="12" t="n">
        <f aca="false">IFERROR(F16/C16/12,0)</f>
        <v>6092.39255122663</v>
      </c>
      <c r="F16" s="12" t="n">
        <f aca="false">Исх_данные!$I$141</f>
        <v>584869.684917757</v>
      </c>
      <c r="G16" s="12" t="n">
        <f aca="false">F16*Исх_данные!$E$17</f>
        <v>70184.3621901308</v>
      </c>
    </row>
    <row r="17" customFormat="false" ht="15" hidden="false" customHeight="false" outlineLevel="0" collapsed="false">
      <c r="B17" s="19" t="s">
        <v>323</v>
      </c>
      <c r="C17" s="61" t="n">
        <f aca="false">Исх_данные!$I$142</f>
        <v>32</v>
      </c>
      <c r="D17" s="12" t="s">
        <v>320</v>
      </c>
      <c r="E17" s="12" t="n">
        <f aca="false">IFERROR(F17/C17/12,0)</f>
        <v>1071.80980067876</v>
      </c>
      <c r="F17" s="12" t="n">
        <f aca="false">Исх_данные!$I$144</f>
        <v>411574.963460644</v>
      </c>
      <c r="G17" s="12" t="n">
        <f aca="false">F17*Исх_данные!$E$17</f>
        <v>49388.9956152772</v>
      </c>
    </row>
    <row r="18" customFormat="false" ht="23.85" hidden="false" customHeight="false" outlineLevel="0" collapsed="false">
      <c r="B18" s="19" t="s">
        <v>324</v>
      </c>
      <c r="C18" s="61" t="n">
        <f aca="false">Исх_данные!$I$145</f>
        <v>9</v>
      </c>
      <c r="D18" s="12" t="s">
        <v>320</v>
      </c>
      <c r="E18" s="12" t="n">
        <f aca="false">IFERROR(F18/C18/12,0)</f>
        <v>4888.95698555224</v>
      </c>
      <c r="F18" s="12" t="n">
        <f aca="false">Исх_данные!$I$147</f>
        <v>528007.354439642</v>
      </c>
      <c r="G18" s="12" t="n">
        <f aca="false">F18*Исх_данные!$E$17</f>
        <v>63360.882532757</v>
      </c>
    </row>
    <row r="19" customFormat="false" ht="15" hidden="false" customHeight="false" outlineLevel="0" collapsed="false">
      <c r="B19" s="19" t="s">
        <v>325</v>
      </c>
      <c r="C19" s="61" t="n">
        <f aca="false">Исх_данные!$I$148</f>
        <v>47</v>
      </c>
      <c r="D19" s="12" t="s">
        <v>320</v>
      </c>
      <c r="E19" s="12" t="n">
        <f aca="false">IFERROR(F19/C19/12,0)</f>
        <v>1212.23728856164</v>
      </c>
      <c r="F19" s="12" t="n">
        <f aca="false">Исх_данные!$I$150</f>
        <v>683701.830748767</v>
      </c>
      <c r="G19" s="12" t="n">
        <f aca="false">F19*Исх_данные!$E$17</f>
        <v>82044.219689852</v>
      </c>
    </row>
    <row r="20" customFormat="false" ht="23.85" hidden="false" customHeight="false" outlineLevel="0" collapsed="false">
      <c r="B20" s="19" t="s">
        <v>326</v>
      </c>
      <c r="C20" s="61" t="n">
        <f aca="false">Исх_данные!$I$151</f>
        <v>9</v>
      </c>
      <c r="D20" s="12" t="s">
        <v>320</v>
      </c>
      <c r="E20" s="12" t="n">
        <f aca="false">IFERROR(F20/C20/12,0)</f>
        <v>4588.09809413364</v>
      </c>
      <c r="F20" s="12" t="n">
        <f aca="false">Исх_данные!$I$153</f>
        <v>495514.594166433</v>
      </c>
      <c r="G20" s="12" t="n">
        <f aca="false">F20*Исх_данные!$E$17</f>
        <v>59461.7512999719</v>
      </c>
    </row>
    <row r="21" customFormat="false" ht="23.85" hidden="false" customHeight="false" outlineLevel="0" collapsed="false">
      <c r="B21" s="19" t="s">
        <v>327</v>
      </c>
      <c r="C21" s="61" t="n">
        <f aca="false">Исх_данные!$I$154</f>
        <v>33</v>
      </c>
      <c r="D21" s="12" t="s">
        <v>320</v>
      </c>
      <c r="E21" s="12" t="n">
        <f aca="false">IFERROR(F21/C21/12,0)</f>
        <v>1517.96986124839</v>
      </c>
      <c r="F21" s="12" t="n">
        <f aca="false">Исх_данные!$I$156</f>
        <v>601116.065054361</v>
      </c>
      <c r="G21" s="12" t="n">
        <f aca="false">F21*Исх_данные!$E$17</f>
        <v>72133.9278065233</v>
      </c>
    </row>
    <row r="22" customFormat="false" ht="23.85" hidden="false" customHeight="false" outlineLevel="0" collapsed="false">
      <c r="B22" s="19" t="s">
        <v>328</v>
      </c>
      <c r="C22" s="61" t="n">
        <f aca="false">Исх_данные!$I$157</f>
        <v>3</v>
      </c>
      <c r="D22" s="12" t="s">
        <v>320</v>
      </c>
      <c r="E22" s="12" t="n">
        <f aca="false">IFERROR(F22/C22/12,0)</f>
        <v>6994.96922548243</v>
      </c>
      <c r="F22" s="12" t="n">
        <f aca="false">Исх_данные!$I$159</f>
        <v>251818.892117368</v>
      </c>
      <c r="G22" s="12" t="n">
        <f aca="false">F22*Исх_данные!$E$17</f>
        <v>30218.2670540841</v>
      </c>
    </row>
    <row r="23" customFormat="false" ht="23.85" hidden="false" customHeight="false" outlineLevel="0" collapsed="false">
      <c r="B23" s="19" t="s">
        <v>329</v>
      </c>
      <c r="C23" s="61" t="n">
        <f aca="false">Исх_данные!$I$160</f>
        <v>19</v>
      </c>
      <c r="D23" s="12" t="s">
        <v>320</v>
      </c>
      <c r="E23" s="12" t="n">
        <f aca="false">IFERROR(F23/C23/12,0)</f>
        <v>1466.68709566567</v>
      </c>
      <c r="F23" s="12" t="n">
        <f aca="false">Исх_данные!$I$162</f>
        <v>334404.657811773</v>
      </c>
      <c r="G23" s="12" t="n">
        <f aca="false">F23*Исх_данные!$E$17</f>
        <v>40128.5589374128</v>
      </c>
    </row>
    <row r="24" customFormat="false" ht="23.85" hidden="false" customHeight="false" outlineLevel="0" collapsed="false">
      <c r="B24" s="19" t="s">
        <v>330</v>
      </c>
      <c r="C24" s="61" t="n">
        <f aca="false">Исх_данные!$I$163</f>
        <v>3</v>
      </c>
      <c r="D24" s="12" t="s">
        <v>320</v>
      </c>
      <c r="E24" s="12" t="n">
        <f aca="false">IFERROR(F24/C24/12,0)</f>
        <v>6994.96922548243</v>
      </c>
      <c r="F24" s="12" t="n">
        <f aca="false">Исх_данные!$I$165</f>
        <v>251818.892117368</v>
      </c>
      <c r="G24" s="12" t="n">
        <f aca="false">F24*Исх_данные!$E$17</f>
        <v>30218.2670540841</v>
      </c>
    </row>
    <row r="25" customFormat="false" ht="23.85" hidden="false" customHeight="false" outlineLevel="0" collapsed="false">
      <c r="B25" s="19" t="s">
        <v>331</v>
      </c>
      <c r="C25" s="61" t="n">
        <f aca="false">Исх_данные!$I$166</f>
        <v>17</v>
      </c>
      <c r="D25" s="12" t="s">
        <v>320</v>
      </c>
      <c r="E25" s="12" t="n">
        <f aca="false">IFERROR(F25/C25/12,0)</f>
        <v>1327.31863861147</v>
      </c>
      <c r="F25" s="12" t="n">
        <f aca="false">Исх_данные!$I$168</f>
        <v>270773.002276739</v>
      </c>
      <c r="G25" s="12" t="n">
        <f aca="false">F25*Исх_данные!$E$17</f>
        <v>32492.7602732087</v>
      </c>
    </row>
    <row r="26" customFormat="false" ht="23.85" hidden="false" customHeight="false" outlineLevel="0" collapsed="false">
      <c r="B26" s="19" t="s">
        <v>332</v>
      </c>
      <c r="C26" s="61" t="n">
        <f aca="false">Исх_данные!$I$172</f>
        <v>56</v>
      </c>
      <c r="D26" s="12" t="s">
        <v>320</v>
      </c>
      <c r="E26" s="12" t="n">
        <f aca="false">IFERROR(F26/C26/12,0)</f>
        <v>741.402268138691</v>
      </c>
      <c r="F26" s="12" t="n">
        <f aca="false">Исх_данные!$I$174</f>
        <v>498222.3241892</v>
      </c>
      <c r="G26" s="12" t="n">
        <f aca="false">F26*Исх_данные!$E$17</f>
        <v>59786.678902704</v>
      </c>
    </row>
    <row r="27" customFormat="false" ht="15" hidden="false" customHeight="false" outlineLevel="0" collapsed="false">
      <c r="B27" s="26" t="s">
        <v>171</v>
      </c>
      <c r="C27" s="65" t="n">
        <f aca="false">SUM(C14:C26)</f>
        <v>277</v>
      </c>
      <c r="F27" s="22" t="n">
        <f aca="false">SUM(F14:F26)</f>
        <v>6470120.88940268</v>
      </c>
      <c r="G27" s="22" t="n">
        <f aca="false">SUM(G14:G26)</f>
        <v>776414.506728322</v>
      </c>
    </row>
    <row r="28" customFormat="false" ht="15" hidden="false" customHeight="false" outlineLevel="0" collapsed="false">
      <c r="B28" s="10" t="s">
        <v>333</v>
      </c>
      <c r="F28" s="48" t="n">
        <f aca="false">F27+G27</f>
        <v>7246535.39613101</v>
      </c>
    </row>
    <row r="30" customFormat="false" ht="15" hidden="false" customHeight="false" outlineLevel="0" collapsed="false">
      <c r="B30" s="10" t="s">
        <v>334</v>
      </c>
      <c r="C30" s="60"/>
      <c r="D30" s="60"/>
      <c r="E30" s="60"/>
      <c r="F30" s="60"/>
      <c r="G30" s="60"/>
    </row>
    <row r="31" customFormat="false" ht="15" hidden="false" customHeight="false" outlineLevel="0" collapsed="false">
      <c r="B31" s="19" t="s">
        <v>335</v>
      </c>
      <c r="C31" s="61" t="n">
        <f aca="false">Исх_данные!$I$127</f>
        <v>7</v>
      </c>
      <c r="D31" s="12" t="s">
        <v>320</v>
      </c>
      <c r="E31" s="12" t="n">
        <f aca="false">IFERROR(F31/C31/12,0)</f>
        <v>4529.57226022826</v>
      </c>
      <c r="F31" s="12" t="n">
        <f aca="false">Исх_данные!$I$129</f>
        <v>380484.069859174</v>
      </c>
      <c r="G31" s="12" t="n">
        <f aca="false">F31*Исх_данные!$E$17</f>
        <v>45658.0883831009</v>
      </c>
    </row>
    <row r="32" customFormat="false" ht="15" hidden="false" customHeight="false" outlineLevel="0" collapsed="false">
      <c r="B32" s="19" t="s">
        <v>336</v>
      </c>
      <c r="C32" s="61" t="n">
        <f aca="false">Исх_данные!$I$130</f>
        <v>2</v>
      </c>
      <c r="D32" s="12" t="s">
        <v>320</v>
      </c>
      <c r="E32" s="12" t="n">
        <f aca="false">IFERROR(F32/C32/12,0)</f>
        <v>9477.05507968587</v>
      </c>
      <c r="F32" s="12" t="n">
        <f aca="false">Исх_данные!$I$132</f>
        <v>227449.321912461</v>
      </c>
      <c r="G32" s="12" t="n">
        <f aca="false">F32*Исх_данные!$E$17</f>
        <v>27293.9186294953</v>
      </c>
    </row>
    <row r="33" customFormat="false" ht="15" hidden="false" customHeight="false" outlineLevel="0" collapsed="false">
      <c r="B33" s="19" t="s">
        <v>337</v>
      </c>
      <c r="C33" s="61" t="n">
        <f aca="false">Исх_данные!$I$169</f>
        <v>20</v>
      </c>
      <c r="D33" s="12" t="s">
        <v>320</v>
      </c>
      <c r="E33" s="12" t="n">
        <f aca="false">IFERROR(F33/C33/12,0)</f>
        <v>792.575142080872</v>
      </c>
      <c r="F33" s="12" t="n">
        <f aca="false">Исх_данные!$I$171</f>
        <v>190218.034099409</v>
      </c>
      <c r="G33" s="12" t="n">
        <f aca="false">F33*Исх_данные!$E$17</f>
        <v>22826.1640919291</v>
      </c>
    </row>
    <row r="34" customFormat="false" ht="15" hidden="false" customHeight="false" outlineLevel="0" collapsed="false">
      <c r="B34" s="19" t="s">
        <v>338</v>
      </c>
      <c r="C34" s="61" t="n">
        <f aca="false">Исх_данные!$I$175</f>
        <v>6</v>
      </c>
      <c r="D34" s="12" t="s">
        <v>320</v>
      </c>
      <c r="E34" s="12" t="n">
        <f aca="false">IFERROR(F34/C34/12,0)</f>
        <v>2388.06745063513</v>
      </c>
      <c r="F34" s="12" t="n">
        <f aca="false">Исх_данные!$I$177</f>
        <v>171940.856445729</v>
      </c>
      <c r="G34" s="12" t="n">
        <f aca="false">F34*Исх_данные!$E$17</f>
        <v>20632.9027734875</v>
      </c>
    </row>
    <row r="35" customFormat="false" ht="15" hidden="false" customHeight="false" outlineLevel="0" collapsed="false">
      <c r="B35" s="19" t="s">
        <v>339</v>
      </c>
      <c r="C35" s="61" t="n">
        <f aca="false">Исх_данные!$I$178</f>
        <v>15</v>
      </c>
      <c r="D35" s="12" t="s">
        <v>320</v>
      </c>
      <c r="E35" s="12" t="n">
        <f aca="false">IFERROR(F35/C35/12,0)</f>
        <v>1624.63801366044</v>
      </c>
      <c r="F35" s="12" t="n">
        <f aca="false">Исх_данные!$I$180</f>
        <v>292434.842458879</v>
      </c>
      <c r="G35" s="12" t="n">
        <f aca="false">F35*Исх_данные!$E$17</f>
        <v>35092.1810950654</v>
      </c>
    </row>
    <row r="36" customFormat="false" ht="15" hidden="false" customHeight="false" outlineLevel="0" collapsed="false">
      <c r="B36" s="19" t="s">
        <v>340</v>
      </c>
      <c r="C36" s="61" t="n">
        <f aca="false">Исх_данные!$I$181</f>
        <v>1</v>
      </c>
      <c r="D36" s="12" t="s">
        <v>320</v>
      </c>
      <c r="E36" s="12" t="n">
        <f aca="false">IFERROR(F36/C36/12,0)</f>
        <v>7446.25756261033</v>
      </c>
      <c r="F36" s="12" t="n">
        <f aca="false">Исх_данные!$I$183</f>
        <v>89355.0907513239</v>
      </c>
      <c r="G36" s="12" t="n">
        <f aca="false">F36*Исх_данные!$E$17</f>
        <v>10722.6108901589</v>
      </c>
    </row>
    <row r="37" customFormat="false" ht="15" hidden="false" customHeight="false" outlineLevel="0" collapsed="false">
      <c r="B37" s="19" t="s">
        <v>341</v>
      </c>
      <c r="C37" s="61" t="n">
        <f aca="false">Исх_данные!$I$184</f>
        <v>4</v>
      </c>
      <c r="D37" s="12" t="s">
        <v>320</v>
      </c>
      <c r="E37" s="12" t="n">
        <f aca="false">IFERROR(F37/C37/12,0)</f>
        <v>3384.66252845924</v>
      </c>
      <c r="F37" s="12" t="n">
        <f aca="false">Исх_данные!$I$186</f>
        <v>162463.801366044</v>
      </c>
      <c r="G37" s="12" t="n">
        <f aca="false">F37*Исх_данные!$E$17</f>
        <v>19495.6561639252</v>
      </c>
    </row>
    <row r="38" customFormat="false" ht="15" hidden="false" customHeight="false" outlineLevel="0" collapsed="false">
      <c r="B38" s="19" t="s">
        <v>342</v>
      </c>
      <c r="C38" s="61" t="n">
        <f aca="false">Исх_данные!$I$187</f>
        <v>2</v>
      </c>
      <c r="D38" s="12" t="s">
        <v>320</v>
      </c>
      <c r="E38" s="12" t="n">
        <f aca="false">IFERROR(F38/C38/12,0)</f>
        <v>3384.66252845924</v>
      </c>
      <c r="F38" s="12" t="n">
        <f aca="false">Исх_данные!$I$189</f>
        <v>81231.9006830218</v>
      </c>
      <c r="G38" s="12" t="n">
        <f aca="false">F38*Исх_данные!$E$17</f>
        <v>9747.82808196261</v>
      </c>
    </row>
    <row r="39" customFormat="false" ht="23.85" hidden="false" customHeight="false" outlineLevel="0" collapsed="false">
      <c r="B39" s="19" t="s">
        <v>343</v>
      </c>
      <c r="C39" s="61" t="n">
        <f aca="false">Исх_данные!$I$190</f>
        <v>2</v>
      </c>
      <c r="D39" s="12" t="s">
        <v>320</v>
      </c>
      <c r="E39" s="12" t="n">
        <f aca="false">IFERROR(F39/C39/12,0)</f>
        <v>3102.6073177543</v>
      </c>
      <c r="F39" s="12" t="n">
        <f aca="false">Исх_данные!$I$192</f>
        <v>74462.5756261033</v>
      </c>
      <c r="G39" s="12" t="n">
        <f aca="false">F39*Исх_данные!$E$17</f>
        <v>8935.50907513239</v>
      </c>
    </row>
    <row r="40" customFormat="false" ht="15" hidden="false" customHeight="false" outlineLevel="0" collapsed="false">
      <c r="B40" s="26" t="s">
        <v>171</v>
      </c>
      <c r="C40" s="65" t="n">
        <f aca="false">SUM(C31:C39)</f>
        <v>59</v>
      </c>
      <c r="F40" s="22" t="n">
        <f aca="false">SUM(F31:F39)</f>
        <v>1670040.49320214</v>
      </c>
      <c r="G40" s="22" t="n">
        <f aca="false">SUM(G31:G39)</f>
        <v>200404.859184257</v>
      </c>
    </row>
    <row r="41" customFormat="false" ht="15" hidden="false" customHeight="false" outlineLevel="0" collapsed="false">
      <c r="B41" s="10" t="s">
        <v>333</v>
      </c>
      <c r="F41" s="48" t="n">
        <f aca="false">F40+G40</f>
        <v>1870445.3523864</v>
      </c>
    </row>
    <row r="43" customFormat="false" ht="15" hidden="false" customHeight="false" outlineLevel="0" collapsed="false">
      <c r="B43" s="14" t="s">
        <v>344</v>
      </c>
      <c r="C43" s="66" t="n">
        <f aca="false">C27+C40</f>
        <v>336</v>
      </c>
      <c r="F43" s="15" t="n">
        <f aca="false">F28+F41</f>
        <v>9116980.74851741</v>
      </c>
    </row>
    <row r="44" customFormat="false" ht="15" hidden="false" customHeight="false" outlineLevel="0" collapsed="false">
      <c r="B44" s="3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346</v>
      </c>
      <c r="K2" s="51" t="s">
        <v>347</v>
      </c>
    </row>
    <row r="4" customFormat="false" ht="30" hidden="false" customHeight="true" outlineLevel="0" collapsed="false">
      <c r="B4" s="17" t="s">
        <v>42</v>
      </c>
      <c r="C4" s="18" t="s">
        <v>348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0" t="s">
        <v>349</v>
      </c>
      <c r="C6" s="60"/>
      <c r="D6" s="48" t="n">
        <f aca="false">SUM(D7:D11)</f>
        <v>2645218.11365851</v>
      </c>
      <c r="E6" s="48" t="n">
        <f aca="false">SUM(E7:E11)</f>
        <v>5054797.78894676</v>
      </c>
      <c r="F6" s="48" t="n">
        <f aca="false">SUM(F7:F11)</f>
        <v>5697206.12593018</v>
      </c>
      <c r="G6" s="48" t="n">
        <f aca="false">SUM(G7:G11)</f>
        <v>31217663.9684627</v>
      </c>
      <c r="H6" s="48" t="n">
        <f aca="false">SUM(H7:H11)</f>
        <v>30431174.8968923</v>
      </c>
      <c r="I6" s="48" t="n">
        <f aca="false">SUM(I7:I11)</f>
        <v>31140701.2645347</v>
      </c>
      <c r="J6" s="48" t="n">
        <f aca="false">SUM(J7:J11)</f>
        <v>31903723.4271862</v>
      </c>
      <c r="K6" s="48" t="n">
        <f aca="false">SUM(K7:K11)</f>
        <v>138090485.585611</v>
      </c>
    </row>
    <row r="7" customFormat="false" ht="15" hidden="false" customHeight="false" outlineLevel="0" collapsed="false">
      <c r="B7" s="19" t="s">
        <v>350</v>
      </c>
      <c r="C7" s="20" t="s">
        <v>351</v>
      </c>
      <c r="D7" s="12" t="n">
        <f aca="false">CostSold!D34</f>
        <v>68379.6296296296</v>
      </c>
      <c r="E7" s="12" t="n">
        <f aca="false">CostSold!E34</f>
        <v>357777.777777778</v>
      </c>
      <c r="F7" s="12" t="n">
        <f aca="false">CostSold!F34</f>
        <v>311111.111111111</v>
      </c>
      <c r="G7" s="12" t="n">
        <f aca="false">CostSold!G34</f>
        <v>264444.444444444</v>
      </c>
      <c r="H7" s="12" t="n">
        <f aca="false">CostSold!H34</f>
        <v>217777.777777778</v>
      </c>
      <c r="I7" s="12" t="n">
        <f aca="false">CostSold!I34</f>
        <v>171111.111111111</v>
      </c>
      <c r="J7" s="12" t="n">
        <f aca="false">CostSold!J34</f>
        <v>124444.444444444</v>
      </c>
      <c r="K7" s="12" t="n">
        <f aca="false">SUM(D7:J7)</f>
        <v>1515046.2962963</v>
      </c>
    </row>
    <row r="8" customFormat="false" ht="15" hidden="false" customHeight="false" outlineLevel="0" collapsed="false">
      <c r="B8" s="19" t="s">
        <v>352</v>
      </c>
      <c r="C8" s="20"/>
      <c r="D8" s="12" t="n">
        <f aca="false">CostSold!D35</f>
        <v>1056000</v>
      </c>
      <c r="E8" s="12" t="n">
        <f aca="false">CostSold!E35</f>
        <v>1056000</v>
      </c>
      <c r="F8" s="12" t="n">
        <f aca="false">CostSold!F35</f>
        <v>1161600</v>
      </c>
      <c r="G8" s="12" t="n">
        <f aca="false">CostSold!G35</f>
        <v>1277760</v>
      </c>
      <c r="H8" s="12" t="n">
        <f aca="false">CostSold!H35</f>
        <v>1405536</v>
      </c>
      <c r="I8" s="12" t="n">
        <f aca="false">CostSold!I35</f>
        <v>1546089.6</v>
      </c>
      <c r="J8" s="12" t="n">
        <f aca="false">CostSold!J35</f>
        <v>1700698.56</v>
      </c>
      <c r="K8" s="12" t="n">
        <f aca="false">SUM(D8:J8)</f>
        <v>9203684.16</v>
      </c>
    </row>
    <row r="9" customFormat="false" ht="15" hidden="false" customHeight="false" outlineLevel="0" collapsed="false">
      <c r="B9" s="19" t="s">
        <v>353</v>
      </c>
      <c r="C9" s="20" t="s">
        <v>354</v>
      </c>
      <c r="D9" s="12" t="n">
        <f aca="false">CostSold!D36</f>
        <v>0</v>
      </c>
      <c r="E9" s="12" t="n">
        <f aca="false">CostSold!E36</f>
        <v>0</v>
      </c>
      <c r="F9" s="12" t="n">
        <f aca="false">CostSold!F36</f>
        <v>278098.881098766</v>
      </c>
      <c r="G9" s="12" t="n">
        <f aca="false">CostSold!G36</f>
        <v>24815738.4503694</v>
      </c>
      <c r="H9" s="12" t="n">
        <f aca="false">CostSold!H36</f>
        <v>23994433.7375939</v>
      </c>
      <c r="I9" s="12" t="n">
        <f aca="false">CostSold!I36</f>
        <v>24506773.9373385</v>
      </c>
      <c r="J9" s="12" t="n">
        <f aca="false">CostSold!J36</f>
        <v>25053685.8211028</v>
      </c>
      <c r="K9" s="12" t="n">
        <f aca="false">SUM(D9:J9)</f>
        <v>98648730.8275033</v>
      </c>
    </row>
    <row r="10" customFormat="false" ht="15" hidden="false" customHeight="false" outlineLevel="0" collapsed="false">
      <c r="B10" s="19" t="s">
        <v>355</v>
      </c>
      <c r="C10" s="20"/>
      <c r="D10" s="12" t="n">
        <f aca="false">CostSold!D19</f>
        <v>758843.587778881</v>
      </c>
      <c r="E10" s="12" t="n">
        <f aca="false">CostSold!E19</f>
        <v>2705802.84564747</v>
      </c>
      <c r="F10" s="12" t="n">
        <f aca="false">CostSold!F19</f>
        <v>2990604.19055731</v>
      </c>
      <c r="G10" s="12" t="n">
        <f aca="false">CostSold!G19</f>
        <v>3882901.70773623</v>
      </c>
      <c r="H10" s="12" t="n">
        <f aca="false">CostSold!H19</f>
        <v>3815117.98955796</v>
      </c>
      <c r="I10" s="12" t="n">
        <f aca="false">CostSold!I19</f>
        <v>3896454.41749927</v>
      </c>
      <c r="J10" s="12" t="n">
        <f aca="false">CostSold!J19</f>
        <v>3982176.41468425</v>
      </c>
      <c r="K10" s="12" t="n">
        <f aca="false">SUM(D10:J10)</f>
        <v>22031901.1534614</v>
      </c>
    </row>
    <row r="11" customFormat="false" ht="23.85" hidden="false" customHeight="false" outlineLevel="0" collapsed="false">
      <c r="B11" s="19" t="s">
        <v>356</v>
      </c>
      <c r="C11" s="20" t="s">
        <v>357</v>
      </c>
      <c r="D11" s="12" t="n">
        <f aca="false">Исх_данные!$F$61+Исх_данные!$F$69-(Исх_данные!$F$129+Исх_данные!$F$132+Исх_данные!$F$171+Исх_данные!$F$177+Исх_данные!$F$180+Исх_данные!$F$183+Исх_данные!$F$186+Исх_данные!$F$189+Исх_данные!$F$192)</f>
        <v>761994.89625</v>
      </c>
      <c r="E11" s="12" t="n">
        <f aca="false">Исх_данные!$G$61+Исх_данные!$G$69-(Исх_данные!$G$129+Исх_данные!$G$132+Исх_данные!$G$171+Исх_данные!$G$177+Исх_данные!$G$180+Исх_данные!$G$183+Исх_данные!$G$186+Исх_данные!$G$189+Исх_данные!$G$192)</f>
        <v>935217.16552152</v>
      </c>
      <c r="F11" s="12" t="n">
        <f aca="false">Исх_данные!$H$61+Исх_данные!$H$69-(Исх_данные!$H$129+Исх_данные!$H$132+Исх_данные!$H$171+Исх_данные!$H$177+Исх_данные!$H$180+Исх_данные!$H$183+Исх_данные!$H$186+Исх_данные!$H$189+Исх_данные!$H$192)</f>
        <v>955791.943162993</v>
      </c>
      <c r="G11" s="12" t="n">
        <f aca="false">Исх_данные!$I$61+Исх_данные!$I$69-(Исх_данные!$I$129+Исх_данные!$I$132+Исх_данные!$I$171+Исх_данные!$I$177+Исх_данные!$I$180+Исх_данные!$I$183+Исх_данные!$I$186+Исх_данные!$I$189+Исх_данные!$I$192)</f>
        <v>976819.36591258</v>
      </c>
      <c r="H11" s="12" t="n">
        <f aca="false">Исх_данные!$J$61+Исх_данные!$J$69-(Исх_данные!$J$129+Исх_данные!$J$132+Исх_данные!$J$171+Исх_данные!$J$177+Исх_данные!$J$180+Исх_данные!$J$183+Исх_данные!$J$186+Исх_данные!$J$189+Исх_данные!$J$192)</f>
        <v>998309.391962657</v>
      </c>
      <c r="I11" s="12" t="n">
        <f aca="false">Исх_данные!$K$61+Исх_данные!$K$69-(Исх_данные!$K$129+Исх_данные!$K$132+Исх_данные!$K$171+Исх_данные!$K$177+Исх_данные!$K$180+Исх_данные!$K$183+Исх_данные!$K$186+Исх_данные!$K$189+Исх_данные!$K$192)</f>
        <v>1020272.19858583</v>
      </c>
      <c r="J11" s="12" t="n">
        <f aca="false">Исх_данные!$L$61+Исх_данные!$L$69-(Исх_данные!$L$129+Исх_данные!$L$132+Исх_данные!$L$171+Исх_данные!$L$177+Исх_данные!$L$180+Исх_данные!$L$183+Исх_данные!$L$186+Исх_данные!$L$189+Исх_данные!$L$192)</f>
        <v>1042718.18695472</v>
      </c>
      <c r="K11" s="12" t="n">
        <f aca="false">SUM(D11:J11)</f>
        <v>6691123.14835031</v>
      </c>
    </row>
    <row r="13" customFormat="false" ht="15" hidden="false" customHeight="false" outlineLevel="0" collapsed="false">
      <c r="B13" s="10" t="s">
        <v>358</v>
      </c>
      <c r="C13" s="60"/>
      <c r="D13" s="48" t="n">
        <f aca="false">D14+D15</f>
        <v>2755630.63161571</v>
      </c>
      <c r="E13" s="48" t="n">
        <f aca="false">E14+E15</f>
        <v>28793255.2691047</v>
      </c>
      <c r="F13" s="48" t="n">
        <f aca="false">F14+F15</f>
        <v>31422949.131229</v>
      </c>
      <c r="G13" s="48" t="n">
        <f aca="false">G14+G15</f>
        <v>38181094.9729691</v>
      </c>
      <c r="H13" s="48" t="n">
        <f aca="false">H14+H15</f>
        <v>37119706.0466395</v>
      </c>
      <c r="I13" s="48" t="n">
        <f aca="false">I14+I15</f>
        <v>38011590.2583569</v>
      </c>
      <c r="J13" s="48" t="n">
        <f aca="false">J14+J15</f>
        <v>38952362.9125462</v>
      </c>
      <c r="K13" s="48" t="n">
        <f aca="false">K14+K15</f>
        <v>215236589.222461</v>
      </c>
    </row>
    <row r="14" customFormat="false" ht="15" hidden="false" customHeight="false" outlineLevel="0" collapsed="false">
      <c r="B14" s="19" t="s">
        <v>359</v>
      </c>
      <c r="C14" s="20" t="s">
        <v>360</v>
      </c>
      <c r="D14" s="12" t="n">
        <f aca="false">ProfLoss!D21</f>
        <v>2755630.63161571</v>
      </c>
      <c r="E14" s="12" t="n">
        <f aca="false">ProfLoss!E21</f>
        <v>18677916.0826966</v>
      </c>
      <c r="F14" s="12" t="n">
        <f aca="false">ProfLoss!F21</f>
        <v>20568512.411928</v>
      </c>
      <c r="G14" s="12" t="n">
        <f aca="false">ProfLoss!G21</f>
        <v>24165831.5471159</v>
      </c>
      <c r="H14" s="12" t="n">
        <f aca="false">ProfLoss!H21</f>
        <v>23471278.3786168</v>
      </c>
      <c r="I14" s="12" t="n">
        <f aca="false">ProfLoss!I21</f>
        <v>24070675.2237137</v>
      </c>
      <c r="J14" s="12" t="n">
        <f aca="false">ProfLoss!J21</f>
        <v>24701021.5757122</v>
      </c>
      <c r="K14" s="12" t="n">
        <f aca="false">SUM(D14:J14)</f>
        <v>138410865.851399</v>
      </c>
    </row>
    <row r="15" customFormat="false" ht="23.85" hidden="false" customHeight="false" outlineLevel="0" collapsed="false">
      <c r="B15" s="19" t="s">
        <v>361</v>
      </c>
      <c r="C15" s="20" t="s">
        <v>357</v>
      </c>
      <c r="D15" s="12" t="n">
        <f aca="false">MAX(0,D22)</f>
        <v>0</v>
      </c>
      <c r="E15" s="12" t="n">
        <f aca="false">MAX(0,E22)</f>
        <v>10115339.1864081</v>
      </c>
      <c r="F15" s="12" t="n">
        <f aca="false">MAX(0,F22)</f>
        <v>10854436.719301</v>
      </c>
      <c r="G15" s="12" t="n">
        <f aca="false">MAX(0,G22)</f>
        <v>14015263.4258532</v>
      </c>
      <c r="H15" s="12" t="n">
        <f aca="false">MAX(0,H22)</f>
        <v>13648427.6680227</v>
      </c>
      <c r="I15" s="12" t="n">
        <f aca="false">MAX(0,I22)</f>
        <v>13940915.0346432</v>
      </c>
      <c r="J15" s="12" t="n">
        <f aca="false">MAX(0,J22)</f>
        <v>14251341.336834</v>
      </c>
      <c r="K15" s="12" t="n">
        <f aca="false">SUM(D15:J15)</f>
        <v>76825723.3710623</v>
      </c>
    </row>
    <row r="16" customFormat="false" ht="15" hidden="false" customHeight="false" outlineLevel="0" collapsed="false">
      <c r="B16" s="34" t="s">
        <v>362</v>
      </c>
      <c r="C16" s="63"/>
      <c r="D16" s="15" t="n">
        <f aca="false">D6+D13</f>
        <v>5400848.74527422</v>
      </c>
      <c r="E16" s="15" t="n">
        <f aca="false">E6+E13</f>
        <v>33848053.0580514</v>
      </c>
      <c r="F16" s="15" t="n">
        <f aca="false">F6+F13</f>
        <v>37120155.2571592</v>
      </c>
      <c r="G16" s="15" t="n">
        <f aca="false">G6+G13</f>
        <v>69398758.9414318</v>
      </c>
      <c r="H16" s="15" t="n">
        <f aca="false">H6+H13</f>
        <v>67550880.9435317</v>
      </c>
      <c r="I16" s="15" t="n">
        <f aca="false">I6+I13</f>
        <v>69152291.5228916</v>
      </c>
      <c r="J16" s="15" t="n">
        <f aca="false">J6+J13</f>
        <v>70856086.3397324</v>
      </c>
      <c r="K16" s="15" t="n">
        <f aca="false">SUM(D16:J16)</f>
        <v>353327074.808072</v>
      </c>
    </row>
    <row r="18" customFormat="false" ht="15" hidden="false" customHeight="false" outlineLevel="0" collapsed="false">
      <c r="B18" s="33" t="s">
        <v>363</v>
      </c>
    </row>
    <row r="19" customFormat="false" ht="15" hidden="false" customHeight="false" outlineLevel="0" collapsed="false">
      <c r="B19" s="19" t="s">
        <v>364</v>
      </c>
      <c r="C19" s="20"/>
      <c r="D19" s="12" t="n">
        <f aca="false">Исх_данные!$F$77</f>
        <v>3372638.16790614</v>
      </c>
      <c r="E19" s="12" t="n">
        <f aca="false">Исх_данные!$G$77</f>
        <v>12025790.4250999</v>
      </c>
      <c r="F19" s="12" t="n">
        <f aca="false">Исх_данные!$H$77</f>
        <v>13291574.1802547</v>
      </c>
      <c r="G19" s="12" t="n">
        <f aca="false">Исх_данные!$I$77</f>
        <v>17257340.9232721</v>
      </c>
      <c r="H19" s="12" t="n">
        <f aca="false">Исх_данные!$J$77</f>
        <v>16956079.953591</v>
      </c>
      <c r="I19" s="12" t="n">
        <f aca="false">Исх_данные!$K$77</f>
        <v>17317575.1888856</v>
      </c>
      <c r="J19" s="12" t="n">
        <f aca="false">Исх_данные!$L$77</f>
        <v>17698561.8430411</v>
      </c>
      <c r="K19" s="12" t="n">
        <f aca="false">SUM(D19:J19)</f>
        <v>97919560.6820505</v>
      </c>
    </row>
    <row r="20" customFormat="false" ht="15" hidden="false" customHeight="false" outlineLevel="0" collapsed="false">
      <c r="B20" s="19" t="s">
        <v>365</v>
      </c>
      <c r="C20" s="20"/>
      <c r="D20" s="12" t="n">
        <f aca="false">Исх_данные!$F$78</f>
        <v>463843.005666544</v>
      </c>
      <c r="E20" s="12" t="n">
        <f aca="false">Исх_данные!$G$78</f>
        <v>1741079.81012034</v>
      </c>
      <c r="F20" s="12" t="n">
        <f aca="false">Исх_данные!$H$78</f>
        <v>2267766.03238226</v>
      </c>
      <c r="G20" s="12" t="n">
        <f aca="false">Исх_данные!$I$78</f>
        <v>3072706.06884744</v>
      </c>
      <c r="H20" s="12" t="n">
        <f aca="false">Исх_данные!$J$78</f>
        <v>3138280.85699681</v>
      </c>
      <c r="I20" s="12" t="n">
        <f aca="false">Исх_данные!$K$78</f>
        <v>3207288.72567097</v>
      </c>
      <c r="J20" s="12" t="n">
        <f aca="false">Исх_данные!$L$78</f>
        <v>3277849.07763573</v>
      </c>
      <c r="K20" s="12" t="n">
        <f aca="false">SUM(D20:J20)</f>
        <v>17168813.5773201</v>
      </c>
    </row>
    <row r="21" customFormat="false" ht="15" hidden="false" customHeight="false" outlineLevel="0" collapsed="false">
      <c r="B21" s="19" t="s">
        <v>366</v>
      </c>
      <c r="C21" s="20"/>
      <c r="D21" s="12" t="n">
        <f aca="false">Исх_данные!$F$79+Исх_данные!$E$79</f>
        <v>16993600</v>
      </c>
      <c r="E21" s="12" t="n">
        <f aca="false">Исх_данные!$G$79</f>
        <v>169371.428571429</v>
      </c>
      <c r="F21" s="12" t="n">
        <f aca="false">Исх_данные!$H$79</f>
        <v>169371.428571429</v>
      </c>
      <c r="G21" s="12" t="n">
        <f aca="false">Исх_данные!$I$79</f>
        <v>169371.428571429</v>
      </c>
      <c r="H21" s="12" t="n">
        <f aca="false">Исх_данные!$J$79</f>
        <v>169371.428571429</v>
      </c>
      <c r="I21" s="12" t="n">
        <f aca="false">Исх_данные!$K$79</f>
        <v>169371.428571429</v>
      </c>
      <c r="J21" s="12" t="n">
        <f aca="false">Исх_данные!$L$79</f>
        <v>169371.428571429</v>
      </c>
      <c r="K21" s="12" t="n">
        <f aca="false">SUM(D21:J21)</f>
        <v>18009828.5714286</v>
      </c>
    </row>
    <row r="22" customFormat="false" ht="15" hidden="false" customHeight="false" outlineLevel="0" collapsed="false">
      <c r="B22" s="62" t="s">
        <v>367</v>
      </c>
      <c r="C22" s="20"/>
      <c r="D22" s="22" t="n">
        <f aca="false">D19-D20-D21</f>
        <v>-14084804.8377604</v>
      </c>
      <c r="E22" s="22" t="n">
        <f aca="false">E19-E20-E21</f>
        <v>10115339.1864081</v>
      </c>
      <c r="F22" s="22" t="n">
        <f aca="false">F19-F20-F21</f>
        <v>10854436.719301</v>
      </c>
      <c r="G22" s="22" t="n">
        <f aca="false">G19-G20-G21</f>
        <v>14015263.4258532</v>
      </c>
      <c r="H22" s="22" t="n">
        <f aca="false">H19-H20-H21</f>
        <v>13648427.6680227</v>
      </c>
      <c r="I22" s="22" t="n">
        <f aca="false">I19-I20-I21</f>
        <v>13940915.0346432</v>
      </c>
      <c r="J22" s="22" t="n">
        <f aca="false">J19-J20-J21</f>
        <v>14251341.336834</v>
      </c>
      <c r="K22" s="22" t="n">
        <f aca="false">SUM(D22:J22)</f>
        <v>62740918.5333018</v>
      </c>
    </row>
    <row r="24" customFormat="false" ht="15" hidden="false" customHeight="false" outlineLevel="0" collapsed="false">
      <c r="B24" s="33" t="s">
        <v>368</v>
      </c>
    </row>
    <row r="25" customFormat="false" ht="15" hidden="false" customHeight="false" outlineLevel="0" collapsed="false">
      <c r="B25" s="19" t="s">
        <v>369</v>
      </c>
      <c r="C25" s="20"/>
      <c r="D25" s="12" t="n">
        <f aca="false">Исх_данные!$F$46</f>
        <v>7117339.91491866</v>
      </c>
      <c r="E25" s="12" t="n">
        <f aca="false">Исх_данные!$G$46</f>
        <v>43788753.1356777</v>
      </c>
      <c r="F25" s="12" t="n">
        <f aca="false">Исх_данные!$H$46</f>
        <v>48952236.0631159</v>
      </c>
      <c r="G25" s="12" t="n">
        <f aca="false">Исх_данные!$I$46</f>
        <v>48872231.1408076</v>
      </c>
      <c r="H25" s="12" t="n">
        <f aca="false">Исх_данные!$J$46</f>
        <v>47004626.0135153</v>
      </c>
      <c r="I25" s="12" t="n">
        <f aca="false">Исх_данные!$K$46</f>
        <v>49599561.9709825</v>
      </c>
      <c r="J25" s="12" t="n">
        <f aca="false">Исх_данные!$L$46</f>
        <v>52272979.2261434</v>
      </c>
      <c r="K25" s="12" t="n">
        <f aca="false">SUM(D25:J25)</f>
        <v>297607727.465161</v>
      </c>
    </row>
    <row r="26" customFormat="false" ht="23.85" hidden="false" customHeight="false" outlineLevel="0" collapsed="false">
      <c r="B26" s="19" t="s">
        <v>370</v>
      </c>
      <c r="C26" s="20"/>
      <c r="D26" s="12" t="n">
        <f aca="false">Исх_данные!$F$47</f>
        <v>2548689.04268218</v>
      </c>
      <c r="E26" s="12" t="n">
        <f aca="false">Исх_данные!$G$47</f>
        <v>17908422.3624414</v>
      </c>
      <c r="F26" s="12" t="n">
        <f aca="false">Исх_данные!$H$47</f>
        <v>19876556.6759357</v>
      </c>
      <c r="G26" s="12" t="n">
        <f aca="false">Исх_данные!$I$47</f>
        <v>23604204.4013997</v>
      </c>
      <c r="H26" s="12" t="n">
        <f aca="false">Исх_данные!$J$47</f>
        <v>23039979.8231767</v>
      </c>
      <c r="I26" s="12" t="n">
        <f aca="false">Исх_данные!$K$47</f>
        <v>23770103.8816579</v>
      </c>
      <c r="J26" s="12" t="n">
        <f aca="false">Исх_данные!$L$47</f>
        <v>24530380.2008243</v>
      </c>
      <c r="K26" s="12" t="n">
        <f aca="false">SUM(D26:J26)</f>
        <v>135278336.388118</v>
      </c>
    </row>
    <row r="27" customFormat="false" ht="15" hidden="false" customHeight="false" outlineLevel="0" collapsed="false">
      <c r="B27" s="19" t="s">
        <v>371</v>
      </c>
      <c r="C27" s="20"/>
      <c r="D27" s="12" t="n">
        <f aca="false">ProfLoss!D20</f>
        <v>9876561.10069902</v>
      </c>
      <c r="E27" s="12" t="n">
        <f aca="false">ProfLoss!E20</f>
        <v>48918711.2707121</v>
      </c>
      <c r="F27" s="12" t="n">
        <f aca="false">ProfLoss!F20</f>
        <v>53565274.3030647</v>
      </c>
      <c r="G27" s="12" t="n">
        <f aca="false">ProfLoss!G20</f>
        <v>52616412.112249</v>
      </c>
      <c r="H27" s="12" t="n">
        <f aca="false">ProfLoss!H20</f>
        <v>49879949.7164494</v>
      </c>
      <c r="I27" s="12" t="n">
        <f aca="false">ProfLoss!I20</f>
        <v>51603370.9180209</v>
      </c>
      <c r="J27" s="12" t="n">
        <f aca="false">ProfLoss!J20</f>
        <v>53410588.3920628</v>
      </c>
      <c r="K27" s="12" t="n">
        <f aca="false">SUM(D27:J27)</f>
        <v>319870867.813258</v>
      </c>
    </row>
    <row r="28" customFormat="false" ht="15" hidden="false" customHeight="false" outlineLevel="0" collapsed="false">
      <c r="B28" s="19" t="s">
        <v>372</v>
      </c>
      <c r="C28" s="20" t="s">
        <v>262</v>
      </c>
      <c r="D28" s="13" t="n">
        <f aca="false">Исх_данные!$F$25</f>
        <v>0.075</v>
      </c>
      <c r="E28" s="13" t="n">
        <f aca="false">Исх_данные!$G$25</f>
        <v>0.15</v>
      </c>
      <c r="F28" s="13" t="n">
        <f aca="false">Исх_данные!$H$25</f>
        <v>0.15</v>
      </c>
      <c r="G28" s="13" t="n">
        <f aca="false">Исх_данные!$I$25</f>
        <v>0.15</v>
      </c>
      <c r="H28" s="13" t="n">
        <f aca="false">Исх_данные!$J$25</f>
        <v>0.15</v>
      </c>
      <c r="I28" s="13" t="n">
        <f aca="false">Исх_данные!$K$25</f>
        <v>0.15</v>
      </c>
      <c r="J28" s="13" t="n">
        <f aca="false">Исх_данные!$L$25</f>
        <v>0.15</v>
      </c>
    </row>
    <row r="29" customFormat="false" ht="23.85" hidden="false" customHeight="false" outlineLevel="0" collapsed="false">
      <c r="B29" s="62" t="s">
        <v>373</v>
      </c>
      <c r="C29" s="20"/>
      <c r="D29" s="22" t="n">
        <f aca="false">D26+D28*(D27-D25)</f>
        <v>2755630.63161571</v>
      </c>
      <c r="E29" s="22" t="n">
        <f aca="false">E26+E28*(E27-E25)</f>
        <v>18677916.0826966</v>
      </c>
      <c r="F29" s="22" t="n">
        <f aca="false">F26+F28*(F27-F25)</f>
        <v>20568512.411928</v>
      </c>
      <c r="G29" s="22" t="n">
        <f aca="false">G26+G28*(G27-G25)</f>
        <v>24165831.5471159</v>
      </c>
      <c r="H29" s="22" t="n">
        <f aca="false">H26+H28*(H27-H25)</f>
        <v>23471278.3786168</v>
      </c>
      <c r="I29" s="22" t="n">
        <f aca="false">I26+I28*(I27-I25)</f>
        <v>24070675.2237137</v>
      </c>
      <c r="J29" s="22" t="n">
        <f aca="false">J26+J28*(J27-J25)</f>
        <v>24701021.5757122</v>
      </c>
      <c r="K29" s="22" t="n">
        <f aca="false">SUM(D29:J29)</f>
        <v>138410865.851399</v>
      </c>
    </row>
    <row r="30" customFormat="false" ht="15" hidden="false" customHeight="false" outlineLevel="0" collapsed="false">
      <c r="B30" s="3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7" min="6" style="0" width="16"/>
    <col collapsed="false" customWidth="true" hidden="false" outlineLevel="0" max="8" min="8" style="0" width="12"/>
  </cols>
  <sheetData>
    <row r="2" customFormat="false" ht="15" hidden="false" customHeight="false" outlineLevel="0" collapsed="false">
      <c r="B2" s="2" t="s">
        <v>375</v>
      </c>
      <c r="H2" s="51" t="s">
        <v>376</v>
      </c>
    </row>
    <row r="3" customFormat="false" ht="15" hidden="false" customHeight="false" outlineLevel="0" collapsed="false">
      <c r="B3" s="52" t="s">
        <v>377</v>
      </c>
    </row>
    <row r="5" customFormat="false" ht="42" hidden="false" customHeight="true" outlineLevel="0" collapsed="false">
      <c r="B5" s="18" t="s">
        <v>378</v>
      </c>
      <c r="C5" s="18" t="s">
        <v>379</v>
      </c>
      <c r="D5" s="18" t="s">
        <v>380</v>
      </c>
      <c r="E5" s="18" t="s">
        <v>381</v>
      </c>
      <c r="F5" s="18" t="s">
        <v>382</v>
      </c>
      <c r="G5" s="18" t="s">
        <v>383</v>
      </c>
    </row>
    <row r="6" customFormat="false" ht="15" hidden="false" customHeight="false" outlineLevel="0" collapsed="false">
      <c r="B6" s="26" t="s">
        <v>384</v>
      </c>
      <c r="C6" s="22" t="n">
        <f aca="false">C7+C8</f>
        <v>31539798.67276</v>
      </c>
      <c r="D6" s="23" t="n">
        <f aca="false">IFERROR(F6/C6,0)</f>
        <v>0</v>
      </c>
      <c r="E6" s="23" t="n">
        <f aca="false">IFERROR(G6/C6,0)</f>
        <v>1</v>
      </c>
      <c r="F6" s="22" t="n">
        <f aca="false">F7+F8</f>
        <v>0</v>
      </c>
      <c r="G6" s="22" t="n">
        <f aca="false">G7+G8</f>
        <v>31539798.67276</v>
      </c>
    </row>
    <row r="7" customFormat="false" ht="15" hidden="false" customHeight="false" outlineLevel="0" collapsed="false">
      <c r="B7" s="6" t="s">
        <v>385</v>
      </c>
      <c r="C7" s="12" t="n">
        <f aca="false">F7+G7</f>
        <v>31481817.9918241</v>
      </c>
      <c r="D7" s="13" t="n">
        <f aca="false">IFERROR(F7/C7,0)</f>
        <v>0</v>
      </c>
      <c r="E7" s="13" t="n">
        <f aca="false">IFERROR(G7/C7,0)</f>
        <v>1</v>
      </c>
      <c r="F7" s="12" t="s">
        <v>386</v>
      </c>
      <c r="G7" s="12" t="n">
        <f aca="false">Исх_данные!$I$119+Исх_данные!$I$121+Исх_данные!$I$123</f>
        <v>31481817.9918241</v>
      </c>
    </row>
    <row r="8" customFormat="false" ht="15" hidden="false" customHeight="false" outlineLevel="0" collapsed="false">
      <c r="B8" s="6" t="s">
        <v>387</v>
      </c>
      <c r="C8" s="12" t="n">
        <f aca="false">F8+G8</f>
        <v>57980.6809359462</v>
      </c>
      <c r="D8" s="13" t="n">
        <f aca="false">IFERROR(F8/C8,0)</f>
        <v>0</v>
      </c>
      <c r="E8" s="13" t="n">
        <f aca="false">IFERROR(G8/C8,0)</f>
        <v>1</v>
      </c>
      <c r="F8" s="12" t="n">
        <f aca="false">(Исх_данные!$I$55+Исх_данные!$I$56)-(0)-(0)</f>
        <v>0</v>
      </c>
      <c r="G8" s="12" t="n">
        <f aca="false">Исх_данные!$I$125</f>
        <v>57980.6809359462</v>
      </c>
    </row>
    <row r="9" customFormat="false" ht="15" hidden="false" customHeight="false" outlineLevel="0" collapsed="false">
      <c r="B9" s="26" t="s">
        <v>388</v>
      </c>
      <c r="C9" s="12" t="n">
        <f aca="false">F9+G9</f>
        <v>0</v>
      </c>
      <c r="D9" s="13" t="n">
        <f aca="false">IFERROR(F9/C9,0)</f>
        <v>0</v>
      </c>
      <c r="E9" s="13" t="n">
        <f aca="false">IFERROR(G9/C9,0)</f>
        <v>0</v>
      </c>
      <c r="F9" s="12" t="n">
        <f aca="false">(Исх_данные!$I$57+Исх_данные!$I$58+Исх_данные!$I$59)-(0)</f>
        <v>0</v>
      </c>
      <c r="G9" s="12" t="n">
        <f aca="false">0</f>
        <v>0</v>
      </c>
    </row>
    <row r="10" customFormat="false" ht="15" hidden="false" customHeight="false" outlineLevel="0" collapsed="false">
      <c r="B10" s="26" t="s">
        <v>389</v>
      </c>
      <c r="C10" s="12" t="n">
        <f aca="false">F10+G10</f>
        <v>7246535.39613101</v>
      </c>
      <c r="D10" s="13" t="n">
        <f aca="false">IFERROR(F10/C10,0)</f>
        <v>1</v>
      </c>
      <c r="E10" s="13" t="n">
        <f aca="false">IFERROR(G10/C10,0)</f>
        <v>0</v>
      </c>
      <c r="F10" s="12" t="n">
        <f aca="false">Исх_данные!$I$60+Исх_данные!$I$61</f>
        <v>7246535.39613101</v>
      </c>
      <c r="G10" s="12" t="s">
        <v>386</v>
      </c>
    </row>
    <row r="11" customFormat="false" ht="15" hidden="false" customHeight="false" outlineLevel="0" collapsed="false">
      <c r="B11" s="26" t="s">
        <v>390</v>
      </c>
      <c r="C11" s="12" t="n">
        <f aca="false">F11+G11</f>
        <v>1870445.3523864</v>
      </c>
      <c r="D11" s="13" t="n">
        <f aca="false">IFERROR(F11/C11,0)</f>
        <v>1</v>
      </c>
      <c r="E11" s="13" t="n">
        <f aca="false">IFERROR(G11/C11,0)</f>
        <v>0</v>
      </c>
      <c r="F11" s="12" t="n">
        <f aca="false">Исх_данные!$I$69</f>
        <v>1870445.3523864</v>
      </c>
      <c r="G11" s="12" t="s">
        <v>386</v>
      </c>
    </row>
    <row r="12" customFormat="false" ht="15" hidden="false" customHeight="false" outlineLevel="0" collapsed="false">
      <c r="B12" s="26" t="s">
        <v>391</v>
      </c>
      <c r="C12" s="12" t="n">
        <f aca="false">F12+G12</f>
        <v>0</v>
      </c>
      <c r="D12" s="13" t="n">
        <f aca="false">IFERROR(F12/C12,0)</f>
        <v>0</v>
      </c>
      <c r="E12" s="13" t="n">
        <f aca="false">IFERROR(G12/C12,0)</f>
        <v>0</v>
      </c>
      <c r="F12" s="12" t="n">
        <f aca="false">Исх_данные!$I$63-(0)</f>
        <v>0</v>
      </c>
      <c r="G12" s="12" t="s">
        <v>386</v>
      </c>
    </row>
    <row r="13" customFormat="false" ht="15" hidden="false" customHeight="false" outlineLevel="0" collapsed="false">
      <c r="B13" s="26" t="s">
        <v>392</v>
      </c>
      <c r="C13" s="12" t="n">
        <f aca="false">F13+G13</f>
        <v>467556.211067478</v>
      </c>
      <c r="D13" s="13" t="n">
        <f aca="false">IFERROR(F13/C13,0)</f>
        <v>1</v>
      </c>
      <c r="E13" s="13" t="n">
        <f aca="false">IFERROR(G13/C13,0)</f>
        <v>0</v>
      </c>
      <c r="F13" s="12" t="n">
        <f aca="false">Исх_данные!$I$64-(Исх_данные!$I$119+Исх_данные!$I$121+Исх_данные!$I$123+Исх_данные!$I$125)-Исх_данные!$I$66</f>
        <v>467556.211067478</v>
      </c>
      <c r="G13" s="12" t="s">
        <v>386</v>
      </c>
    </row>
    <row r="14" customFormat="false" ht="15" hidden="false" customHeight="false" outlineLevel="0" collapsed="false">
      <c r="B14" s="26" t="s">
        <v>303</v>
      </c>
      <c r="C14" s="12" t="n">
        <f aca="false">F14+G14</f>
        <v>3882901.70773623</v>
      </c>
      <c r="D14" s="13" t="n">
        <f aca="false">IFERROR(F14/C14,0)</f>
        <v>0</v>
      </c>
      <c r="E14" s="13" t="n">
        <f aca="false">IFERROR(G14/C14,0)</f>
        <v>1</v>
      </c>
      <c r="F14" s="12" t="s">
        <v>386</v>
      </c>
      <c r="G14" s="12" t="n">
        <f aca="false">Исх_данные!$I$66</f>
        <v>3882901.70773623</v>
      </c>
    </row>
    <row r="15" customFormat="false" ht="15" hidden="false" customHeight="false" outlineLevel="0" collapsed="false">
      <c r="B15" s="26" t="s">
        <v>393</v>
      </c>
      <c r="C15" s="12" t="n">
        <f aca="false">F15+G15</f>
        <v>0</v>
      </c>
      <c r="D15" s="13" t="n">
        <f aca="false">IFERROR(F15/C15,0)</f>
        <v>0</v>
      </c>
      <c r="E15" s="13" t="n">
        <f aca="false">IFERROR(G15/C15,0)</f>
        <v>0</v>
      </c>
      <c r="F15" s="12" t="n">
        <f aca="false">Исх_данные!$I$70</f>
        <v>0</v>
      </c>
      <c r="G15" s="12" t="n">
        <f aca="false">Исх_данные!$I$71-Исх_данные!$I$40</f>
        <v>0</v>
      </c>
    </row>
    <row r="16" customFormat="false" ht="15" hidden="false" customHeight="false" outlineLevel="0" collapsed="false">
      <c r="B16" s="26" t="s">
        <v>394</v>
      </c>
      <c r="C16" s="12" t="n">
        <f aca="false">F16+G16</f>
        <v>0</v>
      </c>
      <c r="D16" s="13" t="n">
        <f aca="false">IFERROR(F16/C16,0)</f>
        <v>0</v>
      </c>
      <c r="E16" s="13" t="n">
        <f aca="false">IFERROR(G16/C16,0)</f>
        <v>0</v>
      </c>
      <c r="F16" s="12" t="s">
        <v>386</v>
      </c>
      <c r="G16" s="12" t="n">
        <f aca="false">Исх_данные!$I$40</f>
        <v>-0</v>
      </c>
    </row>
    <row r="17" customFormat="false" ht="15" hidden="false" customHeight="false" outlineLevel="0" collapsed="false">
      <c r="B17" s="26" t="s">
        <v>395</v>
      </c>
      <c r="C17" s="12" t="n">
        <f aca="false">F17+G17</f>
        <v>1542204.44444444</v>
      </c>
      <c r="D17" s="13" t="n">
        <f aca="false">IFERROR(F17/C17,0)</f>
        <v>1</v>
      </c>
      <c r="E17" s="13" t="n">
        <f aca="false">IFERROR(G17/C17,0)</f>
        <v>0</v>
      </c>
      <c r="F17" s="12" t="n">
        <f aca="false">Исх_данные!$I$74+Исх_данные!$I$75</f>
        <v>1542204.44444444</v>
      </c>
      <c r="G17" s="12" t="s">
        <v>386</v>
      </c>
    </row>
    <row r="18" customFormat="false" ht="15" hidden="false" customHeight="false" outlineLevel="0" collapsed="false">
      <c r="B18" s="26" t="s">
        <v>396</v>
      </c>
      <c r="C18" s="12" t="n">
        <f aca="false">F18+G18</f>
        <v>24815738.4503694</v>
      </c>
      <c r="D18" s="13" t="n">
        <f aca="false">IFERROR(F18/C18,0)</f>
        <v>0</v>
      </c>
      <c r="E18" s="13" t="n">
        <f aca="false">IFERROR(G18/C18,0)</f>
        <v>1</v>
      </c>
      <c r="F18" s="12" t="s">
        <v>386</v>
      </c>
      <c r="G18" s="12" t="n">
        <f aca="false">Исх_данные!$I$76</f>
        <v>24815738.4503694</v>
      </c>
    </row>
    <row r="19" customFormat="false" ht="15" hidden="false" customHeight="false" outlineLevel="0" collapsed="false">
      <c r="B19" s="26" t="s">
        <v>397</v>
      </c>
      <c r="C19" s="12" t="n">
        <f aca="false">F19+G19</f>
        <v>2250361.86700406</v>
      </c>
      <c r="D19" s="13" t="n">
        <f aca="false">IFERROR(F19/C19,0)</f>
        <v>0</v>
      </c>
      <c r="E19" s="13" t="n">
        <f aca="false">IFERROR(G19/C19,0)</f>
        <v>1</v>
      </c>
      <c r="F19" s="12" t="s">
        <v>386</v>
      </c>
      <c r="G19" s="12" t="n">
        <f aca="false">Исх_данные!$I$73</f>
        <v>2250361.86700406</v>
      </c>
    </row>
    <row r="20" customFormat="false" ht="15" hidden="false" customHeight="false" outlineLevel="0" collapsed="false">
      <c r="B20" s="26" t="s">
        <v>398</v>
      </c>
      <c r="C20" s="12" t="n">
        <f aca="false">F20+G20</f>
        <v>0</v>
      </c>
      <c r="D20" s="13" t="n">
        <f aca="false">IFERROR(F20/C20,0)</f>
        <v>0</v>
      </c>
      <c r="E20" s="13" t="n">
        <f aca="false">IFERROR(G20/C20,0)</f>
        <v>0</v>
      </c>
      <c r="F20" s="12" t="n">
        <f aca="false">Исх_данные!$I$43-Исх_данные!$I$42-Исх_данные!$I$74-Исх_данные!$I$75-Исх_данные!$I$76-Исх_данные!$I$73</f>
        <v>0</v>
      </c>
      <c r="G20" s="12" t="s">
        <v>386</v>
      </c>
    </row>
    <row r="21" customFormat="false" ht="15" hidden="false" customHeight="false" outlineLevel="0" collapsed="false">
      <c r="B21" s="26" t="s">
        <v>399</v>
      </c>
      <c r="C21" s="12" t="n">
        <f aca="false">F21+G21</f>
        <v>16304839.2829399</v>
      </c>
      <c r="D21" s="13" t="n">
        <f aca="false">IFERROR(F21/C21,0)</f>
        <v>1</v>
      </c>
      <c r="E21" s="13" t="n">
        <f aca="false">IFERROR(G21/C21,0)</f>
        <v>0</v>
      </c>
      <c r="F21" s="12" t="n">
        <f aca="false">Depreciate!J19</f>
        <v>16304839.2829399</v>
      </c>
      <c r="G21" s="12" t="s">
        <v>386</v>
      </c>
    </row>
    <row r="22" customFormat="false" ht="15" hidden="false" customHeight="false" outlineLevel="0" collapsed="false">
      <c r="B22" s="14" t="s">
        <v>400</v>
      </c>
      <c r="C22" s="15" t="n">
        <f aca="false">SUM(C6:C21)-C6</f>
        <v>89920381.3848389</v>
      </c>
      <c r="D22" s="16" t="n">
        <f aca="false">IFERROR(F22/C22,0)</f>
        <v>0.305065217301161</v>
      </c>
      <c r="E22" s="16" t="n">
        <f aca="false">IFERROR(G22/C22,0)</f>
        <v>0.694934782698839</v>
      </c>
      <c r="F22" s="15" t="n">
        <f aca="false">SUM(F6:F21)-F6</f>
        <v>27431580.6869692</v>
      </c>
      <c r="G22" s="15" t="n">
        <f aca="false">SUM(G6:G21)-G6</f>
        <v>62488800.6978697</v>
      </c>
    </row>
    <row r="23" customFormat="false" ht="15" hidden="false" customHeight="false" outlineLevel="0" collapsed="false">
      <c r="B23" s="6" t="s">
        <v>401</v>
      </c>
      <c r="C23" s="12" t="n">
        <f aca="false">C22-C24</f>
        <v>46415500.3026738</v>
      </c>
    </row>
    <row r="24" customFormat="false" ht="15" hidden="false" customHeight="false" outlineLevel="0" collapsed="false">
      <c r="B24" s="6" t="s">
        <v>402</v>
      </c>
      <c r="C24" s="12" t="n">
        <f aca="false">Исх_данные!$I$52</f>
        <v>43504881.0821652</v>
      </c>
    </row>
    <row r="26" customFormat="false" ht="15" hidden="false" customHeight="false" outlineLevel="0" collapsed="false">
      <c r="B26" s="6" t="s">
        <v>403</v>
      </c>
      <c r="C26" s="12" t="n">
        <f aca="false">SalePlan!G14</f>
        <v>143811174.360601</v>
      </c>
    </row>
    <row r="27" customFormat="false" ht="15" hidden="false" customHeight="false" outlineLevel="0" collapsed="false">
      <c r="B27" s="6" t="s">
        <v>404</v>
      </c>
      <c r="C27" s="67" t="n">
        <f aca="false">IFERROR(C22/C26,0)</f>
        <v>0.625266998789448</v>
      </c>
    </row>
    <row r="28" customFormat="false" ht="15" hidden="false" customHeight="false" outlineLevel="0" collapsed="false">
      <c r="B28" s="6" t="s">
        <v>405</v>
      </c>
      <c r="C28" s="12" t="n">
        <f aca="false">IFERROR(C22/ProdPlan!G13,0)</f>
        <v>28071.3665606914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406</v>
      </c>
      <c r="K2" s="51" t="s">
        <v>407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9" t="s">
        <v>408</v>
      </c>
      <c r="C6" s="20" t="s">
        <v>262</v>
      </c>
      <c r="D6" s="13" t="n">
        <f aca="false">ProdPlan!D11</f>
        <v>0.157862951062778</v>
      </c>
      <c r="E6" s="13" t="n">
        <f aca="false">ProdPlan!E11</f>
        <v>0.555119953863899</v>
      </c>
      <c r="F6" s="13" t="n">
        <f aca="false">ProdPlan!F11</f>
        <v>0.600342004448838</v>
      </c>
      <c r="G6" s="13" t="n">
        <f aca="false">ProdPlan!G11</f>
        <v>0.762685157103037</v>
      </c>
      <c r="H6" s="13" t="n">
        <f aca="false">ProdPlan!H11</f>
        <v>0.733239707784094</v>
      </c>
      <c r="I6" s="13" t="n">
        <f aca="false">ProdPlan!I11</f>
        <v>0.73275148294612</v>
      </c>
      <c r="J6" s="13" t="n">
        <f aca="false">ProdPlan!J11</f>
        <v>0.73275148294612</v>
      </c>
      <c r="K6" s="13" t="n">
        <f aca="false">AVERAGE(D6:J6)</f>
        <v>0.610678962879269</v>
      </c>
    </row>
    <row r="8" customFormat="false" ht="15" hidden="false" customHeight="false" outlineLevel="0" collapsed="false">
      <c r="B8" s="33" t="s">
        <v>409</v>
      </c>
    </row>
    <row r="9" customFormat="false" ht="15" hidden="false" customHeight="false" outlineLevel="0" collapsed="false">
      <c r="B9" s="19" t="s">
        <v>410</v>
      </c>
      <c r="C9" s="20" t="s">
        <v>32</v>
      </c>
      <c r="D9" s="12" t="n">
        <f aca="false">Исх_данные!$F$55</f>
        <v>0</v>
      </c>
      <c r="E9" s="12" t="n">
        <f aca="false">Исх_данные!$G$55</f>
        <v>0</v>
      </c>
      <c r="F9" s="12" t="n">
        <f aca="false">Исх_данные!$H$55</f>
        <v>0</v>
      </c>
      <c r="G9" s="12" t="n">
        <f aca="false">Исх_данные!$I$55</f>
        <v>0</v>
      </c>
      <c r="H9" s="12" t="n">
        <f aca="false">Исх_данные!$J$55</f>
        <v>0</v>
      </c>
      <c r="I9" s="12" t="n">
        <f aca="false">Исх_данные!$K$55</f>
        <v>0</v>
      </c>
      <c r="J9" s="12" t="n">
        <f aca="false">Исх_данные!$L$55</f>
        <v>0</v>
      </c>
      <c r="K9" s="12" t="n">
        <f aca="false">SUM(D9:J9)</f>
        <v>0</v>
      </c>
    </row>
    <row r="10" customFormat="false" ht="15" hidden="false" customHeight="false" outlineLevel="0" collapsed="false">
      <c r="B10" s="19" t="s">
        <v>411</v>
      </c>
      <c r="C10" s="20" t="s">
        <v>32</v>
      </c>
      <c r="D10" s="12" t="n">
        <f aca="false">Исх_данные!$F$56</f>
        <v>0</v>
      </c>
      <c r="E10" s="12" t="n">
        <f aca="false">Исх_данные!$G$56</f>
        <v>0</v>
      </c>
      <c r="F10" s="12" t="n">
        <f aca="false">Исх_данные!$H$56</f>
        <v>0</v>
      </c>
      <c r="G10" s="12" t="n">
        <f aca="false">Исх_данные!$I$56</f>
        <v>0</v>
      </c>
      <c r="H10" s="12" t="n">
        <f aca="false">Исх_данные!$J$56</f>
        <v>0</v>
      </c>
      <c r="I10" s="12" t="n">
        <f aca="false">Исх_данные!$K$56</f>
        <v>0</v>
      </c>
      <c r="J10" s="12" t="n">
        <f aca="false">Исх_данные!$L$56</f>
        <v>0</v>
      </c>
      <c r="K10" s="12" t="n">
        <f aca="false">SUM(D10:J10)</f>
        <v>0</v>
      </c>
    </row>
    <row r="11" customFormat="false" ht="15" hidden="false" customHeight="false" outlineLevel="0" collapsed="false">
      <c r="B11" s="19" t="s">
        <v>412</v>
      </c>
      <c r="C11" s="20" t="s">
        <v>32</v>
      </c>
      <c r="D11" s="12" t="n">
        <f aca="false">Исх_данные!$F$57</f>
        <v>0</v>
      </c>
      <c r="E11" s="12" t="n">
        <f aca="false">Исх_данные!$G$57</f>
        <v>0</v>
      </c>
      <c r="F11" s="12" t="n">
        <f aca="false">Исх_данные!$H$57</f>
        <v>0</v>
      </c>
      <c r="G11" s="12" t="n">
        <f aca="false">Исх_данные!$I$57</f>
        <v>0</v>
      </c>
      <c r="H11" s="12" t="n">
        <f aca="false">Исх_данные!$J$57</f>
        <v>0</v>
      </c>
      <c r="I11" s="12" t="n">
        <f aca="false">Исх_данные!$K$57</f>
        <v>0</v>
      </c>
      <c r="J11" s="12" t="n">
        <f aca="false">Исх_данные!$L$57</f>
        <v>0</v>
      </c>
      <c r="K11" s="12" t="n">
        <f aca="false">SUM(D11:J11)</f>
        <v>0</v>
      </c>
    </row>
    <row r="12" customFormat="false" ht="15" hidden="false" customHeight="false" outlineLevel="0" collapsed="false">
      <c r="B12" s="19" t="s">
        <v>413</v>
      </c>
      <c r="C12" s="20" t="s">
        <v>32</v>
      </c>
      <c r="D12" s="12" t="n">
        <f aca="false">Исх_данные!$F$58</f>
        <v>0</v>
      </c>
      <c r="E12" s="12" t="n">
        <f aca="false">Исх_данные!$G$58</f>
        <v>0</v>
      </c>
      <c r="F12" s="12" t="n">
        <f aca="false">Исх_данные!$H$58</f>
        <v>0</v>
      </c>
      <c r="G12" s="12" t="n">
        <f aca="false">Исх_данные!$I$58</f>
        <v>0</v>
      </c>
      <c r="H12" s="12" t="n">
        <f aca="false">Исх_данные!$J$58</f>
        <v>0</v>
      </c>
      <c r="I12" s="12" t="n">
        <f aca="false">Исх_данные!$K$58</f>
        <v>0</v>
      </c>
      <c r="J12" s="12" t="n">
        <f aca="false">Исх_данные!$L$58</f>
        <v>0</v>
      </c>
      <c r="K12" s="12" t="n">
        <f aca="false">SUM(D12:J12)</f>
        <v>0</v>
      </c>
    </row>
    <row r="13" customFormat="false" ht="15" hidden="false" customHeight="false" outlineLevel="0" collapsed="false">
      <c r="B13" s="19" t="s">
        <v>414</v>
      </c>
      <c r="C13" s="20" t="s">
        <v>32</v>
      </c>
      <c r="D13" s="12" t="n">
        <f aca="false">Исх_данные!$F$59</f>
        <v>0</v>
      </c>
      <c r="E13" s="12" t="n">
        <f aca="false">Исх_данные!$G$59</f>
        <v>0</v>
      </c>
      <c r="F13" s="12" t="n">
        <f aca="false">Исх_данные!$H$59</f>
        <v>0</v>
      </c>
      <c r="G13" s="12" t="n">
        <f aca="false">Исх_данные!$I$59</f>
        <v>0</v>
      </c>
      <c r="H13" s="12" t="n">
        <f aca="false">Исх_данные!$J$59</f>
        <v>0</v>
      </c>
      <c r="I13" s="12" t="n">
        <f aca="false">Исх_данные!$K$59</f>
        <v>0</v>
      </c>
      <c r="J13" s="12" t="n">
        <f aca="false">Исх_данные!$L$59</f>
        <v>0</v>
      </c>
      <c r="K13" s="12" t="n">
        <f aca="false">SUM(D13:J13)</f>
        <v>0</v>
      </c>
    </row>
    <row r="14" customFormat="false" ht="15" hidden="false" customHeight="false" outlineLevel="0" collapsed="false">
      <c r="B14" s="19" t="s">
        <v>415</v>
      </c>
      <c r="C14" s="20" t="s">
        <v>32</v>
      </c>
      <c r="D14" s="12" t="n">
        <f aca="false">Исх_данные!$F$60</f>
        <v>4921962.9865</v>
      </c>
      <c r="E14" s="12" t="n">
        <f aca="false">Исх_данные!$G$60</f>
        <v>6194561.993676</v>
      </c>
      <c r="F14" s="12" t="n">
        <f aca="false">Исх_данные!$H$60</f>
        <v>6330842.35753687</v>
      </c>
      <c r="G14" s="12" t="n">
        <f aca="false">Исх_данные!$I$60</f>
        <v>6470120.88940268</v>
      </c>
      <c r="H14" s="12" t="n">
        <f aca="false">Исх_данные!$J$60</f>
        <v>6612463.54896954</v>
      </c>
      <c r="I14" s="12" t="n">
        <f aca="false">Исх_данные!$K$60</f>
        <v>6757937.74704687</v>
      </c>
      <c r="J14" s="12" t="n">
        <f aca="false">Исх_данные!$L$60</f>
        <v>6906612.3774819</v>
      </c>
      <c r="K14" s="12" t="n">
        <f aca="false">SUM(D14:J14)</f>
        <v>44194501.9006139</v>
      </c>
    </row>
    <row r="15" customFormat="false" ht="15" hidden="false" customHeight="false" outlineLevel="0" collapsed="false">
      <c r="B15" s="19" t="s">
        <v>416</v>
      </c>
      <c r="C15" s="20" t="s">
        <v>32</v>
      </c>
      <c r="D15" s="12" t="n">
        <f aca="false">Исх_данные!$F$61</f>
        <v>590635.55838</v>
      </c>
      <c r="E15" s="12" t="n">
        <f aca="false">Исх_данные!$G$61</f>
        <v>743347.43924112</v>
      </c>
      <c r="F15" s="12" t="n">
        <f aca="false">Исх_данные!$H$61</f>
        <v>759701.082904425</v>
      </c>
      <c r="G15" s="12" t="n">
        <f aca="false">Исх_данные!$I$61</f>
        <v>776414.506728322</v>
      </c>
      <c r="H15" s="12" t="n">
        <f aca="false">Исх_данные!$J$61</f>
        <v>793495.625876345</v>
      </c>
      <c r="I15" s="12" t="n">
        <f aca="false">Исх_данные!$K$61</f>
        <v>810952.529645625</v>
      </c>
      <c r="J15" s="12" t="n">
        <f aca="false">Исх_данные!$L$61</f>
        <v>828793.485297828</v>
      </c>
      <c r="K15" s="12" t="n">
        <f aca="false">SUM(D15:J15)</f>
        <v>5303340.22807366</v>
      </c>
    </row>
    <row r="16" customFormat="false" ht="15" hidden="false" customHeight="false" outlineLevel="0" collapsed="false">
      <c r="B16" s="19" t="s">
        <v>417</v>
      </c>
      <c r="C16" s="20" t="s">
        <v>32</v>
      </c>
      <c r="D16" s="12" t="n">
        <f aca="false">Depreciate!$G$20</f>
        <v>5287922.61812281</v>
      </c>
      <c r="E16" s="12" t="n">
        <f aca="false">Depreciate!$H$20</f>
        <v>16022553.5686541</v>
      </c>
      <c r="F16" s="12" t="n">
        <f aca="false">Depreciate!$I$20</f>
        <v>16163696.425797</v>
      </c>
      <c r="G16" s="12" t="n">
        <f aca="false">Depreciate!$J$20</f>
        <v>16304839.2829399</v>
      </c>
      <c r="H16" s="12" t="n">
        <f aca="false">Depreciate!$K$20</f>
        <v>16445982.1400827</v>
      </c>
      <c r="I16" s="12" t="n">
        <f aca="false">Depreciate!$L$20</f>
        <v>16587124.9972256</v>
      </c>
      <c r="J16" s="12" t="n">
        <f aca="false">Depreciate!$M$20</f>
        <v>16728267.8543684</v>
      </c>
      <c r="K16" s="12" t="n">
        <f aca="false">SUM(D16:J16)</f>
        <v>103540386.887191</v>
      </c>
    </row>
    <row r="17" customFormat="false" ht="15" hidden="false" customHeight="false" outlineLevel="0" collapsed="false">
      <c r="B17" s="19" t="s">
        <v>418</v>
      </c>
      <c r="C17" s="20" t="s">
        <v>32</v>
      </c>
      <c r="D17" s="12" t="n">
        <f aca="false">Исх_данные!$F$63</f>
        <v>0</v>
      </c>
      <c r="E17" s="12" t="n">
        <f aca="false">Исх_данные!$G$63</f>
        <v>0</v>
      </c>
      <c r="F17" s="12" t="n">
        <f aca="false">Исх_данные!$H$63</f>
        <v>0</v>
      </c>
      <c r="G17" s="12" t="n">
        <f aca="false">Исх_данные!$I$63</f>
        <v>0</v>
      </c>
      <c r="H17" s="12" t="n">
        <f aca="false">Исх_данные!$J$63</f>
        <v>0</v>
      </c>
      <c r="I17" s="12" t="n">
        <f aca="false">Исх_данные!$K$63</f>
        <v>0</v>
      </c>
      <c r="J17" s="12" t="n">
        <f aca="false">Исх_данные!$L$63</f>
        <v>0</v>
      </c>
      <c r="K17" s="12" t="n">
        <f aca="false">SUM(D17:J17)</f>
        <v>0</v>
      </c>
    </row>
    <row r="18" customFormat="false" ht="15" hidden="false" customHeight="false" outlineLevel="0" collapsed="false">
      <c r="B18" s="19" t="s">
        <v>419</v>
      </c>
      <c r="C18" s="20" t="s">
        <v>32</v>
      </c>
      <c r="D18" s="12" t="n">
        <f aca="false">Исх_данные!$F$64-Исх_данные!$F$66</f>
        <v>4831697.97569317</v>
      </c>
      <c r="E18" s="12" t="n">
        <f aca="false">Исх_данные!$G$64-Исх_данные!$G$66</f>
        <v>18136248.0220868</v>
      </c>
      <c r="F18" s="12" t="n">
        <f aca="false">Исх_данные!$H$64-Исх_данные!$H$66</f>
        <v>23622562.8373152</v>
      </c>
      <c r="G18" s="12" t="n">
        <f aca="false">Исх_данные!$I$64-Исх_данные!$I$66</f>
        <v>32007354.8838275</v>
      </c>
      <c r="H18" s="12" t="n">
        <f aca="false">Исх_данные!$J$64-Исх_данные!$J$66</f>
        <v>32690425.5937167</v>
      </c>
      <c r="I18" s="12" t="n">
        <f aca="false">Исх_данные!$K$64-Исх_данные!$K$66</f>
        <v>33409257.5590726</v>
      </c>
      <c r="J18" s="12" t="n">
        <f aca="false">Исх_данные!$L$64-Исх_данные!$L$66</f>
        <v>34144261.2253722</v>
      </c>
      <c r="K18" s="12" t="n">
        <f aca="false">SUM(D18:J18)</f>
        <v>178841808.097084</v>
      </c>
    </row>
    <row r="19" customFormat="false" ht="15" hidden="false" customHeight="false" outlineLevel="0" collapsed="false">
      <c r="B19" s="19" t="s">
        <v>420</v>
      </c>
      <c r="C19" s="20" t="s">
        <v>32</v>
      </c>
      <c r="D19" s="12" t="n">
        <f aca="false">Исх_данные!$F$66</f>
        <v>758843.587778881</v>
      </c>
      <c r="E19" s="12" t="n">
        <f aca="false">Исх_данные!$G$66</f>
        <v>2705802.84564747</v>
      </c>
      <c r="F19" s="12" t="n">
        <f aca="false">Исх_данные!$H$66</f>
        <v>2990604.19055731</v>
      </c>
      <c r="G19" s="12" t="n">
        <f aca="false">Исх_данные!$I$66</f>
        <v>3882901.70773623</v>
      </c>
      <c r="H19" s="12" t="n">
        <f aca="false">Исх_данные!$J$66</f>
        <v>3815117.98955796</v>
      </c>
      <c r="I19" s="12" t="n">
        <f aca="false">Исх_данные!$K$66</f>
        <v>3896454.41749927</v>
      </c>
      <c r="J19" s="12" t="n">
        <f aca="false">Исх_данные!$L$66</f>
        <v>3982176.41468425</v>
      </c>
      <c r="K19" s="12" t="n">
        <f aca="false">SUM(D19:J19)</f>
        <v>22031901.1534614</v>
      </c>
    </row>
    <row r="20" customFormat="false" ht="15" hidden="false" customHeight="false" outlineLevel="0" collapsed="false">
      <c r="B20" s="68" t="s">
        <v>421</v>
      </c>
      <c r="C20" s="59" t="s">
        <v>32</v>
      </c>
      <c r="D20" s="48" t="n">
        <f aca="false">SUM(D9:D19)</f>
        <v>16391062.7264749</v>
      </c>
      <c r="E20" s="48" t="n">
        <f aca="false">SUM(E9:E19)</f>
        <v>43802513.8693056</v>
      </c>
      <c r="F20" s="48" t="n">
        <f aca="false">SUM(F9:F19)</f>
        <v>49867406.8941108</v>
      </c>
      <c r="G20" s="48" t="n">
        <f aca="false">SUM(G9:G19)</f>
        <v>59441631.2706346</v>
      </c>
      <c r="H20" s="48" t="n">
        <f aca="false">SUM(H9:H19)</f>
        <v>60357484.8982033</v>
      </c>
      <c r="I20" s="48" t="n">
        <f aca="false">SUM(I9:I19)</f>
        <v>61461727.2504899</v>
      </c>
      <c r="J20" s="48" t="n">
        <f aca="false">SUM(J9:J19)</f>
        <v>62590111.3572046</v>
      </c>
      <c r="K20" s="48" t="n">
        <f aca="false">SUM(D20:J20)</f>
        <v>353911938.266424</v>
      </c>
    </row>
    <row r="21" customFormat="false" ht="15" hidden="false" customHeight="false" outlineLevel="0" collapsed="false">
      <c r="B21" s="19" t="s">
        <v>422</v>
      </c>
      <c r="C21" s="20" t="s">
        <v>32</v>
      </c>
      <c r="D21" s="12" t="n">
        <f aca="false">Исх_данные!$F$38-Исх_данные!$F$65-Исх_данные!$F$51</f>
        <v>-4959831.21174596</v>
      </c>
      <c r="E21" s="12" t="n">
        <f aca="false">Исх_данные!$G$38-Исх_данные!$G$65-Исх_данные!$G$51</f>
        <v>-1025.69805253972</v>
      </c>
      <c r="F21" s="12" t="n">
        <f aca="false">Исх_данные!$H$38-Исх_данные!$H$65-Исх_данные!$H$51</f>
        <v>-324589.050282865</v>
      </c>
      <c r="G21" s="12" t="n">
        <f aca="false">Исх_данные!$I$38-Исх_данные!$I$65-Исх_данные!$I$51</f>
        <v>-516881.179144166</v>
      </c>
      <c r="H21" s="12" t="n">
        <f aca="false">Исх_данные!$J$38-Исх_данные!$J$65-Исх_данные!$J$51</f>
        <v>-42449.9052288153</v>
      </c>
      <c r="I21" s="12" t="n">
        <f aca="false">Исх_данные!$K$38-Исх_данные!$K$65-Исх_данные!$K$51</f>
        <v>-52772.5750763856</v>
      </c>
      <c r="J21" s="12" t="n">
        <f aca="false">Исх_данные!$L$38-Исх_данные!$L$65-Исх_данные!$L$51</f>
        <v>-54095.4109354459</v>
      </c>
      <c r="K21" s="12" t="n">
        <f aca="false">SUM(D21:J21)</f>
        <v>-5951645.03046618</v>
      </c>
    </row>
    <row r="22" customFormat="false" ht="15" hidden="false" customHeight="false" outlineLevel="0" collapsed="false">
      <c r="B22" s="68" t="s">
        <v>423</v>
      </c>
      <c r="C22" s="59" t="s">
        <v>32</v>
      </c>
      <c r="D22" s="48" t="n">
        <f aca="false">D20+D21</f>
        <v>11431231.5147289</v>
      </c>
      <c r="E22" s="48" t="n">
        <f aca="false">E20+E21</f>
        <v>43801488.171253</v>
      </c>
      <c r="F22" s="48" t="n">
        <f aca="false">F20+F21</f>
        <v>49542817.8438279</v>
      </c>
      <c r="G22" s="48" t="n">
        <f aca="false">G20+G21</f>
        <v>58924750.0914904</v>
      </c>
      <c r="H22" s="48" t="n">
        <f aca="false">H20+H21</f>
        <v>60315034.9929745</v>
      </c>
      <c r="I22" s="48" t="n">
        <f aca="false">I20+I21</f>
        <v>61408954.6754136</v>
      </c>
      <c r="J22" s="48" t="n">
        <f aca="false">J20+J21</f>
        <v>62536015.9462692</v>
      </c>
      <c r="K22" s="48" t="n">
        <f aca="false">SUM(D22:J22)</f>
        <v>347960293.235958</v>
      </c>
    </row>
    <row r="23" customFormat="false" ht="15" hidden="false" customHeight="false" outlineLevel="0" collapsed="false">
      <c r="B23" s="19" t="s">
        <v>424</v>
      </c>
      <c r="C23" s="20" t="s">
        <v>32</v>
      </c>
      <c r="D23" s="12" t="n">
        <f aca="false">D22*MIN(1,IFERROR(Исх_данные!$F$52/(D20-D16),0))</f>
        <v>11431231.5147289</v>
      </c>
      <c r="E23" s="12" t="n">
        <f aca="false">E22*MIN(1,IFERROR(Исх_данные!$G$52/(E20-E16),0))</f>
        <v>43801488.171253</v>
      </c>
      <c r="F23" s="12" t="n">
        <f aca="false">F22*MIN(1,IFERROR(Исх_данные!$H$52/(F20-F16),0))</f>
        <v>49542817.8438279</v>
      </c>
      <c r="G23" s="12" t="n">
        <f aca="false">G22*MIN(1,IFERROR(Исх_данные!$I$52/(G20-G16),0))</f>
        <v>58924750.0914904</v>
      </c>
      <c r="H23" s="12" t="n">
        <f aca="false">H22*MIN(1,IFERROR(Исх_данные!$J$52/(H20-H16),0))</f>
        <v>60315034.9929745</v>
      </c>
      <c r="I23" s="12" t="n">
        <f aca="false">I22*MIN(1,IFERROR(Исх_данные!$K$52/(I20-I16),0))</f>
        <v>61408954.6754136</v>
      </c>
      <c r="J23" s="12" t="n">
        <f aca="false">J22*MIN(1,IFERROR(Исх_данные!$L$52/(J20-J16),0))</f>
        <v>62536015.9462692</v>
      </c>
      <c r="K23" s="12" t="n">
        <f aca="false">SUM(D23:J23)</f>
        <v>347960293.235958</v>
      </c>
    </row>
    <row r="24" customFormat="false" ht="15" hidden="false" customHeight="false" outlineLevel="0" collapsed="false">
      <c r="B24" s="19" t="s">
        <v>425</v>
      </c>
      <c r="C24" s="20" t="s">
        <v>32</v>
      </c>
      <c r="D24" s="12" t="n">
        <f aca="false">D22-D23</f>
        <v>0</v>
      </c>
      <c r="E24" s="12" t="n">
        <f aca="false">E22-E23</f>
        <v>0</v>
      </c>
      <c r="F24" s="12" t="n">
        <f aca="false">F22-F23</f>
        <v>0</v>
      </c>
      <c r="G24" s="12" t="n">
        <f aca="false">G22-G23</f>
        <v>0</v>
      </c>
      <c r="H24" s="12" t="n">
        <f aca="false">H22-H23</f>
        <v>0</v>
      </c>
      <c r="I24" s="12" t="n">
        <f aca="false">I22-I23</f>
        <v>0</v>
      </c>
      <c r="J24" s="12" t="n">
        <f aca="false">J22-J23</f>
        <v>0</v>
      </c>
      <c r="K24" s="12" t="n">
        <f aca="false">SUM(D24:J24)</f>
        <v>0</v>
      </c>
    </row>
    <row r="26" customFormat="false" ht="15" hidden="false" customHeight="false" outlineLevel="0" collapsed="false">
      <c r="B26" s="33" t="s">
        <v>426</v>
      </c>
    </row>
    <row r="27" customFormat="false" ht="15" hidden="false" customHeight="false" outlineLevel="0" collapsed="false">
      <c r="B27" s="19" t="s">
        <v>427</v>
      </c>
      <c r="C27" s="20" t="s">
        <v>32</v>
      </c>
      <c r="D27" s="12" t="n">
        <f aca="false">Исх_данные!$F$69</f>
        <v>1599353.82012</v>
      </c>
      <c r="E27" s="12" t="n">
        <f aca="false">Исх_данные!$G$69</f>
        <v>1790784.1119504</v>
      </c>
      <c r="F27" s="12" t="n">
        <f aca="false">Исх_данные!$H$69</f>
        <v>1830181.36241331</v>
      </c>
      <c r="G27" s="12" t="n">
        <f aca="false">Исх_данные!$I$69</f>
        <v>1870445.3523864</v>
      </c>
      <c r="H27" s="12" t="n">
        <f aca="false">Исх_данные!$J$69</f>
        <v>1911595.1501389</v>
      </c>
      <c r="I27" s="12" t="n">
        <f aca="false">Исх_данные!$K$69</f>
        <v>1953650.24344196</v>
      </c>
      <c r="J27" s="12" t="n">
        <f aca="false">Исх_данные!$L$69</f>
        <v>1996630.54879768</v>
      </c>
      <c r="K27" s="12" t="n">
        <f aca="false">SUM(D27:J27)</f>
        <v>12952640.5892487</v>
      </c>
    </row>
    <row r="28" customFormat="false" ht="15" hidden="false" customHeight="false" outlineLevel="0" collapsed="false">
      <c r="B28" s="19" t="s">
        <v>428</v>
      </c>
      <c r="C28" s="20" t="s">
        <v>32</v>
      </c>
      <c r="D28" s="12" t="n">
        <f aca="false">Depreciate!$G$21</f>
        <v>0</v>
      </c>
      <c r="E28" s="12" t="n">
        <f aca="false">Depreciate!$H$21</f>
        <v>0</v>
      </c>
      <c r="F28" s="12" t="n">
        <f aca="false">Depreciate!$I$21</f>
        <v>0</v>
      </c>
      <c r="G28" s="12" t="n">
        <f aca="false">Depreciate!$J$21</f>
        <v>0</v>
      </c>
      <c r="H28" s="12" t="n">
        <f aca="false">Depreciate!$K$21</f>
        <v>0</v>
      </c>
      <c r="I28" s="12" t="n">
        <f aca="false">Depreciate!$L$21</f>
        <v>0</v>
      </c>
      <c r="J28" s="12" t="n">
        <f aca="false">Depreciate!$M$21</f>
        <v>0</v>
      </c>
      <c r="K28" s="12" t="n">
        <f aca="false">SUM(D28:J28)</f>
        <v>0</v>
      </c>
    </row>
    <row r="29" customFormat="false" ht="23.85" hidden="false" customHeight="false" outlineLevel="0" collapsed="false">
      <c r="B29" s="19" t="s">
        <v>429</v>
      </c>
      <c r="C29" s="20" t="s">
        <v>32</v>
      </c>
      <c r="D29" s="12" t="n">
        <f aca="false">Исх_данные!$F$41-Исх_данные!$F$69-Исх_данные!$F$72</f>
        <v>0</v>
      </c>
      <c r="E29" s="12" t="n">
        <f aca="false">Исх_данные!$G$41-Исх_данные!$G$69-Исх_данные!$G$72</f>
        <v>0</v>
      </c>
      <c r="F29" s="12" t="n">
        <f aca="false">Исх_данные!$H$41-Исх_данные!$H$69-Исх_данные!$H$72</f>
        <v>0</v>
      </c>
      <c r="G29" s="12" t="n">
        <f aca="false">Исх_данные!$I$41-Исх_данные!$I$69-Исх_данные!$I$72</f>
        <v>0</v>
      </c>
      <c r="H29" s="12" t="n">
        <f aca="false">Исх_данные!$J$41-Исх_данные!$J$69-Исх_данные!$J$72</f>
        <v>0</v>
      </c>
      <c r="I29" s="12" t="n">
        <f aca="false">Исх_данные!$K$41-Исх_данные!$K$69-Исх_данные!$K$72</f>
        <v>0</v>
      </c>
      <c r="J29" s="12" t="n">
        <f aca="false">Исх_данные!$L$41-Исх_данные!$L$69-Исх_данные!$L$72</f>
        <v>0</v>
      </c>
      <c r="K29" s="12" t="n">
        <f aca="false">SUM(D29:J29)</f>
        <v>0</v>
      </c>
    </row>
    <row r="30" customFormat="false" ht="15" hidden="false" customHeight="false" outlineLevel="0" collapsed="false">
      <c r="B30" s="19" t="s">
        <v>430</v>
      </c>
      <c r="C30" s="20" t="s">
        <v>32</v>
      </c>
      <c r="D30" s="12" t="n">
        <f aca="false">Исх_данные!$F$40</f>
        <v>-0</v>
      </c>
      <c r="E30" s="12" t="n">
        <f aca="false">Исх_данные!$G$40</f>
        <v>-0</v>
      </c>
      <c r="F30" s="12" t="n">
        <f aca="false">Исх_данные!$H$40</f>
        <v>-0</v>
      </c>
      <c r="G30" s="12" t="n">
        <f aca="false">Исх_данные!$I$40</f>
        <v>-0</v>
      </c>
      <c r="H30" s="12" t="n">
        <f aca="false">Исх_данные!$J$40</f>
        <v>-0</v>
      </c>
      <c r="I30" s="12" t="n">
        <f aca="false">Исх_данные!$K$40</f>
        <v>-0</v>
      </c>
      <c r="J30" s="12" t="n">
        <f aca="false">Исх_данные!$L$40</f>
        <v>-0</v>
      </c>
      <c r="K30" s="12" t="n">
        <f aca="false">SUM(D30:J30)</f>
        <v>0</v>
      </c>
    </row>
    <row r="31" customFormat="false" ht="15" hidden="false" customHeight="false" outlineLevel="0" collapsed="false">
      <c r="B31" s="68" t="s">
        <v>431</v>
      </c>
      <c r="C31" s="59" t="s">
        <v>32</v>
      </c>
      <c r="D31" s="48" t="n">
        <f aca="false">SUM(D27:D30)</f>
        <v>1599353.82012</v>
      </c>
      <c r="E31" s="48" t="n">
        <f aca="false">SUM(E27:E30)</f>
        <v>1790784.1119504</v>
      </c>
      <c r="F31" s="48" t="n">
        <f aca="false">SUM(F27:F30)</f>
        <v>1830181.36241331</v>
      </c>
      <c r="G31" s="48" t="n">
        <f aca="false">SUM(G27:G30)</f>
        <v>1870445.3523864</v>
      </c>
      <c r="H31" s="48" t="n">
        <f aca="false">SUM(H27:H30)</f>
        <v>1911595.1501389</v>
      </c>
      <c r="I31" s="48" t="n">
        <f aca="false">SUM(I27:I30)</f>
        <v>1953650.24344196</v>
      </c>
      <c r="J31" s="48" t="n">
        <f aca="false">SUM(J27:J30)</f>
        <v>1996630.54879768</v>
      </c>
      <c r="K31" s="48" t="n">
        <f aca="false">SUM(D31:J31)</f>
        <v>12952640.5892487</v>
      </c>
    </row>
    <row r="33" customFormat="false" ht="15" hidden="false" customHeight="false" outlineLevel="0" collapsed="false">
      <c r="B33" s="33" t="s">
        <v>432</v>
      </c>
    </row>
    <row r="34" customFormat="false" ht="15" hidden="false" customHeight="false" outlineLevel="0" collapsed="false">
      <c r="B34" s="19" t="s">
        <v>350</v>
      </c>
      <c r="C34" s="20" t="s">
        <v>32</v>
      </c>
      <c r="D34" s="12" t="n">
        <f aca="false">Исх_данные!$F$74</f>
        <v>68379.6296296296</v>
      </c>
      <c r="E34" s="12" t="n">
        <f aca="false">Исх_данные!$G$74</f>
        <v>357777.777777778</v>
      </c>
      <c r="F34" s="12" t="n">
        <f aca="false">Исх_данные!$H$74</f>
        <v>311111.111111111</v>
      </c>
      <c r="G34" s="12" t="n">
        <f aca="false">Исх_данные!$I$74</f>
        <v>264444.444444444</v>
      </c>
      <c r="H34" s="12" t="n">
        <f aca="false">Исх_данные!$J$74</f>
        <v>217777.777777778</v>
      </c>
      <c r="I34" s="12" t="n">
        <f aca="false">Исх_данные!$K$74</f>
        <v>171111.111111111</v>
      </c>
      <c r="J34" s="12" t="n">
        <f aca="false">Исх_данные!$L$74</f>
        <v>124444.444444444</v>
      </c>
      <c r="K34" s="12" t="n">
        <f aca="false">SUM(D34:J34)</f>
        <v>1515046.2962963</v>
      </c>
    </row>
    <row r="35" customFormat="false" ht="15" hidden="false" customHeight="false" outlineLevel="0" collapsed="false">
      <c r="B35" s="19" t="s">
        <v>352</v>
      </c>
      <c r="C35" s="20" t="s">
        <v>32</v>
      </c>
      <c r="D35" s="12" t="n">
        <f aca="false">Исх_данные!$F$75</f>
        <v>1056000</v>
      </c>
      <c r="E35" s="12" t="n">
        <f aca="false">Исх_данные!$G$75</f>
        <v>1056000</v>
      </c>
      <c r="F35" s="12" t="n">
        <f aca="false">Исх_данные!$H$75</f>
        <v>1161600</v>
      </c>
      <c r="G35" s="12" t="n">
        <f aca="false">Исх_данные!$I$75</f>
        <v>1277760</v>
      </c>
      <c r="H35" s="12" t="n">
        <f aca="false">Исх_данные!$J$75</f>
        <v>1405536</v>
      </c>
      <c r="I35" s="12" t="n">
        <f aca="false">Исх_данные!$K$75</f>
        <v>1546089.6</v>
      </c>
      <c r="J35" s="12" t="n">
        <f aca="false">Исх_данные!$L$75</f>
        <v>1700698.56</v>
      </c>
      <c r="K35" s="12" t="n">
        <f aca="false">SUM(D35:J35)</f>
        <v>9203684.16</v>
      </c>
    </row>
    <row r="36" customFormat="false" ht="15" hidden="false" customHeight="false" outlineLevel="0" collapsed="false">
      <c r="B36" s="19" t="s">
        <v>353</v>
      </c>
      <c r="C36" s="20" t="s">
        <v>32</v>
      </c>
      <c r="D36" s="12" t="n">
        <f aca="false">Исх_данные!$F$76</f>
        <v>0</v>
      </c>
      <c r="E36" s="12" t="n">
        <f aca="false">Исх_данные!$G$76</f>
        <v>0</v>
      </c>
      <c r="F36" s="12" t="n">
        <f aca="false">Исх_данные!$H$76</f>
        <v>278098.881098766</v>
      </c>
      <c r="G36" s="12" t="n">
        <f aca="false">Исх_данные!$I$76</f>
        <v>24815738.4503694</v>
      </c>
      <c r="H36" s="12" t="n">
        <f aca="false">Исх_данные!$J$76</f>
        <v>23994433.7375939</v>
      </c>
      <c r="I36" s="12" t="n">
        <f aca="false">Исх_данные!$K$76</f>
        <v>24506773.9373385</v>
      </c>
      <c r="J36" s="12" t="n">
        <f aca="false">Исх_данные!$L$76</f>
        <v>25053685.8211028</v>
      </c>
      <c r="K36" s="12" t="n">
        <f aca="false">SUM(D36:J36)</f>
        <v>98648730.8275033</v>
      </c>
    </row>
    <row r="37" customFormat="false" ht="15" hidden="false" customHeight="false" outlineLevel="0" collapsed="false">
      <c r="B37" s="19" t="s">
        <v>433</v>
      </c>
      <c r="C37" s="20" t="s">
        <v>32</v>
      </c>
      <c r="D37" s="12" t="n">
        <f aca="false">Исх_данные!$F$73</f>
        <v>635124.696423603</v>
      </c>
      <c r="E37" s="12" t="n">
        <f aca="false">Исх_данные!$G$73</f>
        <v>1478537.22063009</v>
      </c>
      <c r="F37" s="12" t="n">
        <f aca="false">Исх_данные!$H$73</f>
        <v>1776694.59153636</v>
      </c>
      <c r="G37" s="12" t="n">
        <f aca="false">Исх_данные!$I$73</f>
        <v>2250361.86700406</v>
      </c>
      <c r="H37" s="12" t="n">
        <f aca="false">Исх_данные!$J$73</f>
        <v>2291154.89541297</v>
      </c>
      <c r="I37" s="12" t="n">
        <f aca="false">Исх_данные!$K$73</f>
        <v>2341412.62483532</v>
      </c>
      <c r="J37" s="12" t="n">
        <f aca="false">Исх_данные!$L$73</f>
        <v>2392923.70258169</v>
      </c>
      <c r="K37" s="12" t="n">
        <f aca="false">SUM(D37:J37)</f>
        <v>13166209.5984241</v>
      </c>
    </row>
    <row r="38" customFormat="false" ht="15" hidden="false" customHeight="false" outlineLevel="0" collapsed="false">
      <c r="B38" s="19" t="s">
        <v>434</v>
      </c>
      <c r="C38" s="20" t="s">
        <v>32</v>
      </c>
      <c r="D38" s="12" t="n">
        <f aca="false">Исх_данные!$F$43-Исх_данные!$F$42-D34-D35-D36-D37</f>
        <v>3438667.30428335</v>
      </c>
      <c r="E38" s="12" t="n">
        <f aca="false">Исх_данные!$G$43-Исх_данные!$G$42-E34-E35-E36-E37</f>
        <v>0</v>
      </c>
      <c r="F38" s="12" t="n">
        <f aca="false">Исх_данные!$H$43-Исх_данные!$H$42-F34-F35-F36-F37</f>
        <v>0</v>
      </c>
      <c r="G38" s="12" t="n">
        <f aca="false">Исх_данные!$I$43-Исх_данные!$I$42-G34-G35-G36-G37</f>
        <v>0</v>
      </c>
      <c r="H38" s="12" t="n">
        <f aca="false">Исх_данные!$J$43-Исх_данные!$J$42-H34-H35-H36-H37</f>
        <v>0</v>
      </c>
      <c r="I38" s="12" t="n">
        <f aca="false">Исх_данные!$K$43-Исх_данные!$K$42-I34-I35-I36-I37</f>
        <v>0</v>
      </c>
      <c r="J38" s="12" t="n">
        <f aca="false">Исх_данные!$L$43-Исх_данные!$L$42-J34-J35-J36-J37</f>
        <v>0</v>
      </c>
      <c r="K38" s="12" t="n">
        <f aca="false">SUM(D38:J38)</f>
        <v>3438667.30428335</v>
      </c>
    </row>
    <row r="39" customFormat="false" ht="15" hidden="false" customHeight="false" outlineLevel="0" collapsed="false">
      <c r="B39" s="68" t="s">
        <v>435</v>
      </c>
      <c r="C39" s="59" t="s">
        <v>32</v>
      </c>
      <c r="D39" s="48" t="n">
        <f aca="false">SUM(D34:D38)</f>
        <v>5198171.63033659</v>
      </c>
      <c r="E39" s="48" t="n">
        <f aca="false">SUM(E34:E38)</f>
        <v>2892314.99840787</v>
      </c>
      <c r="F39" s="48" t="n">
        <f aca="false">SUM(F34:F38)</f>
        <v>3527504.58374623</v>
      </c>
      <c r="G39" s="48" t="n">
        <f aca="false">SUM(G34:G38)</f>
        <v>28608304.7618179</v>
      </c>
      <c r="H39" s="48" t="n">
        <f aca="false">SUM(H34:H38)</f>
        <v>27908902.4107846</v>
      </c>
      <c r="I39" s="48" t="n">
        <f aca="false">SUM(I34:I38)</f>
        <v>28565387.2732849</v>
      </c>
      <c r="J39" s="48" t="n">
        <f aca="false">SUM(J34:J38)</f>
        <v>29271752.5281289</v>
      </c>
      <c r="K39" s="48" t="n">
        <f aca="false">SUM(D39:J39)</f>
        <v>125972338.186507</v>
      </c>
    </row>
    <row r="41" customFormat="false" ht="15" hidden="false" customHeight="false" outlineLevel="0" collapsed="false">
      <c r="B41" s="33" t="s">
        <v>436</v>
      </c>
    </row>
    <row r="42" customFormat="false" ht="23.85" hidden="false" customHeight="false" outlineLevel="0" collapsed="false">
      <c r="B42" s="19" t="s">
        <v>437</v>
      </c>
      <c r="C42" s="20" t="s">
        <v>32</v>
      </c>
      <c r="D42" s="12" t="n">
        <f aca="false">0</f>
        <v>0</v>
      </c>
      <c r="E42" s="12" t="n">
        <f aca="false">LOANS!$D$106</f>
        <v>2811621.65684195</v>
      </c>
      <c r="F42" s="12" t="n">
        <f aca="false">LOANS!$E$106</f>
        <v>2297340.07573718</v>
      </c>
      <c r="G42" s="12" t="n">
        <f aca="false">LOANS!$F$106</f>
        <v>1791262.04265722</v>
      </c>
      <c r="H42" s="12" t="n">
        <f aca="false">LOANS!$G$106</f>
        <v>1285184.00957726</v>
      </c>
      <c r="I42" s="12" t="n">
        <f aca="false">LOANS!$H$106</f>
        <v>781763.463885617</v>
      </c>
      <c r="J42" s="12" t="n">
        <f aca="false">LOANS!$I$106</f>
        <v>273027.943417338</v>
      </c>
      <c r="K42" s="12" t="n">
        <f aca="false">SUM(D42:J42)</f>
        <v>9240199.19211656</v>
      </c>
    </row>
    <row r="44" customFormat="false" ht="15" hidden="false" customHeight="false" outlineLevel="0" collapsed="false">
      <c r="B44" s="34" t="s">
        <v>438</v>
      </c>
      <c r="C44" s="63" t="s">
        <v>32</v>
      </c>
      <c r="D44" s="15" t="n">
        <f aca="false">D22+D31+D39+D42</f>
        <v>18228756.9651855</v>
      </c>
      <c r="E44" s="15" t="n">
        <f aca="false">E22+E31+E39+E42</f>
        <v>51296208.9384533</v>
      </c>
      <c r="F44" s="15" t="n">
        <f aca="false">F22+F31+F39+F42</f>
        <v>57197843.8657246</v>
      </c>
      <c r="G44" s="15" t="n">
        <f aca="false">G22+G31+G39+G42</f>
        <v>91194762.248352</v>
      </c>
      <c r="H44" s="15" t="n">
        <f aca="false">H22+H31+H39+H42</f>
        <v>91420716.5634753</v>
      </c>
      <c r="I44" s="15" t="n">
        <f aca="false">I22+I31+I39+I42</f>
        <v>92709755.6560261</v>
      </c>
      <c r="J44" s="15" t="n">
        <f aca="false">J22+J31+J39+J42</f>
        <v>94077426.9666131</v>
      </c>
      <c r="K44" s="15" t="n">
        <f aca="false">SUM(D44:J44)</f>
        <v>496125471.20383</v>
      </c>
    </row>
    <row r="45" customFormat="false" ht="15" hidden="false" customHeight="false" outlineLevel="0" collapsed="false">
      <c r="B45" s="19" t="s">
        <v>439</v>
      </c>
      <c r="C45" s="20" t="s">
        <v>269</v>
      </c>
      <c r="D45" s="12" t="n">
        <f aca="false">IFERROR(D44/(ProdPlan!D15+ProdPlan!D16),0)</f>
        <v>27493.3428051784</v>
      </c>
      <c r="E45" s="12" t="n">
        <f aca="false">IFERROR(E44/(ProdPlan!E15+ProdPlan!E16),0)</f>
        <v>22001.340423044</v>
      </c>
      <c r="F45" s="12" t="n">
        <f aca="false">IFERROR(F44/(ProdPlan!F15+ProdPlan!F16),0)</f>
        <v>22684.6266841629</v>
      </c>
      <c r="G45" s="12" t="n">
        <f aca="false">IFERROR(G44/(ProdPlan!G15+ProdPlan!G16),0)</f>
        <v>28469.2030890364</v>
      </c>
      <c r="H45" s="12" t="n">
        <f aca="false">IFERROR(H44/(ProdPlan!H15+ProdPlan!H16),0)</f>
        <v>29685.8408593268</v>
      </c>
      <c r="I45" s="12" t="n">
        <f aca="false">IFERROR(I44/(ProdPlan!I15+ProdPlan!I16),0)</f>
        <v>30124.4717484877</v>
      </c>
      <c r="J45" s="12" t="n">
        <f aca="false">IFERROR(J44/(ProdPlan!J15+ProdPlan!J16),0)</f>
        <v>30568.8734780086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8" min="3" style="0" width="16"/>
    <col collapsed="false" customWidth="true" hidden="false" outlineLevel="0" max="10" min="9" style="0" width="8"/>
    <col collapsed="false" customWidth="true" hidden="false" outlineLevel="0" max="12" min="11" style="0" width="3"/>
  </cols>
  <sheetData>
    <row r="2" customFormat="false" ht="15" hidden="false" customHeight="false" outlineLevel="0" collapsed="false">
      <c r="B2" s="2" t="s">
        <v>440</v>
      </c>
      <c r="H2" s="51" t="s">
        <v>441</v>
      </c>
    </row>
    <row r="5" customFormat="false" ht="15" hidden="false" customHeight="false" outlineLevel="0" collapsed="false">
      <c r="B5" s="6" t="s">
        <v>23</v>
      </c>
      <c r="C5" s="58" t="n">
        <f aca="false">ИНФОРМАЦИЯ!$C$28</f>
        <v>84</v>
      </c>
      <c r="D5" s="69" t="s">
        <v>442</v>
      </c>
    </row>
    <row r="6" customFormat="false" ht="15" hidden="false" customHeight="false" outlineLevel="0" collapsed="false">
      <c r="B6" s="6" t="s">
        <v>443</v>
      </c>
      <c r="C6" s="58" t="n">
        <f aca="false">ИНФОРМАЦИЯ!$C$29</f>
        <v>12</v>
      </c>
      <c r="D6" s="69" t="s">
        <v>442</v>
      </c>
    </row>
    <row r="7" customFormat="false" ht="15" hidden="false" customHeight="false" outlineLevel="0" collapsed="false">
      <c r="B7" s="6" t="s">
        <v>444</v>
      </c>
      <c r="C7" s="58" t="n">
        <f aca="false">ИНФОРМАЦИЯ!$C$30</f>
        <v>12</v>
      </c>
      <c r="D7" s="69" t="s">
        <v>442</v>
      </c>
    </row>
    <row r="8" customFormat="false" ht="15" hidden="false" customHeight="false" outlineLevel="0" collapsed="false">
      <c r="B8" s="6" t="s">
        <v>22</v>
      </c>
      <c r="C8" s="13" t="n">
        <f aca="false">ИНФОРМАЦИЯ!$C$27</f>
        <v>0.07</v>
      </c>
      <c r="D8" s="69" t="s">
        <v>445</v>
      </c>
    </row>
    <row r="9" customFormat="false" ht="15" hidden="false" customHeight="false" outlineLevel="0" collapsed="false">
      <c r="B9" s="6" t="s">
        <v>446</v>
      </c>
      <c r="C9" s="12" t="n">
        <f aca="false">ИНФОРМАЦИЯ!$C$26</f>
        <v>42783896.3386581</v>
      </c>
      <c r="D9" s="69" t="s">
        <v>32</v>
      </c>
    </row>
    <row r="10" customFormat="false" ht="15" hidden="false" customHeight="false" outlineLevel="0" collapsed="false">
      <c r="B10" s="6" t="s">
        <v>447</v>
      </c>
      <c r="C10" s="70" t="n">
        <f aca="false">ИНФОРМАЦИЯ!$C$31</f>
        <v>46388</v>
      </c>
      <c r="D10" s="69"/>
    </row>
    <row r="11" customFormat="false" ht="15" hidden="false" customHeight="false" outlineLevel="0" collapsed="false">
      <c r="B11" s="6" t="s">
        <v>448</v>
      </c>
      <c r="C11" s="58" t="n">
        <f aca="false">ИНФОРМАЦИЯ!$C$32</f>
        <v>360</v>
      </c>
      <c r="D11" s="69" t="s">
        <v>449</v>
      </c>
    </row>
    <row r="12" customFormat="false" ht="15" hidden="false" customHeight="false" outlineLevel="0" collapsed="false">
      <c r="B12" s="6" t="s">
        <v>450</v>
      </c>
      <c r="C12" s="58" t="n">
        <f aca="false">C5-C6</f>
        <v>72</v>
      </c>
      <c r="D12" s="69" t="s">
        <v>451</v>
      </c>
    </row>
    <row r="13" customFormat="false" ht="15" hidden="false" customHeight="false" outlineLevel="0" collapsed="false">
      <c r="B13" s="6" t="s">
        <v>452</v>
      </c>
      <c r="C13" s="29" t="n">
        <f aca="false">C9/C12</f>
        <v>594220.782481362</v>
      </c>
      <c r="D13" s="69" t="s">
        <v>32</v>
      </c>
    </row>
    <row r="15" customFormat="false" ht="30" hidden="false" customHeight="true" outlineLevel="0" collapsed="false">
      <c r="A15" s="18" t="s">
        <v>453</v>
      </c>
      <c r="B15" s="18" t="s">
        <v>454</v>
      </c>
      <c r="C15" s="18" t="s">
        <v>455</v>
      </c>
      <c r="D15" s="18" t="s">
        <v>137</v>
      </c>
      <c r="E15" s="18" t="s">
        <v>456</v>
      </c>
      <c r="F15" s="18" t="s">
        <v>457</v>
      </c>
      <c r="G15" s="18" t="s">
        <v>458</v>
      </c>
      <c r="H15" s="18" t="s">
        <v>459</v>
      </c>
      <c r="I15" s="18" t="s">
        <v>460</v>
      </c>
    </row>
    <row r="16" customFormat="false" ht="15" hidden="false" customHeight="false" outlineLevel="0" collapsed="false">
      <c r="A16" s="71" t="n">
        <v>1</v>
      </c>
      <c r="B16" s="72" t="n">
        <f aca="false">EOMONTH($C$10,0)</f>
        <v>46418</v>
      </c>
      <c r="C16" s="29" t="n">
        <f aca="false">$C$9</f>
        <v>42783896.3386581</v>
      </c>
      <c r="D16" s="29" t="n">
        <f aca="false">IF(A16&gt;$C$6,MIN(C16,$C$13),0)</f>
        <v>0</v>
      </c>
      <c r="E16" s="29" t="n">
        <f aca="false">C16*$C$8*DAY(B16)/$C$11</f>
        <v>257891.819596911</v>
      </c>
      <c r="F16" s="29" t="n">
        <f aca="false">D16+E16</f>
        <v>257891.819596911</v>
      </c>
      <c r="G16" s="29" t="n">
        <f aca="false">C16-D16</f>
        <v>42783896.3386581</v>
      </c>
      <c r="H16" s="71" t="n">
        <f aca="false">YEAR(B16)</f>
        <v>2027</v>
      </c>
      <c r="I16" s="71" t="n">
        <f aca="false">H16-2026</f>
        <v>1</v>
      </c>
    </row>
    <row r="17" customFormat="false" ht="15" hidden="false" customHeight="false" outlineLevel="0" collapsed="false">
      <c r="A17" s="71" t="n">
        <v>2</v>
      </c>
      <c r="B17" s="72" t="n">
        <f aca="false">EOMONTH($C$10,1)</f>
        <v>46446</v>
      </c>
      <c r="C17" s="29" t="n">
        <f aca="false">G16</f>
        <v>42783896.3386581</v>
      </c>
      <c r="D17" s="29" t="n">
        <f aca="false">IF(A17&gt;$C$6,MIN(C17,$C$13),0)</f>
        <v>0</v>
      </c>
      <c r="E17" s="29" t="n">
        <f aca="false">C17*$C$8*DAY(B17)/$C$11</f>
        <v>232934.546732694</v>
      </c>
      <c r="F17" s="29" t="n">
        <f aca="false">D17+E17</f>
        <v>232934.546732694</v>
      </c>
      <c r="G17" s="29" t="n">
        <f aca="false">C17-D17</f>
        <v>42783896.3386581</v>
      </c>
      <c r="H17" s="71" t="n">
        <f aca="false">YEAR(B17)</f>
        <v>2027</v>
      </c>
      <c r="I17" s="71" t="n">
        <f aca="false">H17-2026</f>
        <v>1</v>
      </c>
    </row>
    <row r="18" customFormat="false" ht="15" hidden="false" customHeight="false" outlineLevel="0" collapsed="false">
      <c r="A18" s="71" t="n">
        <v>3</v>
      </c>
      <c r="B18" s="72" t="n">
        <f aca="false">EOMONTH($C$10,2)</f>
        <v>46477</v>
      </c>
      <c r="C18" s="29" t="n">
        <f aca="false">G17</f>
        <v>42783896.3386581</v>
      </c>
      <c r="D18" s="29" t="n">
        <f aca="false">IF(A18&gt;$C$6,MIN(C18,$C$13),0)</f>
        <v>0</v>
      </c>
      <c r="E18" s="29" t="n">
        <f aca="false">C18*$C$8*DAY(B18)/$C$11</f>
        <v>257891.819596911</v>
      </c>
      <c r="F18" s="29" t="n">
        <f aca="false">D18+E18</f>
        <v>257891.819596911</v>
      </c>
      <c r="G18" s="29" t="n">
        <f aca="false">C18-D18</f>
        <v>42783896.3386581</v>
      </c>
      <c r="H18" s="71" t="n">
        <f aca="false">YEAR(B18)</f>
        <v>2027</v>
      </c>
      <c r="I18" s="71" t="n">
        <f aca="false">H18-2026</f>
        <v>1</v>
      </c>
    </row>
    <row r="19" customFormat="false" ht="15" hidden="false" customHeight="false" outlineLevel="0" collapsed="false">
      <c r="A19" s="71" t="n">
        <v>4</v>
      </c>
      <c r="B19" s="72" t="n">
        <f aca="false">EOMONTH($C$10,3)</f>
        <v>46507</v>
      </c>
      <c r="C19" s="29" t="n">
        <f aca="false">G18</f>
        <v>42783896.3386581</v>
      </c>
      <c r="D19" s="29" t="n">
        <f aca="false">IF(A19&gt;$C$6,MIN(C19,$C$13),0)</f>
        <v>0</v>
      </c>
      <c r="E19" s="29" t="n">
        <f aca="false">C19*$C$8*DAY(B19)/$C$11</f>
        <v>249572.728642172</v>
      </c>
      <c r="F19" s="29" t="n">
        <f aca="false">D19+E19</f>
        <v>249572.728642172</v>
      </c>
      <c r="G19" s="29" t="n">
        <f aca="false">C19-D19</f>
        <v>42783896.3386581</v>
      </c>
      <c r="H19" s="71" t="n">
        <f aca="false">YEAR(B19)</f>
        <v>2027</v>
      </c>
      <c r="I19" s="71" t="n">
        <f aca="false">H19-2026</f>
        <v>1</v>
      </c>
    </row>
    <row r="20" customFormat="false" ht="15" hidden="false" customHeight="false" outlineLevel="0" collapsed="false">
      <c r="A20" s="71" t="n">
        <v>5</v>
      </c>
      <c r="B20" s="72" t="n">
        <f aca="false">EOMONTH($C$10,4)</f>
        <v>46538</v>
      </c>
      <c r="C20" s="29" t="n">
        <f aca="false">G19</f>
        <v>42783896.3386581</v>
      </c>
      <c r="D20" s="29" t="n">
        <f aca="false">IF(A20&gt;$C$6,MIN(C20,$C$13),0)</f>
        <v>0</v>
      </c>
      <c r="E20" s="29" t="n">
        <f aca="false">C20*$C$8*DAY(B20)/$C$11</f>
        <v>257891.819596911</v>
      </c>
      <c r="F20" s="29" t="n">
        <f aca="false">D20+E20</f>
        <v>257891.819596911</v>
      </c>
      <c r="G20" s="29" t="n">
        <f aca="false">C20-D20</f>
        <v>42783896.3386581</v>
      </c>
      <c r="H20" s="71" t="n">
        <f aca="false">YEAR(B20)</f>
        <v>2027</v>
      </c>
      <c r="I20" s="71" t="n">
        <f aca="false">H20-2026</f>
        <v>1</v>
      </c>
    </row>
    <row r="21" customFormat="false" ht="15" hidden="false" customHeight="false" outlineLevel="0" collapsed="false">
      <c r="A21" s="71" t="n">
        <v>6</v>
      </c>
      <c r="B21" s="72" t="n">
        <f aca="false">EOMONTH($C$10,5)</f>
        <v>46568</v>
      </c>
      <c r="C21" s="29" t="n">
        <f aca="false">G20</f>
        <v>42783896.3386581</v>
      </c>
      <c r="D21" s="29" t="n">
        <f aca="false">IF(A21&gt;$C$6,MIN(C21,$C$13),0)</f>
        <v>0</v>
      </c>
      <c r="E21" s="29" t="n">
        <f aca="false">C21*$C$8*DAY(B21)/$C$11</f>
        <v>249572.728642172</v>
      </c>
      <c r="F21" s="29" t="n">
        <f aca="false">D21+E21</f>
        <v>249572.728642172</v>
      </c>
      <c r="G21" s="29" t="n">
        <f aca="false">C21-D21</f>
        <v>42783896.3386581</v>
      </c>
      <c r="H21" s="71" t="n">
        <f aca="false">YEAR(B21)</f>
        <v>2027</v>
      </c>
      <c r="I21" s="71" t="n">
        <f aca="false">H21-2026</f>
        <v>1</v>
      </c>
    </row>
    <row r="22" customFormat="false" ht="15" hidden="false" customHeight="false" outlineLevel="0" collapsed="false">
      <c r="A22" s="71" t="n">
        <v>7</v>
      </c>
      <c r="B22" s="72" t="n">
        <f aca="false">EOMONTH($C$10,6)</f>
        <v>46599</v>
      </c>
      <c r="C22" s="29" t="n">
        <f aca="false">G21</f>
        <v>42783896.3386581</v>
      </c>
      <c r="D22" s="29" t="n">
        <f aca="false">IF(A22&gt;$C$6,MIN(C22,$C$13),0)</f>
        <v>0</v>
      </c>
      <c r="E22" s="29" t="n">
        <f aca="false">C22*$C$8*DAY(B22)/$C$11</f>
        <v>257891.819596911</v>
      </c>
      <c r="F22" s="29" t="n">
        <f aca="false">D22+E22</f>
        <v>257891.819596911</v>
      </c>
      <c r="G22" s="29" t="n">
        <f aca="false">C22-D22</f>
        <v>42783896.3386581</v>
      </c>
      <c r="H22" s="71" t="n">
        <f aca="false">YEAR(B22)</f>
        <v>2027</v>
      </c>
      <c r="I22" s="71" t="n">
        <f aca="false">H22-2026</f>
        <v>1</v>
      </c>
    </row>
    <row r="23" customFormat="false" ht="15" hidden="false" customHeight="false" outlineLevel="0" collapsed="false">
      <c r="A23" s="71" t="n">
        <v>8</v>
      </c>
      <c r="B23" s="72" t="n">
        <f aca="false">EOMONTH($C$10,7)</f>
        <v>46630</v>
      </c>
      <c r="C23" s="29" t="n">
        <f aca="false">G22</f>
        <v>42783896.3386581</v>
      </c>
      <c r="D23" s="29" t="n">
        <f aca="false">IF(A23&gt;$C$6,MIN(C23,$C$13),0)</f>
        <v>0</v>
      </c>
      <c r="E23" s="29" t="n">
        <f aca="false">C23*$C$8*DAY(B23)/$C$11</f>
        <v>257891.819596911</v>
      </c>
      <c r="F23" s="29" t="n">
        <f aca="false">D23+E23</f>
        <v>257891.819596911</v>
      </c>
      <c r="G23" s="29" t="n">
        <f aca="false">C23-D23</f>
        <v>42783896.3386581</v>
      </c>
      <c r="H23" s="71" t="n">
        <f aca="false">YEAR(B23)</f>
        <v>2027</v>
      </c>
      <c r="I23" s="71" t="n">
        <f aca="false">H23-2026</f>
        <v>1</v>
      </c>
    </row>
    <row r="24" customFormat="false" ht="15" hidden="false" customHeight="false" outlineLevel="0" collapsed="false">
      <c r="A24" s="71" t="n">
        <v>9</v>
      </c>
      <c r="B24" s="72" t="n">
        <f aca="false">EOMONTH($C$10,8)</f>
        <v>46660</v>
      </c>
      <c r="C24" s="29" t="n">
        <f aca="false">G23</f>
        <v>42783896.3386581</v>
      </c>
      <c r="D24" s="29" t="n">
        <f aca="false">IF(A24&gt;$C$6,MIN(C24,$C$13),0)</f>
        <v>0</v>
      </c>
      <c r="E24" s="29" t="n">
        <f aca="false">C24*$C$8*DAY(B24)/$C$11</f>
        <v>249572.728642172</v>
      </c>
      <c r="F24" s="29" t="n">
        <f aca="false">D24+E24</f>
        <v>249572.728642172</v>
      </c>
      <c r="G24" s="29" t="n">
        <f aca="false">C24-D24</f>
        <v>42783896.3386581</v>
      </c>
      <c r="H24" s="71" t="n">
        <f aca="false">YEAR(B24)</f>
        <v>2027</v>
      </c>
      <c r="I24" s="71" t="n">
        <f aca="false">H24-2026</f>
        <v>1</v>
      </c>
    </row>
    <row r="25" customFormat="false" ht="15" hidden="false" customHeight="false" outlineLevel="0" collapsed="false">
      <c r="A25" s="71" t="n">
        <v>10</v>
      </c>
      <c r="B25" s="72" t="n">
        <f aca="false">EOMONTH($C$10,9)</f>
        <v>46691</v>
      </c>
      <c r="C25" s="29" t="n">
        <f aca="false">G24</f>
        <v>42783896.3386581</v>
      </c>
      <c r="D25" s="29" t="n">
        <f aca="false">IF(A25&gt;$C$6,MIN(C25,$C$13),0)</f>
        <v>0</v>
      </c>
      <c r="E25" s="29" t="n">
        <f aca="false">C25*$C$8*DAY(B25)/$C$11</f>
        <v>257891.819596911</v>
      </c>
      <c r="F25" s="29" t="n">
        <f aca="false">D25+E25</f>
        <v>257891.819596911</v>
      </c>
      <c r="G25" s="29" t="n">
        <f aca="false">C25-D25</f>
        <v>42783896.3386581</v>
      </c>
      <c r="H25" s="71" t="n">
        <f aca="false">YEAR(B25)</f>
        <v>2027</v>
      </c>
      <c r="I25" s="71" t="n">
        <f aca="false">H25-2026</f>
        <v>1</v>
      </c>
    </row>
    <row r="26" customFormat="false" ht="15" hidden="false" customHeight="false" outlineLevel="0" collapsed="false">
      <c r="A26" s="71" t="n">
        <v>11</v>
      </c>
      <c r="B26" s="72" t="n">
        <f aca="false">EOMONTH($C$10,10)</f>
        <v>46721</v>
      </c>
      <c r="C26" s="29" t="n">
        <f aca="false">G25</f>
        <v>42783896.3386581</v>
      </c>
      <c r="D26" s="29" t="n">
        <f aca="false">IF(A26&gt;$C$6,MIN(C26,$C$13),0)</f>
        <v>0</v>
      </c>
      <c r="E26" s="29" t="n">
        <f aca="false">C26*$C$8*DAY(B26)/$C$11</f>
        <v>249572.728642172</v>
      </c>
      <c r="F26" s="29" t="n">
        <f aca="false">D26+E26</f>
        <v>249572.728642172</v>
      </c>
      <c r="G26" s="29" t="n">
        <f aca="false">C26-D26</f>
        <v>42783896.3386581</v>
      </c>
      <c r="H26" s="71" t="n">
        <f aca="false">YEAR(B26)</f>
        <v>2027</v>
      </c>
      <c r="I26" s="71" t="n">
        <f aca="false">H26-2026</f>
        <v>1</v>
      </c>
    </row>
    <row r="27" customFormat="false" ht="15" hidden="false" customHeight="false" outlineLevel="0" collapsed="false">
      <c r="A27" s="71" t="n">
        <v>12</v>
      </c>
      <c r="B27" s="72" t="n">
        <f aca="false">EOMONTH($C$10,11)</f>
        <v>46752</v>
      </c>
      <c r="C27" s="29" t="n">
        <f aca="false">G26</f>
        <v>42783896.3386581</v>
      </c>
      <c r="D27" s="29" t="n">
        <f aca="false">IF(A27&gt;$C$6,MIN(C27,$C$13),0)</f>
        <v>0</v>
      </c>
      <c r="E27" s="29" t="n">
        <f aca="false">C27*$C$8*DAY(B27)/$C$11</f>
        <v>257891.819596911</v>
      </c>
      <c r="F27" s="29" t="n">
        <f aca="false">D27+E27</f>
        <v>257891.819596911</v>
      </c>
      <c r="G27" s="29" t="n">
        <f aca="false">C27-D27</f>
        <v>42783896.3386581</v>
      </c>
      <c r="H27" s="71" t="n">
        <f aca="false">YEAR(B27)</f>
        <v>2027</v>
      </c>
      <c r="I27" s="71" t="n">
        <f aca="false">H27-2026</f>
        <v>1</v>
      </c>
    </row>
    <row r="28" customFormat="false" ht="15" hidden="false" customHeight="false" outlineLevel="0" collapsed="false">
      <c r="A28" s="71" t="n">
        <v>13</v>
      </c>
      <c r="B28" s="72" t="n">
        <f aca="false">EOMONTH($C$10,12)</f>
        <v>46783</v>
      </c>
      <c r="C28" s="29" t="n">
        <f aca="false">G27</f>
        <v>42783896.3386581</v>
      </c>
      <c r="D28" s="29" t="n">
        <f aca="false">IF(A28&gt;$C$6,MIN(C28,$C$13),0)</f>
        <v>594220.782481362</v>
      </c>
      <c r="E28" s="29" t="n">
        <f aca="false">C28*$C$8*DAY(B28)/$C$11</f>
        <v>257891.819596911</v>
      </c>
      <c r="F28" s="29" t="n">
        <f aca="false">D28+E28</f>
        <v>852112.602078273</v>
      </c>
      <c r="G28" s="29" t="n">
        <f aca="false">C28-D28</f>
        <v>42189675.5561767</v>
      </c>
      <c r="H28" s="71" t="n">
        <f aca="false">YEAR(B28)</f>
        <v>2028</v>
      </c>
      <c r="I28" s="71" t="n">
        <f aca="false">H28-2026</f>
        <v>2</v>
      </c>
    </row>
    <row r="29" customFormat="false" ht="15" hidden="false" customHeight="false" outlineLevel="0" collapsed="false">
      <c r="A29" s="71" t="n">
        <v>14</v>
      </c>
      <c r="B29" s="72" t="n">
        <f aca="false">EOMONTH($C$10,13)</f>
        <v>46812</v>
      </c>
      <c r="C29" s="29" t="n">
        <f aca="false">G28</f>
        <v>42189675.5561767</v>
      </c>
      <c r="D29" s="29" t="n">
        <f aca="false">IF(A29&gt;$C$6,MIN(C29,$C$13),0)</f>
        <v>594220.782481362</v>
      </c>
      <c r="E29" s="29" t="n">
        <f aca="false">C29*$C$8*DAY(B29)/$C$11</f>
        <v>237902.892719552</v>
      </c>
      <c r="F29" s="29" t="n">
        <f aca="false">D29+E29</f>
        <v>832123.675200914</v>
      </c>
      <c r="G29" s="29" t="n">
        <f aca="false">C29-D29</f>
        <v>41595454.7736954</v>
      </c>
      <c r="H29" s="71" t="n">
        <f aca="false">YEAR(B29)</f>
        <v>2028</v>
      </c>
      <c r="I29" s="71" t="n">
        <f aca="false">H29-2026</f>
        <v>2</v>
      </c>
    </row>
    <row r="30" customFormat="false" ht="15" hidden="false" customHeight="false" outlineLevel="0" collapsed="false">
      <c r="A30" s="71" t="n">
        <v>15</v>
      </c>
      <c r="B30" s="72" t="n">
        <f aca="false">EOMONTH($C$10,14)</f>
        <v>46843</v>
      </c>
      <c r="C30" s="29" t="n">
        <f aca="false">G29</f>
        <v>41595454.7736954</v>
      </c>
      <c r="D30" s="29" t="n">
        <f aca="false">IF(A30&gt;$C$6,MIN(C30,$C$13),0)</f>
        <v>594220.782481362</v>
      </c>
      <c r="E30" s="29" t="n">
        <f aca="false">C30*$C$8*DAY(B30)/$C$11</f>
        <v>250728.157941441</v>
      </c>
      <c r="F30" s="29" t="n">
        <f aca="false">D30+E30</f>
        <v>844948.940422804</v>
      </c>
      <c r="G30" s="29" t="n">
        <f aca="false">C30-D30</f>
        <v>41001233.991214</v>
      </c>
      <c r="H30" s="71" t="n">
        <f aca="false">YEAR(B30)</f>
        <v>2028</v>
      </c>
      <c r="I30" s="71" t="n">
        <f aca="false">H30-2026</f>
        <v>2</v>
      </c>
    </row>
    <row r="31" customFormat="false" ht="15" hidden="false" customHeight="false" outlineLevel="0" collapsed="false">
      <c r="A31" s="71" t="n">
        <v>16</v>
      </c>
      <c r="B31" s="72" t="n">
        <f aca="false">EOMONTH($C$10,15)</f>
        <v>46873</v>
      </c>
      <c r="C31" s="29" t="n">
        <f aca="false">G30</f>
        <v>41001233.991214</v>
      </c>
      <c r="D31" s="29" t="n">
        <f aca="false">IF(A31&gt;$C$6,MIN(C31,$C$13),0)</f>
        <v>594220.782481362</v>
      </c>
      <c r="E31" s="29" t="n">
        <f aca="false">C31*$C$8*DAY(B31)/$C$11</f>
        <v>239173.864948748</v>
      </c>
      <c r="F31" s="29" t="n">
        <f aca="false">D31+E31</f>
        <v>833394.647430111</v>
      </c>
      <c r="G31" s="29" t="n">
        <f aca="false">C31-D31</f>
        <v>40407013.2087326</v>
      </c>
      <c r="H31" s="71" t="n">
        <f aca="false">YEAR(B31)</f>
        <v>2028</v>
      </c>
      <c r="I31" s="71" t="n">
        <f aca="false">H31-2026</f>
        <v>2</v>
      </c>
    </row>
    <row r="32" customFormat="false" ht="15" hidden="false" customHeight="false" outlineLevel="0" collapsed="false">
      <c r="A32" s="71" t="n">
        <v>17</v>
      </c>
      <c r="B32" s="72" t="n">
        <f aca="false">EOMONTH($C$10,16)</f>
        <v>46904</v>
      </c>
      <c r="C32" s="29" t="n">
        <f aca="false">G31</f>
        <v>40407013.2087326</v>
      </c>
      <c r="D32" s="29" t="n">
        <f aca="false">IF(A32&gt;$C$6,MIN(C32,$C$13),0)</f>
        <v>594220.782481362</v>
      </c>
      <c r="E32" s="29" t="n">
        <f aca="false">C32*$C$8*DAY(B32)/$C$11</f>
        <v>243564.496285972</v>
      </c>
      <c r="F32" s="29" t="n">
        <f aca="false">D32+E32</f>
        <v>837785.278767334</v>
      </c>
      <c r="G32" s="29" t="n">
        <f aca="false">C32-D32</f>
        <v>39812792.4262513</v>
      </c>
      <c r="H32" s="71" t="n">
        <f aca="false">YEAR(B32)</f>
        <v>2028</v>
      </c>
      <c r="I32" s="71" t="n">
        <f aca="false">H32-2026</f>
        <v>2</v>
      </c>
    </row>
    <row r="33" customFormat="false" ht="15" hidden="false" customHeight="false" outlineLevel="0" collapsed="false">
      <c r="A33" s="71" t="n">
        <v>18</v>
      </c>
      <c r="B33" s="72" t="n">
        <f aca="false">EOMONTH($C$10,17)</f>
        <v>46934</v>
      </c>
      <c r="C33" s="29" t="n">
        <f aca="false">G32</f>
        <v>39812792.4262513</v>
      </c>
      <c r="D33" s="29" t="n">
        <f aca="false">IF(A33&gt;$C$6,MIN(C33,$C$13),0)</f>
        <v>594220.782481362</v>
      </c>
      <c r="E33" s="29" t="n">
        <f aca="false">C33*$C$8*DAY(B33)/$C$11</f>
        <v>232241.289153132</v>
      </c>
      <c r="F33" s="29" t="n">
        <f aca="false">D33+E33</f>
        <v>826462.071634495</v>
      </c>
      <c r="G33" s="29" t="n">
        <f aca="false">C33-D33</f>
        <v>39218571.6437699</v>
      </c>
      <c r="H33" s="71" t="n">
        <f aca="false">YEAR(B33)</f>
        <v>2028</v>
      </c>
      <c r="I33" s="71" t="n">
        <f aca="false">H33-2026</f>
        <v>2</v>
      </c>
    </row>
    <row r="34" customFormat="false" ht="15" hidden="false" customHeight="false" outlineLevel="0" collapsed="false">
      <c r="A34" s="71" t="n">
        <v>19</v>
      </c>
      <c r="B34" s="72" t="n">
        <f aca="false">EOMONTH($C$10,18)</f>
        <v>46965</v>
      </c>
      <c r="C34" s="29" t="n">
        <f aca="false">G33</f>
        <v>39218571.6437699</v>
      </c>
      <c r="D34" s="29" t="n">
        <f aca="false">IF(A34&gt;$C$6,MIN(C34,$C$13),0)</f>
        <v>594220.782481362</v>
      </c>
      <c r="E34" s="29" t="n">
        <f aca="false">C34*$C$8*DAY(B34)/$C$11</f>
        <v>236400.834630502</v>
      </c>
      <c r="F34" s="29" t="n">
        <f aca="false">D34+E34</f>
        <v>830621.617111864</v>
      </c>
      <c r="G34" s="29" t="n">
        <f aca="false">C34-D34</f>
        <v>38624350.8612885</v>
      </c>
      <c r="H34" s="71" t="n">
        <f aca="false">YEAR(B34)</f>
        <v>2028</v>
      </c>
      <c r="I34" s="71" t="n">
        <f aca="false">H34-2026</f>
        <v>2</v>
      </c>
    </row>
    <row r="35" customFormat="false" ht="15" hidden="false" customHeight="false" outlineLevel="0" collapsed="false">
      <c r="A35" s="71" t="n">
        <v>20</v>
      </c>
      <c r="B35" s="72" t="n">
        <f aca="false">EOMONTH($C$10,19)</f>
        <v>46996</v>
      </c>
      <c r="C35" s="29" t="n">
        <f aca="false">G34</f>
        <v>38624350.8612885</v>
      </c>
      <c r="D35" s="29" t="n">
        <f aca="false">IF(A35&gt;$C$6,MIN(C35,$C$13),0)</f>
        <v>594220.782481362</v>
      </c>
      <c r="E35" s="29" t="n">
        <f aca="false">C35*$C$8*DAY(B35)/$C$11</f>
        <v>232819.003802767</v>
      </c>
      <c r="F35" s="29" t="n">
        <f aca="false">D35+E35</f>
        <v>827039.786284129</v>
      </c>
      <c r="G35" s="29" t="n">
        <f aca="false">C35-D35</f>
        <v>38030130.0788072</v>
      </c>
      <c r="H35" s="71" t="n">
        <f aca="false">YEAR(B35)</f>
        <v>2028</v>
      </c>
      <c r="I35" s="71" t="n">
        <f aca="false">H35-2026</f>
        <v>2</v>
      </c>
    </row>
    <row r="36" customFormat="false" ht="15" hidden="false" customHeight="false" outlineLevel="0" collapsed="false">
      <c r="A36" s="71" t="n">
        <v>21</v>
      </c>
      <c r="B36" s="72" t="n">
        <f aca="false">EOMONTH($C$10,20)</f>
        <v>47026</v>
      </c>
      <c r="C36" s="29" t="n">
        <f aca="false">G35</f>
        <v>38030130.0788072</v>
      </c>
      <c r="D36" s="29" t="n">
        <f aca="false">IF(A36&gt;$C$6,MIN(C36,$C$13),0)</f>
        <v>594220.782481362</v>
      </c>
      <c r="E36" s="29" t="n">
        <f aca="false">C36*$C$8*DAY(B36)/$C$11</f>
        <v>221842.425459709</v>
      </c>
      <c r="F36" s="29" t="n">
        <f aca="false">D36+E36</f>
        <v>816063.207941071</v>
      </c>
      <c r="G36" s="29" t="n">
        <f aca="false">C36-D36</f>
        <v>37435909.2963258</v>
      </c>
      <c r="H36" s="71" t="n">
        <f aca="false">YEAR(B36)</f>
        <v>2028</v>
      </c>
      <c r="I36" s="71" t="n">
        <f aca="false">H36-2026</f>
        <v>2</v>
      </c>
    </row>
    <row r="37" customFormat="false" ht="15" hidden="false" customHeight="false" outlineLevel="0" collapsed="false">
      <c r="A37" s="71" t="n">
        <v>22</v>
      </c>
      <c r="B37" s="72" t="n">
        <f aca="false">EOMONTH($C$10,21)</f>
        <v>47057</v>
      </c>
      <c r="C37" s="29" t="n">
        <f aca="false">G36</f>
        <v>37435909.2963258</v>
      </c>
      <c r="D37" s="29" t="n">
        <f aca="false">IF(A37&gt;$C$6,MIN(C37,$C$13),0)</f>
        <v>594220.782481362</v>
      </c>
      <c r="E37" s="29" t="n">
        <f aca="false">C37*$C$8*DAY(B37)/$C$11</f>
        <v>225655.342147297</v>
      </c>
      <c r="F37" s="29" t="n">
        <f aca="false">D37+E37</f>
        <v>819876.12462866</v>
      </c>
      <c r="G37" s="29" t="n">
        <f aca="false">C37-D37</f>
        <v>36841688.5138444</v>
      </c>
      <c r="H37" s="71" t="n">
        <f aca="false">YEAR(B37)</f>
        <v>2028</v>
      </c>
      <c r="I37" s="71" t="n">
        <f aca="false">H37-2026</f>
        <v>2</v>
      </c>
    </row>
    <row r="38" customFormat="false" ht="15" hidden="false" customHeight="false" outlineLevel="0" collapsed="false">
      <c r="A38" s="71" t="n">
        <v>23</v>
      </c>
      <c r="B38" s="72" t="n">
        <f aca="false">EOMONTH($C$10,22)</f>
        <v>47087</v>
      </c>
      <c r="C38" s="29" t="n">
        <f aca="false">G37</f>
        <v>36841688.5138444</v>
      </c>
      <c r="D38" s="29" t="n">
        <f aca="false">IF(A38&gt;$C$6,MIN(C38,$C$13),0)</f>
        <v>594220.782481362</v>
      </c>
      <c r="E38" s="29" t="n">
        <f aca="false">C38*$C$8*DAY(B38)/$C$11</f>
        <v>214909.849664093</v>
      </c>
      <c r="F38" s="29" t="n">
        <f aca="false">D38+E38</f>
        <v>809130.632145455</v>
      </c>
      <c r="G38" s="29" t="n">
        <f aca="false">C38-D38</f>
        <v>36247467.7313631</v>
      </c>
      <c r="H38" s="71" t="n">
        <f aca="false">YEAR(B38)</f>
        <v>2028</v>
      </c>
      <c r="I38" s="71" t="n">
        <f aca="false">H38-2026</f>
        <v>2</v>
      </c>
    </row>
    <row r="39" customFormat="false" ht="15" hidden="false" customHeight="false" outlineLevel="0" collapsed="false">
      <c r="A39" s="71" t="n">
        <v>24</v>
      </c>
      <c r="B39" s="72" t="n">
        <f aca="false">EOMONTH($C$10,23)</f>
        <v>47118</v>
      </c>
      <c r="C39" s="29" t="n">
        <f aca="false">G38</f>
        <v>36247467.7313631</v>
      </c>
      <c r="D39" s="29" t="n">
        <f aca="false">IF(A39&gt;$C$6,MIN(C39,$C$13),0)</f>
        <v>594220.782481362</v>
      </c>
      <c r="E39" s="29" t="n">
        <f aca="false">C39*$C$8*DAY(B39)/$C$11</f>
        <v>218491.680491827</v>
      </c>
      <c r="F39" s="29" t="n">
        <f aca="false">D39+E39</f>
        <v>812712.46297319</v>
      </c>
      <c r="G39" s="29" t="n">
        <f aca="false">C39-D39</f>
        <v>35653246.9488817</v>
      </c>
      <c r="H39" s="71" t="n">
        <f aca="false">YEAR(B39)</f>
        <v>2028</v>
      </c>
      <c r="I39" s="71" t="n">
        <f aca="false">H39-2026</f>
        <v>2</v>
      </c>
    </row>
    <row r="40" customFormat="false" ht="15" hidden="false" customHeight="false" outlineLevel="0" collapsed="false">
      <c r="A40" s="71" t="n">
        <v>25</v>
      </c>
      <c r="B40" s="72" t="n">
        <f aca="false">EOMONTH($C$10,24)</f>
        <v>47149</v>
      </c>
      <c r="C40" s="29" t="n">
        <f aca="false">G39</f>
        <v>35653246.9488817</v>
      </c>
      <c r="D40" s="29" t="n">
        <f aca="false">IF(A40&gt;$C$6,MIN(C40,$C$13),0)</f>
        <v>594220.782481362</v>
      </c>
      <c r="E40" s="29" t="n">
        <f aca="false">C40*$C$8*DAY(B40)/$C$11</f>
        <v>214909.849664093</v>
      </c>
      <c r="F40" s="29" t="n">
        <f aca="false">D40+E40</f>
        <v>809130.632145455</v>
      </c>
      <c r="G40" s="29" t="n">
        <f aca="false">C40-D40</f>
        <v>35059026.1664003</v>
      </c>
      <c r="H40" s="71" t="n">
        <f aca="false">YEAR(B40)</f>
        <v>2029</v>
      </c>
      <c r="I40" s="71" t="n">
        <f aca="false">H40-2026</f>
        <v>3</v>
      </c>
    </row>
    <row r="41" customFormat="false" ht="15" hidden="false" customHeight="false" outlineLevel="0" collapsed="false">
      <c r="A41" s="71" t="n">
        <v>26</v>
      </c>
      <c r="B41" s="72" t="n">
        <f aca="false">EOMONTH($C$10,25)</f>
        <v>47177</v>
      </c>
      <c r="C41" s="29" t="n">
        <f aca="false">G40</f>
        <v>35059026.1664003</v>
      </c>
      <c r="D41" s="29" t="n">
        <f aca="false">IF(A41&gt;$C$6,MIN(C41,$C$13),0)</f>
        <v>594220.782481362</v>
      </c>
      <c r="E41" s="29" t="n">
        <f aca="false">C41*$C$8*DAY(B41)/$C$11</f>
        <v>190876.920239291</v>
      </c>
      <c r="F41" s="29" t="n">
        <f aca="false">D41+E41</f>
        <v>785097.702720653</v>
      </c>
      <c r="G41" s="29" t="n">
        <f aca="false">C41-D41</f>
        <v>34464805.383919</v>
      </c>
      <c r="H41" s="71" t="n">
        <f aca="false">YEAR(B41)</f>
        <v>2029</v>
      </c>
      <c r="I41" s="71" t="n">
        <f aca="false">H41-2026</f>
        <v>3</v>
      </c>
    </row>
    <row r="42" customFormat="false" ht="15" hidden="false" customHeight="false" outlineLevel="0" collapsed="false">
      <c r="A42" s="71" t="n">
        <v>27</v>
      </c>
      <c r="B42" s="72" t="n">
        <f aca="false">EOMONTH($C$10,26)</f>
        <v>47208</v>
      </c>
      <c r="C42" s="29" t="n">
        <f aca="false">G41</f>
        <v>34464805.383919</v>
      </c>
      <c r="D42" s="29" t="n">
        <f aca="false">IF(A42&gt;$C$6,MIN(C42,$C$13),0)</f>
        <v>594220.782481362</v>
      </c>
      <c r="E42" s="29" t="n">
        <f aca="false">C42*$C$8*DAY(B42)/$C$11</f>
        <v>207746.188008623</v>
      </c>
      <c r="F42" s="29" t="n">
        <f aca="false">D42+E42</f>
        <v>801966.970489985</v>
      </c>
      <c r="G42" s="29" t="n">
        <f aca="false">C42-D42</f>
        <v>33870584.6014376</v>
      </c>
      <c r="H42" s="71" t="n">
        <f aca="false">YEAR(B42)</f>
        <v>2029</v>
      </c>
      <c r="I42" s="71" t="n">
        <f aca="false">H42-2026</f>
        <v>3</v>
      </c>
    </row>
    <row r="43" customFormat="false" ht="15" hidden="false" customHeight="false" outlineLevel="0" collapsed="false">
      <c r="A43" s="71" t="n">
        <v>28</v>
      </c>
      <c r="B43" s="72" t="n">
        <f aca="false">EOMONTH($C$10,27)</f>
        <v>47238</v>
      </c>
      <c r="C43" s="29" t="n">
        <f aca="false">G42</f>
        <v>33870584.6014376</v>
      </c>
      <c r="D43" s="29" t="n">
        <f aca="false">IF(A43&gt;$C$6,MIN(C43,$C$13),0)</f>
        <v>594220.782481362</v>
      </c>
      <c r="E43" s="29" t="n">
        <f aca="false">C43*$C$8*DAY(B43)/$C$11</f>
        <v>197578.410175053</v>
      </c>
      <c r="F43" s="29" t="n">
        <f aca="false">D43+E43</f>
        <v>791799.192656415</v>
      </c>
      <c r="G43" s="29" t="n">
        <f aca="false">C43-D43</f>
        <v>33276363.8189562</v>
      </c>
      <c r="H43" s="71" t="n">
        <f aca="false">YEAR(B43)</f>
        <v>2029</v>
      </c>
      <c r="I43" s="71" t="n">
        <f aca="false">H43-2026</f>
        <v>3</v>
      </c>
    </row>
    <row r="44" customFormat="false" ht="15" hidden="false" customHeight="false" outlineLevel="0" collapsed="false">
      <c r="A44" s="71" t="n">
        <v>29</v>
      </c>
      <c r="B44" s="72" t="n">
        <f aca="false">EOMONTH($C$10,28)</f>
        <v>47269</v>
      </c>
      <c r="C44" s="29" t="n">
        <f aca="false">G43</f>
        <v>33276363.8189562</v>
      </c>
      <c r="D44" s="29" t="n">
        <f aca="false">IF(A44&gt;$C$6,MIN(C44,$C$13),0)</f>
        <v>594220.782481362</v>
      </c>
      <c r="E44" s="29" t="n">
        <f aca="false">C44*$C$8*DAY(B44)/$C$11</f>
        <v>200582.526353153</v>
      </c>
      <c r="F44" s="29" t="n">
        <f aca="false">D44+E44</f>
        <v>794803.308834515</v>
      </c>
      <c r="G44" s="29" t="n">
        <f aca="false">C44-D44</f>
        <v>32682143.0364749</v>
      </c>
      <c r="H44" s="71" t="n">
        <f aca="false">YEAR(B44)</f>
        <v>2029</v>
      </c>
      <c r="I44" s="71" t="n">
        <f aca="false">H44-2026</f>
        <v>3</v>
      </c>
    </row>
    <row r="45" customFormat="false" ht="15" hidden="false" customHeight="false" outlineLevel="0" collapsed="false">
      <c r="A45" s="71" t="n">
        <v>30</v>
      </c>
      <c r="B45" s="72" t="n">
        <f aca="false">EOMONTH($C$10,29)</f>
        <v>47299</v>
      </c>
      <c r="C45" s="29" t="n">
        <f aca="false">G44</f>
        <v>32682143.0364749</v>
      </c>
      <c r="D45" s="29" t="n">
        <f aca="false">IF(A45&gt;$C$6,MIN(C45,$C$13),0)</f>
        <v>594220.782481362</v>
      </c>
      <c r="E45" s="29" t="n">
        <f aca="false">C45*$C$8*DAY(B45)/$C$11</f>
        <v>190645.834379437</v>
      </c>
      <c r="F45" s="29" t="n">
        <f aca="false">D45+E45</f>
        <v>784866.616860799</v>
      </c>
      <c r="G45" s="29" t="n">
        <f aca="false">C45-D45</f>
        <v>32087922.2539935</v>
      </c>
      <c r="H45" s="71" t="n">
        <f aca="false">YEAR(B45)</f>
        <v>2029</v>
      </c>
      <c r="I45" s="71" t="n">
        <f aca="false">H45-2026</f>
        <v>3</v>
      </c>
    </row>
    <row r="46" customFormat="false" ht="15" hidden="false" customHeight="false" outlineLevel="0" collapsed="false">
      <c r="A46" s="71" t="n">
        <v>31</v>
      </c>
      <c r="B46" s="72" t="n">
        <f aca="false">EOMONTH($C$10,30)</f>
        <v>47330</v>
      </c>
      <c r="C46" s="29" t="n">
        <f aca="false">G45</f>
        <v>32087922.2539935</v>
      </c>
      <c r="D46" s="29" t="n">
        <f aca="false">IF(A46&gt;$C$6,MIN(C46,$C$13),0)</f>
        <v>594220.782481362</v>
      </c>
      <c r="E46" s="29" t="n">
        <f aca="false">C46*$C$8*DAY(B46)/$C$11</f>
        <v>193418.864697683</v>
      </c>
      <c r="F46" s="29" t="n">
        <f aca="false">D46+E46</f>
        <v>787639.647179046</v>
      </c>
      <c r="G46" s="29" t="n">
        <f aca="false">C46-D46</f>
        <v>31493701.4715122</v>
      </c>
      <c r="H46" s="71" t="n">
        <f aca="false">YEAR(B46)</f>
        <v>2029</v>
      </c>
      <c r="I46" s="71" t="n">
        <f aca="false">H46-2026</f>
        <v>3</v>
      </c>
    </row>
    <row r="47" customFormat="false" ht="15" hidden="false" customHeight="false" outlineLevel="0" collapsed="false">
      <c r="A47" s="71" t="n">
        <v>32</v>
      </c>
      <c r="B47" s="72" t="n">
        <f aca="false">EOMONTH($C$10,31)</f>
        <v>47361</v>
      </c>
      <c r="C47" s="29" t="n">
        <f aca="false">G46</f>
        <v>31493701.4715122</v>
      </c>
      <c r="D47" s="29" t="n">
        <f aca="false">IF(A47&gt;$C$6,MIN(C47,$C$13),0)</f>
        <v>594220.782481362</v>
      </c>
      <c r="E47" s="29" t="n">
        <f aca="false">C47*$C$8*DAY(B47)/$C$11</f>
        <v>189837.033869948</v>
      </c>
      <c r="F47" s="29" t="n">
        <f aca="false">D47+E47</f>
        <v>784057.816351311</v>
      </c>
      <c r="G47" s="29" t="n">
        <f aca="false">C47-D47</f>
        <v>30899480.6890308</v>
      </c>
      <c r="H47" s="71" t="n">
        <f aca="false">YEAR(B47)</f>
        <v>2029</v>
      </c>
      <c r="I47" s="71" t="n">
        <f aca="false">H47-2026</f>
        <v>3</v>
      </c>
    </row>
    <row r="48" customFormat="false" ht="15" hidden="false" customHeight="false" outlineLevel="0" collapsed="false">
      <c r="A48" s="71" t="n">
        <v>33</v>
      </c>
      <c r="B48" s="72" t="n">
        <f aca="false">EOMONTH($C$10,32)</f>
        <v>47391</v>
      </c>
      <c r="C48" s="29" t="n">
        <f aca="false">G47</f>
        <v>30899480.6890308</v>
      </c>
      <c r="D48" s="29" t="n">
        <f aca="false">IF(A48&gt;$C$6,MIN(C48,$C$13),0)</f>
        <v>594220.782481362</v>
      </c>
      <c r="E48" s="29" t="n">
        <f aca="false">C48*$C$8*DAY(B48)/$C$11</f>
        <v>180246.970686013</v>
      </c>
      <c r="F48" s="29" t="n">
        <f aca="false">D48+E48</f>
        <v>774467.753167375</v>
      </c>
      <c r="G48" s="29" t="n">
        <f aca="false">C48-D48</f>
        <v>30305259.9065494</v>
      </c>
      <c r="H48" s="71" t="n">
        <f aca="false">YEAR(B48)</f>
        <v>2029</v>
      </c>
      <c r="I48" s="71" t="n">
        <f aca="false">H48-2026</f>
        <v>3</v>
      </c>
    </row>
    <row r="49" customFormat="false" ht="15" hidden="false" customHeight="false" outlineLevel="0" collapsed="false">
      <c r="A49" s="71" t="n">
        <v>34</v>
      </c>
      <c r="B49" s="72" t="n">
        <f aca="false">EOMONTH($C$10,33)</f>
        <v>47422</v>
      </c>
      <c r="C49" s="29" t="n">
        <f aca="false">G48</f>
        <v>30305259.9065494</v>
      </c>
      <c r="D49" s="29" t="n">
        <f aca="false">IF(A49&gt;$C$6,MIN(C49,$C$13),0)</f>
        <v>594220.782481362</v>
      </c>
      <c r="E49" s="29" t="n">
        <f aca="false">C49*$C$8*DAY(B49)/$C$11</f>
        <v>182673.372214479</v>
      </c>
      <c r="F49" s="29" t="n">
        <f aca="false">D49+E49</f>
        <v>776894.154695841</v>
      </c>
      <c r="G49" s="29" t="n">
        <f aca="false">C49-D49</f>
        <v>29711039.1240681</v>
      </c>
      <c r="H49" s="71" t="n">
        <f aca="false">YEAR(B49)</f>
        <v>2029</v>
      </c>
      <c r="I49" s="71" t="n">
        <f aca="false">H49-2026</f>
        <v>3</v>
      </c>
    </row>
    <row r="50" customFormat="false" ht="15" hidden="false" customHeight="false" outlineLevel="0" collapsed="false">
      <c r="A50" s="71" t="n">
        <v>35</v>
      </c>
      <c r="B50" s="72" t="n">
        <f aca="false">EOMONTH($C$10,34)</f>
        <v>47452</v>
      </c>
      <c r="C50" s="29" t="n">
        <f aca="false">G49</f>
        <v>29711039.1240681</v>
      </c>
      <c r="D50" s="29" t="n">
        <f aca="false">IF(A50&gt;$C$6,MIN(C50,$C$13),0)</f>
        <v>594220.782481362</v>
      </c>
      <c r="E50" s="29" t="n">
        <f aca="false">C50*$C$8*DAY(B50)/$C$11</f>
        <v>173314.394890397</v>
      </c>
      <c r="F50" s="29" t="n">
        <f aca="false">D50+E50</f>
        <v>767535.177371759</v>
      </c>
      <c r="G50" s="29" t="n">
        <f aca="false">C50-D50</f>
        <v>29116818.3415867</v>
      </c>
      <c r="H50" s="71" t="n">
        <f aca="false">YEAR(B50)</f>
        <v>2029</v>
      </c>
      <c r="I50" s="71" t="n">
        <f aca="false">H50-2026</f>
        <v>3</v>
      </c>
    </row>
    <row r="51" customFormat="false" ht="15" hidden="false" customHeight="false" outlineLevel="0" collapsed="false">
      <c r="A51" s="71" t="n">
        <v>36</v>
      </c>
      <c r="B51" s="72" t="n">
        <f aca="false">EOMONTH($C$10,35)</f>
        <v>47483</v>
      </c>
      <c r="C51" s="29" t="n">
        <f aca="false">G50</f>
        <v>29116818.3415867</v>
      </c>
      <c r="D51" s="29" t="n">
        <f aca="false">IF(A51&gt;$C$6,MIN(C51,$C$13),0)</f>
        <v>594220.782481362</v>
      </c>
      <c r="E51" s="29" t="n">
        <f aca="false">C51*$C$8*DAY(B51)/$C$11</f>
        <v>175509.710559009</v>
      </c>
      <c r="F51" s="29" t="n">
        <f aca="false">D51+E51</f>
        <v>769730.493040371</v>
      </c>
      <c r="G51" s="29" t="n">
        <f aca="false">C51-D51</f>
        <v>28522597.5591054</v>
      </c>
      <c r="H51" s="71" t="n">
        <f aca="false">YEAR(B51)</f>
        <v>2029</v>
      </c>
      <c r="I51" s="71" t="n">
        <f aca="false">H51-2026</f>
        <v>3</v>
      </c>
    </row>
    <row r="52" customFormat="false" ht="15" hidden="false" customHeight="false" outlineLevel="0" collapsed="false">
      <c r="A52" s="71" t="n">
        <v>37</v>
      </c>
      <c r="B52" s="72" t="n">
        <f aca="false">EOMONTH($C$10,36)</f>
        <v>47514</v>
      </c>
      <c r="C52" s="29" t="n">
        <f aca="false">G51</f>
        <v>28522597.5591054</v>
      </c>
      <c r="D52" s="29" t="n">
        <f aca="false">IF(A52&gt;$C$6,MIN(C52,$C$13),0)</f>
        <v>594220.782481362</v>
      </c>
      <c r="E52" s="29" t="n">
        <f aca="false">C52*$C$8*DAY(B52)/$C$11</f>
        <v>171927.879731274</v>
      </c>
      <c r="F52" s="29" t="n">
        <f aca="false">D52+E52</f>
        <v>766148.662212636</v>
      </c>
      <c r="G52" s="29" t="n">
        <f aca="false">C52-D52</f>
        <v>27928376.776624</v>
      </c>
      <c r="H52" s="71" t="n">
        <f aca="false">YEAR(B52)</f>
        <v>2030</v>
      </c>
      <c r="I52" s="71" t="n">
        <f aca="false">H52-2026</f>
        <v>4</v>
      </c>
    </row>
    <row r="53" customFormat="false" ht="15" hidden="false" customHeight="false" outlineLevel="0" collapsed="false">
      <c r="A53" s="71" t="n">
        <v>38</v>
      </c>
      <c r="B53" s="72" t="n">
        <f aca="false">EOMONTH($C$10,37)</f>
        <v>47542</v>
      </c>
      <c r="C53" s="29" t="n">
        <f aca="false">G52</f>
        <v>27928376.776624</v>
      </c>
      <c r="D53" s="29" t="n">
        <f aca="false">IF(A53&gt;$C$6,MIN(C53,$C$13),0)</f>
        <v>594220.782481362</v>
      </c>
      <c r="E53" s="29" t="n">
        <f aca="false">C53*$C$8*DAY(B53)/$C$11</f>
        <v>152054.495783842</v>
      </c>
      <c r="F53" s="29" t="n">
        <f aca="false">D53+E53</f>
        <v>746275.278265204</v>
      </c>
      <c r="G53" s="29" t="n">
        <f aca="false">C53-D53</f>
        <v>27334155.9941426</v>
      </c>
      <c r="H53" s="71" t="n">
        <f aca="false">YEAR(B53)</f>
        <v>2030</v>
      </c>
      <c r="I53" s="71" t="n">
        <f aca="false">H53-2026</f>
        <v>4</v>
      </c>
    </row>
    <row r="54" customFormat="false" ht="15" hidden="false" customHeight="false" outlineLevel="0" collapsed="false">
      <c r="A54" s="71" t="n">
        <v>39</v>
      </c>
      <c r="B54" s="72" t="n">
        <f aca="false">EOMONTH($C$10,38)</f>
        <v>47573</v>
      </c>
      <c r="C54" s="29" t="n">
        <f aca="false">G53</f>
        <v>27334155.9941426</v>
      </c>
      <c r="D54" s="29" t="n">
        <f aca="false">IF(A54&gt;$C$6,MIN(C54,$C$13),0)</f>
        <v>594220.782481362</v>
      </c>
      <c r="E54" s="29" t="n">
        <f aca="false">C54*$C$8*DAY(B54)/$C$11</f>
        <v>164764.218075804</v>
      </c>
      <c r="F54" s="29" t="n">
        <f aca="false">D54+E54</f>
        <v>758985.000557167</v>
      </c>
      <c r="G54" s="29" t="n">
        <f aca="false">C54-D54</f>
        <v>26739935.2116613</v>
      </c>
      <c r="H54" s="71" t="n">
        <f aca="false">YEAR(B54)</f>
        <v>2030</v>
      </c>
      <c r="I54" s="71" t="n">
        <f aca="false">H54-2026</f>
        <v>4</v>
      </c>
    </row>
    <row r="55" customFormat="false" ht="15" hidden="false" customHeight="false" outlineLevel="0" collapsed="false">
      <c r="A55" s="71" t="n">
        <v>40</v>
      </c>
      <c r="B55" s="72" t="n">
        <f aca="false">EOMONTH($C$10,39)</f>
        <v>47603</v>
      </c>
      <c r="C55" s="29" t="n">
        <f aca="false">G54</f>
        <v>26739935.2116613</v>
      </c>
      <c r="D55" s="29" t="n">
        <f aca="false">IF(A55&gt;$C$6,MIN(C55,$C$13),0)</f>
        <v>594220.782481362</v>
      </c>
      <c r="E55" s="29" t="n">
        <f aca="false">C55*$C$8*DAY(B55)/$C$11</f>
        <v>155982.955401357</v>
      </c>
      <c r="F55" s="29" t="n">
        <f aca="false">D55+E55</f>
        <v>750203.73788272</v>
      </c>
      <c r="G55" s="29" t="n">
        <f aca="false">C55-D55</f>
        <v>26145714.4291799</v>
      </c>
      <c r="H55" s="71" t="n">
        <f aca="false">YEAR(B55)</f>
        <v>2030</v>
      </c>
      <c r="I55" s="71" t="n">
        <f aca="false">H55-2026</f>
        <v>4</v>
      </c>
    </row>
    <row r="56" customFormat="false" ht="15" hidden="false" customHeight="false" outlineLevel="0" collapsed="false">
      <c r="A56" s="71" t="n">
        <v>41</v>
      </c>
      <c r="B56" s="72" t="n">
        <f aca="false">EOMONTH($C$10,40)</f>
        <v>47634</v>
      </c>
      <c r="C56" s="29" t="n">
        <f aca="false">G55</f>
        <v>26145714.4291799</v>
      </c>
      <c r="D56" s="29" t="n">
        <f aca="false">IF(A56&gt;$C$6,MIN(C56,$C$13),0)</f>
        <v>594220.782481362</v>
      </c>
      <c r="E56" s="29" t="n">
        <f aca="false">C56*$C$8*DAY(B56)/$C$11</f>
        <v>157600.556420334</v>
      </c>
      <c r="F56" s="29" t="n">
        <f aca="false">D56+E56</f>
        <v>751821.338901697</v>
      </c>
      <c r="G56" s="29" t="n">
        <f aca="false">C56-D56</f>
        <v>25551493.6466986</v>
      </c>
      <c r="H56" s="71" t="n">
        <f aca="false">YEAR(B56)</f>
        <v>2030</v>
      </c>
      <c r="I56" s="71" t="n">
        <f aca="false">H56-2026</f>
        <v>4</v>
      </c>
    </row>
    <row r="57" customFormat="false" ht="15" hidden="false" customHeight="false" outlineLevel="0" collapsed="false">
      <c r="A57" s="71" t="n">
        <v>42</v>
      </c>
      <c r="B57" s="72" t="n">
        <f aca="false">EOMONTH($C$10,41)</f>
        <v>47664</v>
      </c>
      <c r="C57" s="29" t="n">
        <f aca="false">G56</f>
        <v>25551493.6466986</v>
      </c>
      <c r="D57" s="29" t="n">
        <f aca="false">IF(A57&gt;$C$6,MIN(C57,$C$13),0)</f>
        <v>594220.782481362</v>
      </c>
      <c r="E57" s="29" t="n">
        <f aca="false">C57*$C$8*DAY(B57)/$C$11</f>
        <v>149050.379605742</v>
      </c>
      <c r="F57" s="29" t="n">
        <f aca="false">D57+E57</f>
        <v>743271.162087104</v>
      </c>
      <c r="G57" s="29" t="n">
        <f aca="false">C57-D57</f>
        <v>24957272.8642172</v>
      </c>
      <c r="H57" s="71" t="n">
        <f aca="false">YEAR(B57)</f>
        <v>2030</v>
      </c>
      <c r="I57" s="71" t="n">
        <f aca="false">H57-2026</f>
        <v>4</v>
      </c>
    </row>
    <row r="58" customFormat="false" ht="15" hidden="false" customHeight="false" outlineLevel="0" collapsed="false">
      <c r="A58" s="71" t="n">
        <v>43</v>
      </c>
      <c r="B58" s="72" t="n">
        <f aca="false">EOMONTH($C$10,42)</f>
        <v>47695</v>
      </c>
      <c r="C58" s="29" t="n">
        <f aca="false">G57</f>
        <v>24957272.8642172</v>
      </c>
      <c r="D58" s="29" t="n">
        <f aca="false">IF(A58&gt;$C$6,MIN(C58,$C$13),0)</f>
        <v>594220.782481362</v>
      </c>
      <c r="E58" s="29" t="n">
        <f aca="false">C58*$C$8*DAY(B58)/$C$11</f>
        <v>150436.894764865</v>
      </c>
      <c r="F58" s="29" t="n">
        <f aca="false">D58+E58</f>
        <v>744657.677246227</v>
      </c>
      <c r="G58" s="29" t="n">
        <f aca="false">C58-D58</f>
        <v>24363052.0817358</v>
      </c>
      <c r="H58" s="71" t="n">
        <f aca="false">YEAR(B58)</f>
        <v>2030</v>
      </c>
      <c r="I58" s="71" t="n">
        <f aca="false">H58-2026</f>
        <v>4</v>
      </c>
    </row>
    <row r="59" customFormat="false" ht="15" hidden="false" customHeight="false" outlineLevel="0" collapsed="false">
      <c r="A59" s="71" t="n">
        <v>44</v>
      </c>
      <c r="B59" s="72" t="n">
        <f aca="false">EOMONTH($C$10,43)</f>
        <v>47726</v>
      </c>
      <c r="C59" s="29" t="n">
        <f aca="false">G58</f>
        <v>24363052.0817358</v>
      </c>
      <c r="D59" s="29" t="n">
        <f aca="false">IF(A59&gt;$C$6,MIN(C59,$C$13),0)</f>
        <v>594220.782481362</v>
      </c>
      <c r="E59" s="29" t="n">
        <f aca="false">C59*$C$8*DAY(B59)/$C$11</f>
        <v>146855.06393713</v>
      </c>
      <c r="F59" s="29" t="n">
        <f aca="false">D59+E59</f>
        <v>741075.846418492</v>
      </c>
      <c r="G59" s="29" t="n">
        <f aca="false">C59-D59</f>
        <v>23768831.2992545</v>
      </c>
      <c r="H59" s="71" t="n">
        <f aca="false">YEAR(B59)</f>
        <v>2030</v>
      </c>
      <c r="I59" s="71" t="n">
        <f aca="false">H59-2026</f>
        <v>4</v>
      </c>
    </row>
    <row r="60" customFormat="false" ht="15" hidden="false" customHeight="false" outlineLevel="0" collapsed="false">
      <c r="A60" s="71" t="n">
        <v>45</v>
      </c>
      <c r="B60" s="72" t="n">
        <f aca="false">EOMONTH($C$10,44)</f>
        <v>47756</v>
      </c>
      <c r="C60" s="29" t="n">
        <f aca="false">G59</f>
        <v>23768831.2992545</v>
      </c>
      <c r="D60" s="29" t="n">
        <f aca="false">IF(A60&gt;$C$6,MIN(C60,$C$13),0)</f>
        <v>594220.782481362</v>
      </c>
      <c r="E60" s="29" t="n">
        <f aca="false">C60*$C$8*DAY(B60)/$C$11</f>
        <v>138651.515912318</v>
      </c>
      <c r="F60" s="29" t="n">
        <f aca="false">D60+E60</f>
        <v>732872.29839368</v>
      </c>
      <c r="G60" s="29" t="n">
        <f aca="false">C60-D60</f>
        <v>23174610.5167731</v>
      </c>
      <c r="H60" s="71" t="n">
        <f aca="false">YEAR(B60)</f>
        <v>2030</v>
      </c>
      <c r="I60" s="71" t="n">
        <f aca="false">H60-2026</f>
        <v>4</v>
      </c>
    </row>
    <row r="61" customFormat="false" ht="15" hidden="false" customHeight="false" outlineLevel="0" collapsed="false">
      <c r="A61" s="71" t="n">
        <v>46</v>
      </c>
      <c r="B61" s="72" t="n">
        <f aca="false">EOMONTH($C$10,45)</f>
        <v>47787</v>
      </c>
      <c r="C61" s="29" t="n">
        <f aca="false">G60</f>
        <v>23174610.5167731</v>
      </c>
      <c r="D61" s="29" t="n">
        <f aca="false">IF(A61&gt;$C$6,MIN(C61,$C$13),0)</f>
        <v>594220.782481362</v>
      </c>
      <c r="E61" s="29" t="n">
        <f aca="false">C61*$C$8*DAY(B61)/$C$11</f>
        <v>139691.40228166</v>
      </c>
      <c r="F61" s="29" t="n">
        <f aca="false">D61+E61</f>
        <v>733912.184763022</v>
      </c>
      <c r="G61" s="29" t="n">
        <f aca="false">C61-D61</f>
        <v>22580389.7342917</v>
      </c>
      <c r="H61" s="71" t="n">
        <f aca="false">YEAR(B61)</f>
        <v>2030</v>
      </c>
      <c r="I61" s="71" t="n">
        <f aca="false">H61-2026</f>
        <v>4</v>
      </c>
    </row>
    <row r="62" customFormat="false" ht="15" hidden="false" customHeight="false" outlineLevel="0" collapsed="false">
      <c r="A62" s="71" t="n">
        <v>47</v>
      </c>
      <c r="B62" s="72" t="n">
        <f aca="false">EOMONTH($C$10,46)</f>
        <v>47817</v>
      </c>
      <c r="C62" s="29" t="n">
        <f aca="false">G61</f>
        <v>22580389.7342917</v>
      </c>
      <c r="D62" s="29" t="n">
        <f aca="false">IF(A62&gt;$C$6,MIN(C62,$C$13),0)</f>
        <v>594220.782481362</v>
      </c>
      <c r="E62" s="29" t="n">
        <f aca="false">C62*$C$8*DAY(B62)/$C$11</f>
        <v>131718.940116702</v>
      </c>
      <c r="F62" s="29" t="n">
        <f aca="false">D62+E62</f>
        <v>725939.722598064</v>
      </c>
      <c r="G62" s="29" t="n">
        <f aca="false">C62-D62</f>
        <v>21986168.9518104</v>
      </c>
      <c r="H62" s="71" t="n">
        <f aca="false">YEAR(B62)</f>
        <v>2030</v>
      </c>
      <c r="I62" s="71" t="n">
        <f aca="false">H62-2026</f>
        <v>4</v>
      </c>
    </row>
    <row r="63" customFormat="false" ht="15" hidden="false" customHeight="false" outlineLevel="0" collapsed="false">
      <c r="A63" s="71" t="n">
        <v>48</v>
      </c>
      <c r="B63" s="72" t="n">
        <f aca="false">EOMONTH($C$10,47)</f>
        <v>47848</v>
      </c>
      <c r="C63" s="29" t="n">
        <f aca="false">G62</f>
        <v>21986168.9518104</v>
      </c>
      <c r="D63" s="29" t="n">
        <f aca="false">IF(A63&gt;$C$6,MIN(C63,$C$13),0)</f>
        <v>594220.782481362</v>
      </c>
      <c r="E63" s="29" t="n">
        <f aca="false">C63*$C$8*DAY(B63)/$C$11</f>
        <v>132527.74062619</v>
      </c>
      <c r="F63" s="29" t="n">
        <f aca="false">D63+E63</f>
        <v>726748.523107553</v>
      </c>
      <c r="G63" s="29" t="n">
        <f aca="false">C63-D63</f>
        <v>21391948.169329</v>
      </c>
      <c r="H63" s="71" t="n">
        <f aca="false">YEAR(B63)</f>
        <v>2030</v>
      </c>
      <c r="I63" s="71" t="n">
        <f aca="false">H63-2026</f>
        <v>4</v>
      </c>
    </row>
    <row r="64" customFormat="false" ht="15" hidden="false" customHeight="false" outlineLevel="0" collapsed="false">
      <c r="A64" s="71" t="n">
        <v>49</v>
      </c>
      <c r="B64" s="72" t="n">
        <f aca="false">EOMONTH($C$10,48)</f>
        <v>47879</v>
      </c>
      <c r="C64" s="29" t="n">
        <f aca="false">G63</f>
        <v>21391948.169329</v>
      </c>
      <c r="D64" s="29" t="n">
        <f aca="false">IF(A64&gt;$C$6,MIN(C64,$C$13),0)</f>
        <v>594220.782481362</v>
      </c>
      <c r="E64" s="29" t="n">
        <f aca="false">C64*$C$8*DAY(B64)/$C$11</f>
        <v>128945.909798456</v>
      </c>
      <c r="F64" s="29" t="n">
        <f aca="false">D64+E64</f>
        <v>723166.692279818</v>
      </c>
      <c r="G64" s="29" t="n">
        <f aca="false">C64-D64</f>
        <v>20797727.3868477</v>
      </c>
      <c r="H64" s="71" t="n">
        <f aca="false">YEAR(B64)</f>
        <v>2031</v>
      </c>
      <c r="I64" s="71" t="n">
        <f aca="false">H64-2026</f>
        <v>5</v>
      </c>
    </row>
    <row r="65" customFormat="false" ht="15" hidden="false" customHeight="false" outlineLevel="0" collapsed="false">
      <c r="A65" s="71" t="n">
        <v>50</v>
      </c>
      <c r="B65" s="72" t="n">
        <f aca="false">EOMONTH($C$10,49)</f>
        <v>47907</v>
      </c>
      <c r="C65" s="29" t="n">
        <f aca="false">G64</f>
        <v>20797727.3868477</v>
      </c>
      <c r="D65" s="29" t="n">
        <f aca="false">IF(A65&gt;$C$6,MIN(C65,$C$13),0)</f>
        <v>594220.782481362</v>
      </c>
      <c r="E65" s="29" t="n">
        <f aca="false">C65*$C$8*DAY(B65)/$C$11</f>
        <v>113232.071328393</v>
      </c>
      <c r="F65" s="29" t="n">
        <f aca="false">D65+E65</f>
        <v>707452.853809755</v>
      </c>
      <c r="G65" s="29" t="n">
        <f aca="false">C65-D65</f>
        <v>20203506.6043663</v>
      </c>
      <c r="H65" s="71" t="n">
        <f aca="false">YEAR(B65)</f>
        <v>2031</v>
      </c>
      <c r="I65" s="71" t="n">
        <f aca="false">H65-2026</f>
        <v>5</v>
      </c>
    </row>
    <row r="66" customFormat="false" ht="15" hidden="false" customHeight="false" outlineLevel="0" collapsed="false">
      <c r="A66" s="71" t="n">
        <v>51</v>
      </c>
      <c r="B66" s="72" t="n">
        <f aca="false">EOMONTH($C$10,50)</f>
        <v>47938</v>
      </c>
      <c r="C66" s="29" t="n">
        <f aca="false">G65</f>
        <v>20203506.6043663</v>
      </c>
      <c r="D66" s="29" t="n">
        <f aca="false">IF(A66&gt;$C$6,MIN(C66,$C$13),0)</f>
        <v>594220.782481362</v>
      </c>
      <c r="E66" s="29" t="n">
        <f aca="false">C66*$C$8*DAY(B66)/$C$11</f>
        <v>121782.248142986</v>
      </c>
      <c r="F66" s="29" t="n">
        <f aca="false">D66+E66</f>
        <v>716003.030624348</v>
      </c>
      <c r="G66" s="29" t="n">
        <f aca="false">C66-D66</f>
        <v>19609285.8218849</v>
      </c>
      <c r="H66" s="71" t="n">
        <f aca="false">YEAR(B66)</f>
        <v>2031</v>
      </c>
      <c r="I66" s="71" t="n">
        <f aca="false">H66-2026</f>
        <v>5</v>
      </c>
    </row>
    <row r="67" customFormat="false" ht="15" hidden="false" customHeight="false" outlineLevel="0" collapsed="false">
      <c r="A67" s="71" t="n">
        <v>52</v>
      </c>
      <c r="B67" s="72" t="n">
        <f aca="false">EOMONTH($C$10,51)</f>
        <v>47968</v>
      </c>
      <c r="C67" s="29" t="n">
        <f aca="false">G66</f>
        <v>19609285.8218849</v>
      </c>
      <c r="D67" s="29" t="n">
        <f aca="false">IF(A67&gt;$C$6,MIN(C67,$C$13),0)</f>
        <v>594220.782481362</v>
      </c>
      <c r="E67" s="29" t="n">
        <f aca="false">C67*$C$8*DAY(B67)/$C$11</f>
        <v>114387.500627662</v>
      </c>
      <c r="F67" s="29" t="n">
        <f aca="false">D67+E67</f>
        <v>708608.283109024</v>
      </c>
      <c r="G67" s="29" t="n">
        <f aca="false">C67-D67</f>
        <v>19015065.0394036</v>
      </c>
      <c r="H67" s="71" t="n">
        <f aca="false">YEAR(B67)</f>
        <v>2031</v>
      </c>
      <c r="I67" s="71" t="n">
        <f aca="false">H67-2026</f>
        <v>5</v>
      </c>
    </row>
    <row r="68" customFormat="false" ht="15" hidden="false" customHeight="false" outlineLevel="0" collapsed="false">
      <c r="A68" s="71" t="n">
        <v>53</v>
      </c>
      <c r="B68" s="72" t="n">
        <f aca="false">EOMONTH($C$10,52)</f>
        <v>47999</v>
      </c>
      <c r="C68" s="29" t="n">
        <f aca="false">G67</f>
        <v>19015065.0394036</v>
      </c>
      <c r="D68" s="29" t="n">
        <f aca="false">IF(A68&gt;$C$6,MIN(C68,$C$13),0)</f>
        <v>594220.782481362</v>
      </c>
      <c r="E68" s="29" t="n">
        <f aca="false">C68*$C$8*DAY(B68)/$C$11</f>
        <v>114618.586487516</v>
      </c>
      <c r="F68" s="29" t="n">
        <f aca="false">D68+E68</f>
        <v>708839.368968878</v>
      </c>
      <c r="G68" s="29" t="n">
        <f aca="false">C68-D68</f>
        <v>18420844.2569222</v>
      </c>
      <c r="H68" s="71" t="n">
        <f aca="false">YEAR(B68)</f>
        <v>2031</v>
      </c>
      <c r="I68" s="71" t="n">
        <f aca="false">H68-2026</f>
        <v>5</v>
      </c>
    </row>
    <row r="69" customFormat="false" ht="15" hidden="false" customHeight="false" outlineLevel="0" collapsed="false">
      <c r="A69" s="71" t="n">
        <v>54</v>
      </c>
      <c r="B69" s="72" t="n">
        <f aca="false">EOMONTH($C$10,53)</f>
        <v>48029</v>
      </c>
      <c r="C69" s="29" t="n">
        <f aca="false">G68</f>
        <v>18420844.2569222</v>
      </c>
      <c r="D69" s="29" t="n">
        <f aca="false">IF(A69&gt;$C$6,MIN(C69,$C$13),0)</f>
        <v>594220.782481362</v>
      </c>
      <c r="E69" s="29" t="n">
        <f aca="false">C69*$C$8*DAY(B69)/$C$11</f>
        <v>107454.924832046</v>
      </c>
      <c r="F69" s="29" t="n">
        <f aca="false">D69+E69</f>
        <v>701675.707313409</v>
      </c>
      <c r="G69" s="29" t="n">
        <f aca="false">C69-D69</f>
        <v>17826623.4744409</v>
      </c>
      <c r="H69" s="71" t="n">
        <f aca="false">YEAR(B69)</f>
        <v>2031</v>
      </c>
      <c r="I69" s="71" t="n">
        <f aca="false">H69-2026</f>
        <v>5</v>
      </c>
    </row>
    <row r="70" customFormat="false" ht="15" hidden="false" customHeight="false" outlineLevel="0" collapsed="false">
      <c r="A70" s="71" t="n">
        <v>55</v>
      </c>
      <c r="B70" s="72" t="n">
        <f aca="false">EOMONTH($C$10,54)</f>
        <v>48060</v>
      </c>
      <c r="C70" s="29" t="n">
        <f aca="false">G69</f>
        <v>17826623.4744409</v>
      </c>
      <c r="D70" s="29" t="n">
        <f aca="false">IF(A70&gt;$C$6,MIN(C70,$C$13),0)</f>
        <v>594220.782481362</v>
      </c>
      <c r="E70" s="29" t="n">
        <f aca="false">C70*$C$8*DAY(B70)/$C$11</f>
        <v>107454.924832046</v>
      </c>
      <c r="F70" s="29" t="n">
        <f aca="false">D70+E70</f>
        <v>701675.707313409</v>
      </c>
      <c r="G70" s="29" t="n">
        <f aca="false">C70-D70</f>
        <v>17232402.6919595</v>
      </c>
      <c r="H70" s="71" t="n">
        <f aca="false">YEAR(B70)</f>
        <v>2031</v>
      </c>
      <c r="I70" s="71" t="n">
        <f aca="false">H70-2026</f>
        <v>5</v>
      </c>
    </row>
    <row r="71" customFormat="false" ht="15" hidden="false" customHeight="false" outlineLevel="0" collapsed="false">
      <c r="A71" s="71" t="n">
        <v>56</v>
      </c>
      <c r="B71" s="72" t="n">
        <f aca="false">EOMONTH($C$10,55)</f>
        <v>48091</v>
      </c>
      <c r="C71" s="29" t="n">
        <f aca="false">G70</f>
        <v>17232402.6919595</v>
      </c>
      <c r="D71" s="29" t="n">
        <f aca="false">IF(A71&gt;$C$6,MIN(C71,$C$13),0)</f>
        <v>594220.782481362</v>
      </c>
      <c r="E71" s="29" t="n">
        <f aca="false">C71*$C$8*DAY(B71)/$C$11</f>
        <v>103873.094004311</v>
      </c>
      <c r="F71" s="29" t="n">
        <f aca="false">D71+E71</f>
        <v>698093.876485674</v>
      </c>
      <c r="G71" s="29" t="n">
        <f aca="false">C71-D71</f>
        <v>16638181.9094781</v>
      </c>
      <c r="H71" s="71" t="n">
        <f aca="false">YEAR(B71)</f>
        <v>2031</v>
      </c>
      <c r="I71" s="71" t="n">
        <f aca="false">H71-2026</f>
        <v>5</v>
      </c>
    </row>
    <row r="72" customFormat="false" ht="15" hidden="false" customHeight="false" outlineLevel="0" collapsed="false">
      <c r="A72" s="71" t="n">
        <v>57</v>
      </c>
      <c r="B72" s="72" t="n">
        <f aca="false">EOMONTH($C$10,56)</f>
        <v>48121</v>
      </c>
      <c r="C72" s="29" t="n">
        <f aca="false">G71</f>
        <v>16638181.9094781</v>
      </c>
      <c r="D72" s="29" t="n">
        <f aca="false">IF(A72&gt;$C$6,MIN(C72,$C$13),0)</f>
        <v>594220.782481362</v>
      </c>
      <c r="E72" s="29" t="n">
        <f aca="false">C72*$C$8*DAY(B72)/$C$11</f>
        <v>97056.0611386224</v>
      </c>
      <c r="F72" s="29" t="n">
        <f aca="false">D72+E72</f>
        <v>691276.843619985</v>
      </c>
      <c r="G72" s="29" t="n">
        <f aca="false">C72-D72</f>
        <v>16043961.1269968</v>
      </c>
      <c r="H72" s="71" t="n">
        <f aca="false">YEAR(B72)</f>
        <v>2031</v>
      </c>
      <c r="I72" s="71" t="n">
        <f aca="false">H72-2026</f>
        <v>5</v>
      </c>
    </row>
    <row r="73" customFormat="false" ht="15" hidden="false" customHeight="false" outlineLevel="0" collapsed="false">
      <c r="A73" s="71" t="n">
        <v>58</v>
      </c>
      <c r="B73" s="72" t="n">
        <f aca="false">EOMONTH($C$10,57)</f>
        <v>48152</v>
      </c>
      <c r="C73" s="29" t="n">
        <f aca="false">G72</f>
        <v>16043961.1269968</v>
      </c>
      <c r="D73" s="29" t="n">
        <f aca="false">IF(A73&gt;$C$6,MIN(C73,$C$13),0)</f>
        <v>594220.782481362</v>
      </c>
      <c r="E73" s="29" t="n">
        <f aca="false">C73*$C$8*DAY(B73)/$C$11</f>
        <v>96709.4323488416</v>
      </c>
      <c r="F73" s="29" t="n">
        <f aca="false">D73+E73</f>
        <v>690930.214830204</v>
      </c>
      <c r="G73" s="29" t="n">
        <f aca="false">C73-D73</f>
        <v>15449740.3445154</v>
      </c>
      <c r="H73" s="71" t="n">
        <f aca="false">YEAR(B73)</f>
        <v>2031</v>
      </c>
      <c r="I73" s="71" t="n">
        <f aca="false">H73-2026</f>
        <v>5</v>
      </c>
    </row>
    <row r="74" customFormat="false" ht="15" hidden="false" customHeight="false" outlineLevel="0" collapsed="false">
      <c r="A74" s="71" t="n">
        <v>59</v>
      </c>
      <c r="B74" s="72" t="n">
        <f aca="false">EOMONTH($C$10,58)</f>
        <v>48182</v>
      </c>
      <c r="C74" s="29" t="n">
        <f aca="false">G73</f>
        <v>15449740.3445154</v>
      </c>
      <c r="D74" s="29" t="n">
        <f aca="false">IF(A74&gt;$C$6,MIN(C74,$C$13),0)</f>
        <v>594220.782481362</v>
      </c>
      <c r="E74" s="29" t="n">
        <f aca="false">C74*$C$8*DAY(B74)/$C$11</f>
        <v>90123.4853430065</v>
      </c>
      <c r="F74" s="29" t="n">
        <f aca="false">D74+E74</f>
        <v>684344.267824369</v>
      </c>
      <c r="G74" s="29" t="n">
        <f aca="false">C74-D74</f>
        <v>14855519.562034</v>
      </c>
      <c r="H74" s="71" t="n">
        <f aca="false">YEAR(B74)</f>
        <v>2031</v>
      </c>
      <c r="I74" s="71" t="n">
        <f aca="false">H74-2026</f>
        <v>5</v>
      </c>
    </row>
    <row r="75" customFormat="false" ht="15" hidden="false" customHeight="false" outlineLevel="0" collapsed="false">
      <c r="A75" s="71" t="n">
        <v>60</v>
      </c>
      <c r="B75" s="72" t="n">
        <f aca="false">EOMONTH($C$10,59)</f>
        <v>48213</v>
      </c>
      <c r="C75" s="29" t="n">
        <f aca="false">G74</f>
        <v>14855519.562034</v>
      </c>
      <c r="D75" s="29" t="n">
        <f aca="false">IF(A75&gt;$C$6,MIN(C75,$C$13),0)</f>
        <v>594220.782481362</v>
      </c>
      <c r="E75" s="29" t="n">
        <f aca="false">C75*$C$8*DAY(B75)/$C$11</f>
        <v>89545.7706933719</v>
      </c>
      <c r="F75" s="29" t="n">
        <f aca="false">D75+E75</f>
        <v>683766.553174734</v>
      </c>
      <c r="G75" s="29" t="n">
        <f aca="false">C75-D75</f>
        <v>14261298.7795527</v>
      </c>
      <c r="H75" s="71" t="n">
        <f aca="false">YEAR(B75)</f>
        <v>2031</v>
      </c>
      <c r="I75" s="71" t="n">
        <f aca="false">H75-2026</f>
        <v>5</v>
      </c>
    </row>
    <row r="76" customFormat="false" ht="15" hidden="false" customHeight="false" outlineLevel="0" collapsed="false">
      <c r="A76" s="71" t="n">
        <v>61</v>
      </c>
      <c r="B76" s="72" t="n">
        <f aca="false">EOMONTH($C$10,60)</f>
        <v>48244</v>
      </c>
      <c r="C76" s="29" t="n">
        <f aca="false">G75</f>
        <v>14261298.7795527</v>
      </c>
      <c r="D76" s="29" t="n">
        <f aca="false">IF(A76&gt;$C$6,MIN(C76,$C$13),0)</f>
        <v>594220.782481362</v>
      </c>
      <c r="E76" s="29" t="n">
        <f aca="false">C76*$C$8*DAY(B76)/$C$11</f>
        <v>85963.939865637</v>
      </c>
      <c r="F76" s="29" t="n">
        <f aca="false">D76+E76</f>
        <v>680184.722346999</v>
      </c>
      <c r="G76" s="29" t="n">
        <f aca="false">C76-D76</f>
        <v>13667077.9970713</v>
      </c>
      <c r="H76" s="71" t="n">
        <f aca="false">YEAR(B76)</f>
        <v>2032</v>
      </c>
      <c r="I76" s="71" t="n">
        <f aca="false">H76-2026</f>
        <v>6</v>
      </c>
    </row>
    <row r="77" customFormat="false" ht="15" hidden="false" customHeight="false" outlineLevel="0" collapsed="false">
      <c r="A77" s="71" t="n">
        <v>62</v>
      </c>
      <c r="B77" s="72" t="n">
        <f aca="false">EOMONTH($C$10,61)</f>
        <v>48273</v>
      </c>
      <c r="C77" s="29" t="n">
        <f aca="false">G76</f>
        <v>13667077.9970713</v>
      </c>
      <c r="D77" s="29" t="n">
        <f aca="false">IF(A77&gt;$C$6,MIN(C77,$C$13),0)</f>
        <v>594220.782481362</v>
      </c>
      <c r="E77" s="29" t="n">
        <f aca="false">C77*$C$8*DAY(B77)/$C$11</f>
        <v>77067.1342612633</v>
      </c>
      <c r="F77" s="29" t="n">
        <f aca="false">D77+E77</f>
        <v>671287.916742626</v>
      </c>
      <c r="G77" s="29" t="n">
        <f aca="false">C77-D77</f>
        <v>13072857.21459</v>
      </c>
      <c r="H77" s="71" t="n">
        <f aca="false">YEAR(B77)</f>
        <v>2032</v>
      </c>
      <c r="I77" s="71" t="n">
        <f aca="false">H77-2026</f>
        <v>6</v>
      </c>
    </row>
    <row r="78" customFormat="false" ht="15" hidden="false" customHeight="false" outlineLevel="0" collapsed="false">
      <c r="A78" s="71" t="n">
        <v>63</v>
      </c>
      <c r="B78" s="72" t="n">
        <f aca="false">EOMONTH($C$10,62)</f>
        <v>48304</v>
      </c>
      <c r="C78" s="29" t="n">
        <f aca="false">G77</f>
        <v>13072857.21459</v>
      </c>
      <c r="D78" s="29" t="n">
        <f aca="false">IF(A78&gt;$C$6,MIN(C78,$C$13),0)</f>
        <v>594220.782481362</v>
      </c>
      <c r="E78" s="29" t="n">
        <f aca="false">C78*$C$8*DAY(B78)/$C$11</f>
        <v>78800.2782101672</v>
      </c>
      <c r="F78" s="29" t="n">
        <f aca="false">D78+E78</f>
        <v>673021.060691529</v>
      </c>
      <c r="G78" s="29" t="n">
        <f aca="false">C78-D78</f>
        <v>12478636.4321086</v>
      </c>
      <c r="H78" s="71" t="n">
        <f aca="false">YEAR(B78)</f>
        <v>2032</v>
      </c>
      <c r="I78" s="71" t="n">
        <f aca="false">H78-2026</f>
        <v>6</v>
      </c>
    </row>
    <row r="79" customFormat="false" ht="15" hidden="false" customHeight="false" outlineLevel="0" collapsed="false">
      <c r="A79" s="71" t="n">
        <v>64</v>
      </c>
      <c r="B79" s="72" t="n">
        <f aca="false">EOMONTH($C$10,63)</f>
        <v>48334</v>
      </c>
      <c r="C79" s="29" t="n">
        <f aca="false">G78</f>
        <v>12478636.4321086</v>
      </c>
      <c r="D79" s="29" t="n">
        <f aca="false">IF(A79&gt;$C$6,MIN(C79,$C$13),0)</f>
        <v>594220.782481362</v>
      </c>
      <c r="E79" s="29" t="n">
        <f aca="false">C79*$C$8*DAY(B79)/$C$11</f>
        <v>72792.0458539668</v>
      </c>
      <c r="F79" s="29" t="n">
        <f aca="false">D79+E79</f>
        <v>667012.828335329</v>
      </c>
      <c r="G79" s="29" t="n">
        <f aca="false">C79-D79</f>
        <v>11884415.6496272</v>
      </c>
      <c r="H79" s="71" t="n">
        <f aca="false">YEAR(B79)</f>
        <v>2032</v>
      </c>
      <c r="I79" s="71" t="n">
        <f aca="false">H79-2026</f>
        <v>6</v>
      </c>
    </row>
    <row r="80" customFormat="false" ht="15" hidden="false" customHeight="false" outlineLevel="0" collapsed="false">
      <c r="A80" s="71" t="n">
        <v>65</v>
      </c>
      <c r="B80" s="72" t="n">
        <f aca="false">EOMONTH($C$10,64)</f>
        <v>48365</v>
      </c>
      <c r="C80" s="29" t="n">
        <f aca="false">G79</f>
        <v>11884415.6496272</v>
      </c>
      <c r="D80" s="29" t="n">
        <f aca="false">IF(A80&gt;$C$6,MIN(C80,$C$13),0)</f>
        <v>594220.782481362</v>
      </c>
      <c r="E80" s="29" t="n">
        <f aca="false">C80*$C$8*DAY(B80)/$C$11</f>
        <v>71636.6165546975</v>
      </c>
      <c r="F80" s="29" t="n">
        <f aca="false">D80+E80</f>
        <v>665857.39903606</v>
      </c>
      <c r="G80" s="29" t="n">
        <f aca="false">C80-D80</f>
        <v>11290194.8671459</v>
      </c>
      <c r="H80" s="71" t="n">
        <f aca="false">YEAR(B80)</f>
        <v>2032</v>
      </c>
      <c r="I80" s="71" t="n">
        <f aca="false">H80-2026</f>
        <v>6</v>
      </c>
    </row>
    <row r="81" customFormat="false" ht="15" hidden="false" customHeight="false" outlineLevel="0" collapsed="false">
      <c r="A81" s="71" t="n">
        <v>66</v>
      </c>
      <c r="B81" s="72" t="n">
        <f aca="false">EOMONTH($C$10,65)</f>
        <v>48395</v>
      </c>
      <c r="C81" s="29" t="n">
        <f aca="false">G80</f>
        <v>11290194.8671459</v>
      </c>
      <c r="D81" s="29" t="n">
        <f aca="false">IF(A81&gt;$C$6,MIN(C81,$C$13),0)</f>
        <v>594220.782481362</v>
      </c>
      <c r="E81" s="29" t="n">
        <f aca="false">C81*$C$8*DAY(B81)/$C$11</f>
        <v>65859.4700583509</v>
      </c>
      <c r="F81" s="29" t="n">
        <f aca="false">D81+E81</f>
        <v>660080.252539713</v>
      </c>
      <c r="G81" s="29" t="n">
        <f aca="false">C81-D81</f>
        <v>10695974.0846645</v>
      </c>
      <c r="H81" s="71" t="n">
        <f aca="false">YEAR(B81)</f>
        <v>2032</v>
      </c>
      <c r="I81" s="71" t="n">
        <f aca="false">H81-2026</f>
        <v>6</v>
      </c>
    </row>
    <row r="82" customFormat="false" ht="15" hidden="false" customHeight="false" outlineLevel="0" collapsed="false">
      <c r="A82" s="71" t="n">
        <v>67</v>
      </c>
      <c r="B82" s="72" t="n">
        <f aca="false">EOMONTH($C$10,66)</f>
        <v>48426</v>
      </c>
      <c r="C82" s="29" t="n">
        <f aca="false">G81</f>
        <v>10695974.0846645</v>
      </c>
      <c r="D82" s="29" t="n">
        <f aca="false">IF(A82&gt;$C$6,MIN(C82,$C$13),0)</f>
        <v>594220.782481362</v>
      </c>
      <c r="E82" s="29" t="n">
        <f aca="false">C82*$C$8*DAY(B82)/$C$11</f>
        <v>64472.9548992277</v>
      </c>
      <c r="F82" s="29" t="n">
        <f aca="false">D82+E82</f>
        <v>658693.73738059</v>
      </c>
      <c r="G82" s="29" t="n">
        <f aca="false">C82-D82</f>
        <v>10101753.3021831</v>
      </c>
      <c r="H82" s="71" t="n">
        <f aca="false">YEAR(B82)</f>
        <v>2032</v>
      </c>
      <c r="I82" s="71" t="n">
        <f aca="false">H82-2026</f>
        <v>6</v>
      </c>
    </row>
    <row r="83" customFormat="false" ht="15" hidden="false" customHeight="false" outlineLevel="0" collapsed="false">
      <c r="A83" s="71" t="n">
        <v>68</v>
      </c>
      <c r="B83" s="72" t="n">
        <f aca="false">EOMONTH($C$10,67)</f>
        <v>48457</v>
      </c>
      <c r="C83" s="29" t="n">
        <f aca="false">G82</f>
        <v>10101753.3021831</v>
      </c>
      <c r="D83" s="29" t="n">
        <f aca="false">IF(A83&gt;$C$6,MIN(C83,$C$13),0)</f>
        <v>594220.782481362</v>
      </c>
      <c r="E83" s="29" t="n">
        <f aca="false">C83*$C$8*DAY(B83)/$C$11</f>
        <v>60891.1240714928</v>
      </c>
      <c r="F83" s="29" t="n">
        <f aca="false">D83+E83</f>
        <v>655111.906552855</v>
      </c>
      <c r="G83" s="29" t="n">
        <f aca="false">C83-D83</f>
        <v>9507532.51970177</v>
      </c>
      <c r="H83" s="71" t="n">
        <f aca="false">YEAR(B83)</f>
        <v>2032</v>
      </c>
      <c r="I83" s="71" t="n">
        <f aca="false">H83-2026</f>
        <v>6</v>
      </c>
    </row>
    <row r="84" customFormat="false" ht="15" hidden="false" customHeight="false" outlineLevel="0" collapsed="false">
      <c r="A84" s="71" t="n">
        <v>69</v>
      </c>
      <c r="B84" s="72" t="n">
        <f aca="false">EOMONTH($C$10,68)</f>
        <v>48487</v>
      </c>
      <c r="C84" s="29" t="n">
        <f aca="false">G83</f>
        <v>9507532.51970177</v>
      </c>
      <c r="D84" s="29" t="n">
        <f aca="false">IF(A84&gt;$C$6,MIN(C84,$C$13),0)</f>
        <v>594220.782481362</v>
      </c>
      <c r="E84" s="29" t="n">
        <f aca="false">C84*$C$8*DAY(B84)/$C$11</f>
        <v>55460.606364927</v>
      </c>
      <c r="F84" s="29" t="n">
        <f aca="false">D84+E84</f>
        <v>649681.388846289</v>
      </c>
      <c r="G84" s="29" t="n">
        <f aca="false">C84-D84</f>
        <v>8913311.73722041</v>
      </c>
      <c r="H84" s="71" t="n">
        <f aca="false">YEAR(B84)</f>
        <v>2032</v>
      </c>
      <c r="I84" s="71" t="n">
        <f aca="false">H84-2026</f>
        <v>6</v>
      </c>
    </row>
    <row r="85" customFormat="false" ht="15" hidden="false" customHeight="false" outlineLevel="0" collapsed="false">
      <c r="A85" s="71" t="n">
        <v>70</v>
      </c>
      <c r="B85" s="72" t="n">
        <f aca="false">EOMONTH($C$10,69)</f>
        <v>48518</v>
      </c>
      <c r="C85" s="29" t="n">
        <f aca="false">G84</f>
        <v>8913311.73722041</v>
      </c>
      <c r="D85" s="29" t="n">
        <f aca="false">IF(A85&gt;$C$6,MIN(C85,$C$13),0)</f>
        <v>594220.782481362</v>
      </c>
      <c r="E85" s="29" t="n">
        <f aca="false">C85*$C$8*DAY(B85)/$C$11</f>
        <v>53727.462416023</v>
      </c>
      <c r="F85" s="29" t="n">
        <f aca="false">D85+E85</f>
        <v>647948.244897385</v>
      </c>
      <c r="G85" s="29" t="n">
        <f aca="false">C85-D85</f>
        <v>8319090.95473905</v>
      </c>
      <c r="H85" s="71" t="n">
        <f aca="false">YEAR(B85)</f>
        <v>2032</v>
      </c>
      <c r="I85" s="71" t="n">
        <f aca="false">H85-2026</f>
        <v>6</v>
      </c>
    </row>
    <row r="86" customFormat="false" ht="15" hidden="false" customHeight="false" outlineLevel="0" collapsed="false">
      <c r="A86" s="71" t="n">
        <v>71</v>
      </c>
      <c r="B86" s="72" t="n">
        <f aca="false">EOMONTH($C$10,70)</f>
        <v>48548</v>
      </c>
      <c r="C86" s="29" t="n">
        <f aca="false">G85</f>
        <v>8319090.95473905</v>
      </c>
      <c r="D86" s="29" t="n">
        <f aca="false">IF(A86&gt;$C$6,MIN(C86,$C$13),0)</f>
        <v>594220.782481362</v>
      </c>
      <c r="E86" s="29" t="n">
        <f aca="false">C86*$C$8*DAY(B86)/$C$11</f>
        <v>48528.0305693111</v>
      </c>
      <c r="F86" s="29" t="n">
        <f aca="false">D86+E86</f>
        <v>642748.813050673</v>
      </c>
      <c r="G86" s="29" t="n">
        <f aca="false">C86-D86</f>
        <v>7724870.17225769</v>
      </c>
      <c r="H86" s="71" t="n">
        <f aca="false">YEAR(B86)</f>
        <v>2032</v>
      </c>
      <c r="I86" s="71" t="n">
        <f aca="false">H86-2026</f>
        <v>6</v>
      </c>
    </row>
    <row r="87" customFormat="false" ht="15" hidden="false" customHeight="false" outlineLevel="0" collapsed="false">
      <c r="A87" s="71" t="n">
        <v>72</v>
      </c>
      <c r="B87" s="72" t="n">
        <f aca="false">EOMONTH($C$10,71)</f>
        <v>48579</v>
      </c>
      <c r="C87" s="29" t="n">
        <f aca="false">G86</f>
        <v>7724870.17225769</v>
      </c>
      <c r="D87" s="29" t="n">
        <f aca="false">IF(A87&gt;$C$6,MIN(C87,$C$13),0)</f>
        <v>594220.782481362</v>
      </c>
      <c r="E87" s="29" t="n">
        <f aca="false">C87*$C$8*DAY(B87)/$C$11</f>
        <v>46563.8007605533</v>
      </c>
      <c r="F87" s="29" t="n">
        <f aca="false">D87+E87</f>
        <v>640784.583241916</v>
      </c>
      <c r="G87" s="29" t="n">
        <f aca="false">C87-D87</f>
        <v>7130649.38977632</v>
      </c>
      <c r="H87" s="71" t="n">
        <f aca="false">YEAR(B87)</f>
        <v>2032</v>
      </c>
      <c r="I87" s="71" t="n">
        <f aca="false">H87-2026</f>
        <v>6</v>
      </c>
    </row>
    <row r="88" customFormat="false" ht="15" hidden="false" customHeight="false" outlineLevel="0" collapsed="false">
      <c r="A88" s="71" t="n">
        <v>73</v>
      </c>
      <c r="B88" s="72" t="n">
        <f aca="false">EOMONTH($C$10,72)</f>
        <v>48610</v>
      </c>
      <c r="C88" s="29" t="n">
        <f aca="false">G87</f>
        <v>7130649.38977632</v>
      </c>
      <c r="D88" s="29" t="n">
        <f aca="false">IF(A88&gt;$C$6,MIN(C88,$C$13),0)</f>
        <v>594220.782481362</v>
      </c>
      <c r="E88" s="29" t="n">
        <f aca="false">C88*$C$8*DAY(B88)/$C$11</f>
        <v>42981.9699328184</v>
      </c>
      <c r="F88" s="29" t="n">
        <f aca="false">D88+E88</f>
        <v>637202.752414181</v>
      </c>
      <c r="G88" s="29" t="n">
        <f aca="false">C88-D88</f>
        <v>6536428.60729496</v>
      </c>
      <c r="H88" s="71" t="n">
        <f aca="false">YEAR(B88)</f>
        <v>2033</v>
      </c>
      <c r="I88" s="71" t="n">
        <f aca="false">H88-2026</f>
        <v>7</v>
      </c>
    </row>
    <row r="89" customFormat="false" ht="15" hidden="false" customHeight="false" outlineLevel="0" collapsed="false">
      <c r="A89" s="71" t="n">
        <v>74</v>
      </c>
      <c r="B89" s="72" t="n">
        <f aca="false">EOMONTH($C$10,73)</f>
        <v>48638</v>
      </c>
      <c r="C89" s="29" t="n">
        <f aca="false">G88</f>
        <v>6536428.60729496</v>
      </c>
      <c r="D89" s="29" t="n">
        <f aca="false">IF(A89&gt;$C$6,MIN(C89,$C$13),0)</f>
        <v>594220.782481362</v>
      </c>
      <c r="E89" s="29" t="n">
        <f aca="false">C89*$C$8*DAY(B89)/$C$11</f>
        <v>35587.2224174948</v>
      </c>
      <c r="F89" s="29" t="n">
        <f aca="false">D89+E89</f>
        <v>629808.004898857</v>
      </c>
      <c r="G89" s="29" t="n">
        <f aca="false">C89-D89</f>
        <v>5942207.8248136</v>
      </c>
      <c r="H89" s="71" t="n">
        <f aca="false">YEAR(B89)</f>
        <v>2033</v>
      </c>
      <c r="I89" s="71" t="n">
        <f aca="false">H89-2026</f>
        <v>7</v>
      </c>
    </row>
    <row r="90" customFormat="false" ht="15" hidden="false" customHeight="false" outlineLevel="0" collapsed="false">
      <c r="A90" s="71" t="n">
        <v>75</v>
      </c>
      <c r="B90" s="72" t="n">
        <f aca="false">EOMONTH($C$10,74)</f>
        <v>48669</v>
      </c>
      <c r="C90" s="29" t="n">
        <f aca="false">G89</f>
        <v>5942207.8248136</v>
      </c>
      <c r="D90" s="29" t="n">
        <f aca="false">IF(A90&gt;$C$6,MIN(C90,$C$13),0)</f>
        <v>594220.782481362</v>
      </c>
      <c r="E90" s="29" t="n">
        <f aca="false">C90*$C$8*DAY(B90)/$C$11</f>
        <v>35818.3082773486</v>
      </c>
      <c r="F90" s="29" t="n">
        <f aca="false">D90+E90</f>
        <v>630039.090758711</v>
      </c>
      <c r="G90" s="29" t="n">
        <f aca="false">C90-D90</f>
        <v>5347987.04233224</v>
      </c>
      <c r="H90" s="71" t="n">
        <f aca="false">YEAR(B90)</f>
        <v>2033</v>
      </c>
      <c r="I90" s="71" t="n">
        <f aca="false">H90-2026</f>
        <v>7</v>
      </c>
    </row>
    <row r="91" customFormat="false" ht="15" hidden="false" customHeight="false" outlineLevel="0" collapsed="false">
      <c r="A91" s="71" t="n">
        <v>76</v>
      </c>
      <c r="B91" s="72" t="n">
        <f aca="false">EOMONTH($C$10,75)</f>
        <v>48699</v>
      </c>
      <c r="C91" s="29" t="n">
        <f aca="false">G90</f>
        <v>5347987.04233224</v>
      </c>
      <c r="D91" s="29" t="n">
        <f aca="false">IF(A91&gt;$C$6,MIN(C91,$C$13),0)</f>
        <v>594220.782481362</v>
      </c>
      <c r="E91" s="29" t="n">
        <f aca="false">C91*$C$8*DAY(B91)/$C$11</f>
        <v>31196.5910802714</v>
      </c>
      <c r="F91" s="29" t="n">
        <f aca="false">D91+E91</f>
        <v>625417.373561634</v>
      </c>
      <c r="G91" s="29" t="n">
        <f aca="false">C91-D91</f>
        <v>4753766.25985088</v>
      </c>
      <c r="H91" s="71" t="n">
        <f aca="false">YEAR(B91)</f>
        <v>2033</v>
      </c>
      <c r="I91" s="71" t="n">
        <f aca="false">H91-2026</f>
        <v>7</v>
      </c>
    </row>
    <row r="92" customFormat="false" ht="15" hidden="false" customHeight="false" outlineLevel="0" collapsed="false">
      <c r="A92" s="71" t="n">
        <v>77</v>
      </c>
      <c r="B92" s="72" t="n">
        <f aca="false">EOMONTH($C$10,76)</f>
        <v>48730</v>
      </c>
      <c r="C92" s="29" t="n">
        <f aca="false">G91</f>
        <v>4753766.25985088</v>
      </c>
      <c r="D92" s="29" t="n">
        <f aca="false">IF(A92&gt;$C$6,MIN(C92,$C$13),0)</f>
        <v>594220.782481362</v>
      </c>
      <c r="E92" s="29" t="n">
        <f aca="false">C92*$C$8*DAY(B92)/$C$11</f>
        <v>28654.6466218789</v>
      </c>
      <c r="F92" s="29" t="n">
        <f aca="false">D92+E92</f>
        <v>622875.429103241</v>
      </c>
      <c r="G92" s="29" t="n">
        <f aca="false">C92-D92</f>
        <v>4159545.47736951</v>
      </c>
      <c r="H92" s="71" t="n">
        <f aca="false">YEAR(B92)</f>
        <v>2033</v>
      </c>
      <c r="I92" s="71" t="n">
        <f aca="false">H92-2026</f>
        <v>7</v>
      </c>
    </row>
    <row r="93" customFormat="false" ht="15" hidden="false" customHeight="false" outlineLevel="0" collapsed="false">
      <c r="A93" s="71" t="n">
        <v>78</v>
      </c>
      <c r="B93" s="72" t="n">
        <f aca="false">EOMONTH($C$10,77)</f>
        <v>48760</v>
      </c>
      <c r="C93" s="29" t="n">
        <f aca="false">G92</f>
        <v>4159545.47736951</v>
      </c>
      <c r="D93" s="29" t="n">
        <f aca="false">IF(A93&gt;$C$6,MIN(C93,$C$13),0)</f>
        <v>594220.782481362</v>
      </c>
      <c r="E93" s="29" t="n">
        <f aca="false">C93*$C$8*DAY(B93)/$C$11</f>
        <v>24264.0152846555</v>
      </c>
      <c r="F93" s="29" t="n">
        <f aca="false">D93+E93</f>
        <v>618484.797766018</v>
      </c>
      <c r="G93" s="29" t="n">
        <f aca="false">C93-D93</f>
        <v>3565324.69488815</v>
      </c>
      <c r="H93" s="71" t="n">
        <f aca="false">YEAR(B93)</f>
        <v>2033</v>
      </c>
      <c r="I93" s="71" t="n">
        <f aca="false">H93-2026</f>
        <v>7</v>
      </c>
    </row>
    <row r="94" customFormat="false" ht="15" hidden="false" customHeight="false" outlineLevel="0" collapsed="false">
      <c r="A94" s="71" t="n">
        <v>79</v>
      </c>
      <c r="B94" s="72" t="n">
        <f aca="false">EOMONTH($C$10,78)</f>
        <v>48791</v>
      </c>
      <c r="C94" s="29" t="n">
        <f aca="false">G93</f>
        <v>3565324.69488815</v>
      </c>
      <c r="D94" s="29" t="n">
        <f aca="false">IF(A94&gt;$C$6,MIN(C94,$C$13),0)</f>
        <v>594220.782481362</v>
      </c>
      <c r="E94" s="29" t="n">
        <f aca="false">C94*$C$8*DAY(B94)/$C$11</f>
        <v>21490.9849664091</v>
      </c>
      <c r="F94" s="29" t="n">
        <f aca="false">D94+E94</f>
        <v>615711.767447771</v>
      </c>
      <c r="G94" s="29" t="n">
        <f aca="false">C94-D94</f>
        <v>2971103.91240679</v>
      </c>
      <c r="H94" s="71" t="n">
        <f aca="false">YEAR(B94)</f>
        <v>2033</v>
      </c>
      <c r="I94" s="71" t="n">
        <f aca="false">H94-2026</f>
        <v>7</v>
      </c>
    </row>
    <row r="95" customFormat="false" ht="15" hidden="false" customHeight="false" outlineLevel="0" collapsed="false">
      <c r="A95" s="71" t="n">
        <v>80</v>
      </c>
      <c r="B95" s="72" t="n">
        <f aca="false">EOMONTH($C$10,79)</f>
        <v>48822</v>
      </c>
      <c r="C95" s="29" t="n">
        <f aca="false">G94</f>
        <v>2971103.91240679</v>
      </c>
      <c r="D95" s="29" t="n">
        <f aca="false">IF(A95&gt;$C$6,MIN(C95,$C$13),0)</f>
        <v>594220.782481362</v>
      </c>
      <c r="E95" s="29" t="n">
        <f aca="false">C95*$C$8*DAY(B95)/$C$11</f>
        <v>17909.1541386743</v>
      </c>
      <c r="F95" s="29" t="n">
        <f aca="false">D95+E95</f>
        <v>612129.936620037</v>
      </c>
      <c r="G95" s="29" t="n">
        <f aca="false">C95-D95</f>
        <v>2376883.12992543</v>
      </c>
      <c r="H95" s="71" t="n">
        <f aca="false">YEAR(B95)</f>
        <v>2033</v>
      </c>
      <c r="I95" s="71" t="n">
        <f aca="false">H95-2026</f>
        <v>7</v>
      </c>
    </row>
    <row r="96" customFormat="false" ht="15" hidden="false" customHeight="false" outlineLevel="0" collapsed="false">
      <c r="A96" s="71" t="n">
        <v>81</v>
      </c>
      <c r="B96" s="72" t="n">
        <f aca="false">EOMONTH($C$10,80)</f>
        <v>48852</v>
      </c>
      <c r="C96" s="29" t="n">
        <f aca="false">G95</f>
        <v>2376883.12992543</v>
      </c>
      <c r="D96" s="29" t="n">
        <f aca="false">IF(A96&gt;$C$6,MIN(C96,$C$13),0)</f>
        <v>594220.782481362</v>
      </c>
      <c r="E96" s="29" t="n">
        <f aca="false">C96*$C$8*DAY(B96)/$C$11</f>
        <v>13865.1515912317</v>
      </c>
      <c r="F96" s="29" t="n">
        <f aca="false">D96+E96</f>
        <v>608085.934072594</v>
      </c>
      <c r="G96" s="29" t="n">
        <f aca="false">C96-D96</f>
        <v>1782662.34744407</v>
      </c>
      <c r="H96" s="71" t="n">
        <f aca="false">YEAR(B96)</f>
        <v>2033</v>
      </c>
      <c r="I96" s="71" t="n">
        <f aca="false">H96-2026</f>
        <v>7</v>
      </c>
    </row>
    <row r="97" customFormat="false" ht="15" hidden="false" customHeight="false" outlineLevel="0" collapsed="false">
      <c r="A97" s="71" t="n">
        <v>82</v>
      </c>
      <c r="B97" s="72" t="n">
        <f aca="false">EOMONTH($C$10,81)</f>
        <v>48883</v>
      </c>
      <c r="C97" s="29" t="n">
        <f aca="false">G96</f>
        <v>1782662.34744407</v>
      </c>
      <c r="D97" s="29" t="n">
        <f aca="false">IF(A97&gt;$C$6,MIN(C97,$C$13),0)</f>
        <v>594220.782481362</v>
      </c>
      <c r="E97" s="29" t="n">
        <f aca="false">C97*$C$8*DAY(B97)/$C$11</f>
        <v>10745.4924832045</v>
      </c>
      <c r="F97" s="29" t="n">
        <f aca="false">D97+E97</f>
        <v>604966.274964567</v>
      </c>
      <c r="G97" s="29" t="n">
        <f aca="false">C97-D97</f>
        <v>1188441.5649627</v>
      </c>
      <c r="H97" s="71" t="n">
        <f aca="false">YEAR(B97)</f>
        <v>2033</v>
      </c>
      <c r="I97" s="71" t="n">
        <f aca="false">H97-2026</f>
        <v>7</v>
      </c>
    </row>
    <row r="98" customFormat="false" ht="15" hidden="false" customHeight="false" outlineLevel="0" collapsed="false">
      <c r="A98" s="71" t="n">
        <v>83</v>
      </c>
      <c r="B98" s="72" t="n">
        <f aca="false">EOMONTH($C$10,82)</f>
        <v>48913</v>
      </c>
      <c r="C98" s="29" t="n">
        <f aca="false">G97</f>
        <v>1188441.5649627</v>
      </c>
      <c r="D98" s="29" t="n">
        <f aca="false">IF(A98&gt;$C$6,MIN(C98,$C$13),0)</f>
        <v>594220.782481362</v>
      </c>
      <c r="E98" s="29" t="n">
        <f aca="false">C98*$C$8*DAY(B98)/$C$11</f>
        <v>6932.57579561577</v>
      </c>
      <c r="F98" s="29" t="n">
        <f aca="false">D98+E98</f>
        <v>601153.358276978</v>
      </c>
      <c r="G98" s="29" t="n">
        <f aca="false">C98-D98</f>
        <v>594220.782481341</v>
      </c>
      <c r="H98" s="71" t="n">
        <f aca="false">YEAR(B98)</f>
        <v>2033</v>
      </c>
      <c r="I98" s="71" t="n">
        <f aca="false">H98-2026</f>
        <v>7</v>
      </c>
    </row>
    <row r="99" customFormat="false" ht="15" hidden="false" customHeight="false" outlineLevel="0" collapsed="false">
      <c r="A99" s="71" t="n">
        <v>84</v>
      </c>
      <c r="B99" s="72" t="n">
        <f aca="false">EOMONTH($C$10,83)</f>
        <v>48944</v>
      </c>
      <c r="C99" s="29" t="n">
        <f aca="false">G98</f>
        <v>594220.782481341</v>
      </c>
      <c r="D99" s="29" t="n">
        <f aca="false">IF(A99&gt;$C$6,MIN(C99,$C$13),0)</f>
        <v>594220.782481341</v>
      </c>
      <c r="E99" s="29" t="n">
        <f aca="false">C99*$C$8*DAY(B99)/$C$11</f>
        <v>3581.83082773475</v>
      </c>
      <c r="F99" s="29" t="n">
        <f aca="false">D99+E99</f>
        <v>597802.613309075</v>
      </c>
      <c r="G99" s="29" t="n">
        <f aca="false">C99-D99</f>
        <v>0</v>
      </c>
      <c r="H99" s="71" t="n">
        <f aca="false">YEAR(B99)</f>
        <v>2033</v>
      </c>
      <c r="I99" s="71" t="n">
        <f aca="false">H99-2026</f>
        <v>7</v>
      </c>
    </row>
    <row r="100" customFormat="false" ht="15" hidden="false" customHeight="false" outlineLevel="0" collapsed="false">
      <c r="B100" s="10" t="s">
        <v>400</v>
      </c>
      <c r="D100" s="47" t="n">
        <f aca="false">SUM(D16:D99)</f>
        <v>42783896.3386581</v>
      </c>
      <c r="E100" s="47" t="n">
        <f aca="false">SUM(E16:E99)</f>
        <v>12276667.3905963</v>
      </c>
      <c r="F100" s="47" t="n">
        <f aca="false">SUM(F16:F99)</f>
        <v>55060563.7292544</v>
      </c>
    </row>
    <row r="102" customFormat="false" ht="15" hidden="false" customHeight="false" outlineLevel="0" collapsed="false">
      <c r="B102" s="33" t="s">
        <v>461</v>
      </c>
    </row>
    <row r="103" customFormat="false" ht="15" hidden="false" customHeight="false" outlineLevel="0" collapsed="false">
      <c r="B103" s="4" t="s">
        <v>42</v>
      </c>
      <c r="C103" s="17" t="s">
        <v>462</v>
      </c>
      <c r="D103" s="17" t="s">
        <v>463</v>
      </c>
      <c r="E103" s="17" t="s">
        <v>464</v>
      </c>
      <c r="F103" s="17" t="s">
        <v>465</v>
      </c>
      <c r="G103" s="17" t="s">
        <v>466</v>
      </c>
      <c r="H103" s="17" t="s">
        <v>467</v>
      </c>
      <c r="I103" s="17" t="s">
        <v>468</v>
      </c>
      <c r="J103" s="17" t="s">
        <v>51</v>
      </c>
    </row>
    <row r="104" customFormat="false" ht="15" hidden="false" customHeight="false" outlineLevel="0" collapsed="false">
      <c r="B104" s="6" t="s">
        <v>469</v>
      </c>
      <c r="C104" s="12" t="n">
        <f aca="false">$C$9</f>
        <v>42783896.3386581</v>
      </c>
      <c r="D104" s="12" t="n">
        <v>0</v>
      </c>
      <c r="E104" s="12" t="n">
        <v>0</v>
      </c>
      <c r="F104" s="12" t="n">
        <v>0</v>
      </c>
      <c r="G104" s="12" t="n">
        <v>0</v>
      </c>
      <c r="H104" s="12" t="n">
        <v>0</v>
      </c>
      <c r="I104" s="12" t="n">
        <v>0</v>
      </c>
      <c r="J104" s="22" t="n">
        <f aca="false">SUM(C104:I104)</f>
        <v>42783896.3386581</v>
      </c>
    </row>
    <row r="105" customFormat="false" ht="15" hidden="false" customHeight="false" outlineLevel="0" collapsed="false">
      <c r="B105" s="6" t="s">
        <v>137</v>
      </c>
      <c r="C105" s="12" t="n">
        <f aca="false">SUMIF($I$16:$I$99,1,$D$16:$D$99)</f>
        <v>0</v>
      </c>
      <c r="D105" s="12" t="n">
        <f aca="false">SUMIF($I$16:$I$99,2,$D$16:$D$99)</f>
        <v>7130649.38977635</v>
      </c>
      <c r="E105" s="12" t="n">
        <f aca="false">SUMIF($I$16:$I$99,3,$D$16:$D$99)</f>
        <v>7130649.38977635</v>
      </c>
      <c r="F105" s="12" t="n">
        <f aca="false">SUMIF($I$16:$I$99,4,$D$16:$D$99)</f>
        <v>7130649.38977635</v>
      </c>
      <c r="G105" s="12" t="n">
        <f aca="false">SUMIF($I$16:$I$99,5,$D$16:$D$99)</f>
        <v>7130649.38977635</v>
      </c>
      <c r="H105" s="12" t="n">
        <f aca="false">SUMIF($I$16:$I$99,6,$D$16:$D$99)</f>
        <v>7130649.38977635</v>
      </c>
      <c r="I105" s="12" t="n">
        <f aca="false">SUMIF($I$16:$I$99,7,$D$16:$D$99)</f>
        <v>7130649.38977633</v>
      </c>
      <c r="J105" s="22" t="n">
        <f aca="false">SUM(C105:I105)</f>
        <v>42783896.3386581</v>
      </c>
    </row>
    <row r="106" customFormat="false" ht="15" hidden="false" customHeight="false" outlineLevel="0" collapsed="false">
      <c r="B106" s="6" t="s">
        <v>456</v>
      </c>
      <c r="C106" s="12" t="n">
        <f aca="false">SUMIF($I$16:$I$99,1,$E$16:$E$99)</f>
        <v>3036468.19847976</v>
      </c>
      <c r="D106" s="12" t="n">
        <f aca="false">SUMIF($I$16:$I$99,2,$E$16:$E$99)</f>
        <v>2811621.65684195</v>
      </c>
      <c r="E106" s="12" t="n">
        <f aca="false">SUMIF($I$16:$I$99,3,$E$16:$E$99)</f>
        <v>2297340.07573718</v>
      </c>
      <c r="F106" s="12" t="n">
        <f aca="false">SUMIF($I$16:$I$99,4,$E$16:$E$99)</f>
        <v>1791262.04265722</v>
      </c>
      <c r="G106" s="12" t="n">
        <f aca="false">SUMIF($I$16:$I$99,5,$E$16:$E$99)</f>
        <v>1285184.00957726</v>
      </c>
      <c r="H106" s="12" t="n">
        <f aca="false">SUMIF($I$16:$I$99,6,$E$16:$E$99)</f>
        <v>781763.463885617</v>
      </c>
      <c r="I106" s="12" t="n">
        <f aca="false">SUMIF($I$16:$I$99,7,$E$16:$E$99)</f>
        <v>273027.943417338</v>
      </c>
      <c r="J106" s="22" t="n">
        <f aca="false">SUM(C106:I106)</f>
        <v>12276667.3905963</v>
      </c>
    </row>
    <row r="107" customFormat="false" ht="15" hidden="false" customHeight="false" outlineLevel="0" collapsed="false">
      <c r="B107" s="26" t="s">
        <v>470</v>
      </c>
      <c r="C107" s="12" t="n">
        <f aca="false">C105+C106</f>
        <v>3036468.19847976</v>
      </c>
      <c r="D107" s="12" t="n">
        <f aca="false">D105+D106</f>
        <v>9942271.0466183</v>
      </c>
      <c r="E107" s="12" t="n">
        <f aca="false">E105+E106</f>
        <v>9427989.46551352</v>
      </c>
      <c r="F107" s="12" t="n">
        <f aca="false">F105+F106</f>
        <v>8921911.43243356</v>
      </c>
      <c r="G107" s="12" t="n">
        <f aca="false">G105+G106</f>
        <v>8415833.39935361</v>
      </c>
      <c r="H107" s="12" t="n">
        <f aca="false">H105+H106</f>
        <v>7912412.85366197</v>
      </c>
      <c r="I107" s="12" t="n">
        <f aca="false">I105+I106</f>
        <v>7403677.33319366</v>
      </c>
      <c r="J107" s="22" t="n">
        <f aca="false">SUM(C107:I107)</f>
        <v>55060563.7292544</v>
      </c>
    </row>
    <row r="108" customFormat="false" ht="15" hidden="false" customHeight="false" outlineLevel="0" collapsed="false">
      <c r="B108" s="26" t="s">
        <v>471</v>
      </c>
      <c r="C108" s="12" t="n">
        <f aca="false">$C$9-SUM($C$105:C105)</f>
        <v>42783896.3386581</v>
      </c>
      <c r="D108" s="12" t="n">
        <f aca="false">$C$9-SUM($C$105:D105)</f>
        <v>35653246.9488817</v>
      </c>
      <c r="E108" s="12" t="n">
        <f aca="false">$C$9-SUM($C$105:E105)</f>
        <v>28522597.5591054</v>
      </c>
      <c r="F108" s="12" t="n">
        <f aca="false">$C$9-SUM($C$105:F105)</f>
        <v>21391948.169329</v>
      </c>
      <c r="G108" s="12" t="n">
        <f aca="false">$C$9-SUM($C$105:G105)</f>
        <v>14261298.7795527</v>
      </c>
      <c r="H108" s="12" t="n">
        <f aca="false">$C$9-SUM($C$105:H105)</f>
        <v>7130649.38977634</v>
      </c>
      <c r="I108" s="12" t="n">
        <f aca="false">$C$9-SUM($C$105:I105)</f>
        <v>0</v>
      </c>
      <c r="J108" s="22" t="n">
        <f aca="false">I108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472</v>
      </c>
      <c r="K2" s="51" t="s">
        <v>473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62" t="s">
        <v>474</v>
      </c>
      <c r="C6" s="20" t="s">
        <v>32</v>
      </c>
      <c r="D6" s="22" t="n">
        <f aca="false">D7+D8</f>
        <v>31477956.2337906</v>
      </c>
      <c r="E6" s="22" t="n">
        <f aca="false">E7+E8</f>
        <v>112240710.634265</v>
      </c>
      <c r="F6" s="22" t="n">
        <f aca="false">F7+F8</f>
        <v>124054692.349044</v>
      </c>
      <c r="G6" s="22" t="n">
        <f aca="false">G7+G8</f>
        <v>161068515.283873</v>
      </c>
      <c r="H6" s="22" t="n">
        <f aca="false">H7+H8</f>
        <v>158256746.233516</v>
      </c>
      <c r="I6" s="22" t="n">
        <f aca="false">I7+I8</f>
        <v>161630701.762933</v>
      </c>
      <c r="J6" s="22" t="n">
        <f aca="false">J7+J8</f>
        <v>165186577.201717</v>
      </c>
      <c r="K6" s="22" t="n">
        <f aca="false">SUM(D6:J6)</f>
        <v>913915899.699138</v>
      </c>
    </row>
    <row r="7" customFormat="false" ht="15" hidden="false" customHeight="false" outlineLevel="0" collapsed="false">
      <c r="B7" s="19" t="s">
        <v>475</v>
      </c>
      <c r="C7" s="20" t="s">
        <v>32</v>
      </c>
      <c r="D7" s="12" t="n">
        <f aca="false">SalePlan!D8</f>
        <v>0</v>
      </c>
      <c r="E7" s="12" t="n">
        <f aca="false">SalePlan!E8</f>
        <v>0</v>
      </c>
      <c r="F7" s="12" t="n">
        <f aca="false">SalePlan!F8</f>
        <v>0</v>
      </c>
      <c r="G7" s="12" t="n">
        <f aca="false">SalePlan!G8</f>
        <v>0</v>
      </c>
      <c r="H7" s="12" t="n">
        <f aca="false">SalePlan!H8</f>
        <v>0</v>
      </c>
      <c r="I7" s="12" t="n">
        <f aca="false">SalePlan!I8</f>
        <v>0</v>
      </c>
      <c r="J7" s="12" t="n">
        <f aca="false">SalePlan!J8</f>
        <v>0</v>
      </c>
      <c r="K7" s="12" t="n">
        <f aca="false">SUM(D7:J7)</f>
        <v>0</v>
      </c>
    </row>
    <row r="8" customFormat="false" ht="15" hidden="false" customHeight="false" outlineLevel="0" collapsed="false">
      <c r="B8" s="19" t="s">
        <v>476</v>
      </c>
      <c r="C8" s="20" t="s">
        <v>32</v>
      </c>
      <c r="D8" s="12" t="n">
        <f aca="false">SalePlan!D12+Taxes!D19</f>
        <v>31477956.2337906</v>
      </c>
      <c r="E8" s="12" t="n">
        <f aca="false">SalePlan!E12+Taxes!E19</f>
        <v>112240710.634265</v>
      </c>
      <c r="F8" s="12" t="n">
        <f aca="false">SalePlan!F12+Taxes!F19</f>
        <v>124054692.349044</v>
      </c>
      <c r="G8" s="12" t="n">
        <f aca="false">SalePlan!G12+Taxes!G19</f>
        <v>161068515.283873</v>
      </c>
      <c r="H8" s="12" t="n">
        <f aca="false">SalePlan!H12+Taxes!H19</f>
        <v>158256746.233516</v>
      </c>
      <c r="I8" s="12" t="n">
        <f aca="false">SalePlan!I12+Taxes!I19</f>
        <v>161630701.762933</v>
      </c>
      <c r="J8" s="12" t="n">
        <f aca="false">SalePlan!J12+Taxes!J19</f>
        <v>165186577.201717</v>
      </c>
      <c r="K8" s="12" t="n">
        <f aca="false">SUM(D8:J8)</f>
        <v>913915899.699138</v>
      </c>
    </row>
    <row r="9" customFormat="false" ht="15" hidden="false" customHeight="false" outlineLevel="0" collapsed="false">
      <c r="B9" s="19" t="s">
        <v>477</v>
      </c>
      <c r="C9" s="20" t="s">
        <v>32</v>
      </c>
      <c r="D9" s="12" t="n">
        <f aca="false">Taxes!D19</f>
        <v>3372638.16790614</v>
      </c>
      <c r="E9" s="12" t="n">
        <f aca="false">Taxes!E19</f>
        <v>12025790.4250999</v>
      </c>
      <c r="F9" s="12" t="n">
        <f aca="false">Taxes!F19</f>
        <v>13291574.1802547</v>
      </c>
      <c r="G9" s="12" t="n">
        <f aca="false">Taxes!G19</f>
        <v>17257340.9232721</v>
      </c>
      <c r="H9" s="12" t="n">
        <f aca="false">Taxes!H19</f>
        <v>16956079.953591</v>
      </c>
      <c r="I9" s="12" t="n">
        <f aca="false">Taxes!I19</f>
        <v>17317575.1888856</v>
      </c>
      <c r="J9" s="12" t="n">
        <f aca="false">Taxes!J19</f>
        <v>17698561.8430411</v>
      </c>
      <c r="K9" s="12" t="n">
        <f aca="false">SUM(D9:J9)</f>
        <v>97919560.6820505</v>
      </c>
    </row>
    <row r="10" customFormat="false" ht="15" hidden="false" customHeight="false" outlineLevel="0" collapsed="false">
      <c r="B10" s="68" t="s">
        <v>478</v>
      </c>
      <c r="C10" s="59" t="s">
        <v>32</v>
      </c>
      <c r="D10" s="48" t="n">
        <f aca="false">D6-D9</f>
        <v>28105318.0658845</v>
      </c>
      <c r="E10" s="48" t="n">
        <f aca="false">E6-E9</f>
        <v>100214920.209165</v>
      </c>
      <c r="F10" s="48" t="n">
        <f aca="false">F6-F9</f>
        <v>110763118.168789</v>
      </c>
      <c r="G10" s="48" t="n">
        <f aca="false">G6-G9</f>
        <v>143811174.360601</v>
      </c>
      <c r="H10" s="48" t="n">
        <f aca="false">H6-H9</f>
        <v>141300666.279925</v>
      </c>
      <c r="I10" s="48" t="n">
        <f aca="false">I6-I9</f>
        <v>144313126.574047</v>
      </c>
      <c r="J10" s="48" t="n">
        <f aca="false">J6-J9</f>
        <v>147488015.358676</v>
      </c>
      <c r="K10" s="48" t="n">
        <f aca="false">SUM(D10:J10)</f>
        <v>815996339.017088</v>
      </c>
    </row>
    <row r="11" customFormat="false" ht="15" hidden="false" customHeight="false" outlineLevel="0" collapsed="false">
      <c r="B11" s="19" t="s">
        <v>423</v>
      </c>
      <c r="C11" s="20" t="s">
        <v>32</v>
      </c>
      <c r="D11" s="12" t="n">
        <f aca="false">CostSold!D22</f>
        <v>11431231.5147289</v>
      </c>
      <c r="E11" s="12" t="n">
        <f aca="false">CostSold!E22</f>
        <v>43801488.171253</v>
      </c>
      <c r="F11" s="12" t="n">
        <f aca="false">CostSold!F22</f>
        <v>49542817.8438279</v>
      </c>
      <c r="G11" s="12" t="n">
        <f aca="false">CostSold!G22</f>
        <v>58924750.0914904</v>
      </c>
      <c r="H11" s="12" t="n">
        <f aca="false">CostSold!H22</f>
        <v>60315034.9929745</v>
      </c>
      <c r="I11" s="12" t="n">
        <f aca="false">CostSold!I22</f>
        <v>61408954.6754136</v>
      </c>
      <c r="J11" s="12" t="n">
        <f aca="false">CostSold!J22</f>
        <v>62536015.9462692</v>
      </c>
      <c r="K11" s="12" t="n">
        <f aca="false">SUM(D11:J11)</f>
        <v>347960293.235958</v>
      </c>
    </row>
    <row r="12" customFormat="false" ht="15" hidden="false" customHeight="false" outlineLevel="0" collapsed="false">
      <c r="B12" s="19" t="s">
        <v>479</v>
      </c>
      <c r="C12" s="20" t="s">
        <v>32</v>
      </c>
      <c r="D12" s="12" t="n">
        <f aca="false">CostSold!D23</f>
        <v>11431231.5147289</v>
      </c>
      <c r="E12" s="12" t="n">
        <f aca="false">CostSold!E23</f>
        <v>43801488.171253</v>
      </c>
      <c r="F12" s="12" t="n">
        <f aca="false">CostSold!F23</f>
        <v>49542817.8438279</v>
      </c>
      <c r="G12" s="12" t="n">
        <f aca="false">CostSold!G23</f>
        <v>58924750.0914904</v>
      </c>
      <c r="H12" s="12" t="n">
        <f aca="false">CostSold!H23</f>
        <v>60315034.9929745</v>
      </c>
      <c r="I12" s="12" t="n">
        <f aca="false">CostSold!I23</f>
        <v>61408954.6754136</v>
      </c>
      <c r="J12" s="12" t="n">
        <f aca="false">CostSold!J23</f>
        <v>62536015.9462692</v>
      </c>
      <c r="K12" s="12" t="n">
        <f aca="false">SUM(D12:J12)</f>
        <v>347960293.235958</v>
      </c>
    </row>
    <row r="13" customFormat="false" ht="15" hidden="false" customHeight="false" outlineLevel="0" collapsed="false">
      <c r="B13" s="19" t="s">
        <v>480</v>
      </c>
      <c r="C13" s="20" t="s">
        <v>32</v>
      </c>
      <c r="D13" s="12" t="n">
        <f aca="false">CostSold!D24</f>
        <v>0</v>
      </c>
      <c r="E13" s="12" t="n">
        <f aca="false">CostSold!E24</f>
        <v>0</v>
      </c>
      <c r="F13" s="12" t="n">
        <f aca="false">CostSold!F24</f>
        <v>0</v>
      </c>
      <c r="G13" s="12" t="n">
        <f aca="false">CostSold!G24</f>
        <v>0</v>
      </c>
      <c r="H13" s="12" t="n">
        <f aca="false">CostSold!H24</f>
        <v>0</v>
      </c>
      <c r="I13" s="12" t="n">
        <f aca="false">CostSold!I24</f>
        <v>0</v>
      </c>
      <c r="J13" s="12" t="n">
        <f aca="false">CostSold!J24</f>
        <v>0</v>
      </c>
      <c r="K13" s="12" t="n">
        <f aca="false">SUM(D13:J13)</f>
        <v>0</v>
      </c>
    </row>
    <row r="14" customFormat="false" ht="15" hidden="false" customHeight="false" outlineLevel="0" collapsed="false">
      <c r="B14" s="68" t="s">
        <v>481</v>
      </c>
      <c r="C14" s="59" t="s">
        <v>32</v>
      </c>
      <c r="D14" s="48" t="n">
        <f aca="false">D10-D11</f>
        <v>16674086.5511556</v>
      </c>
      <c r="E14" s="48" t="n">
        <f aca="false">E10-E11</f>
        <v>56413432.0379124</v>
      </c>
      <c r="F14" s="48" t="n">
        <f aca="false">F10-F11</f>
        <v>61220300.3249614</v>
      </c>
      <c r="G14" s="48" t="n">
        <f aca="false">G10-G11</f>
        <v>84886424.2691105</v>
      </c>
      <c r="H14" s="48" t="n">
        <f aca="false">H10-H11</f>
        <v>80985631.2869501</v>
      </c>
      <c r="I14" s="48" t="n">
        <f aca="false">I10-I11</f>
        <v>82904171.8986333</v>
      </c>
      <c r="J14" s="48" t="n">
        <f aca="false">J10-J11</f>
        <v>84951999.4124067</v>
      </c>
      <c r="K14" s="48" t="n">
        <f aca="false">SUM(D14:J14)</f>
        <v>468036045.78113</v>
      </c>
    </row>
    <row r="15" customFormat="false" ht="15" hidden="false" customHeight="false" outlineLevel="0" collapsed="false">
      <c r="B15" s="19" t="s">
        <v>482</v>
      </c>
      <c r="C15" s="20" t="s">
        <v>32</v>
      </c>
      <c r="D15" s="12" t="n">
        <f aca="false">CostSold!D31</f>
        <v>1599353.82012</v>
      </c>
      <c r="E15" s="12" t="n">
        <f aca="false">CostSold!E31</f>
        <v>1790784.1119504</v>
      </c>
      <c r="F15" s="12" t="n">
        <f aca="false">CostSold!F31</f>
        <v>1830181.36241331</v>
      </c>
      <c r="G15" s="12" t="n">
        <f aca="false">CostSold!G31</f>
        <v>1870445.3523864</v>
      </c>
      <c r="H15" s="12" t="n">
        <f aca="false">CostSold!H31</f>
        <v>1911595.1501389</v>
      </c>
      <c r="I15" s="12" t="n">
        <f aca="false">CostSold!I31</f>
        <v>1953650.24344196</v>
      </c>
      <c r="J15" s="12" t="n">
        <f aca="false">CostSold!J31</f>
        <v>1996630.54879768</v>
      </c>
      <c r="K15" s="12" t="n">
        <f aca="false">SUM(D15:J15)</f>
        <v>12952640.5892487</v>
      </c>
    </row>
    <row r="16" customFormat="false" ht="15" hidden="false" customHeight="false" outlineLevel="0" collapsed="false">
      <c r="B16" s="19" t="s">
        <v>483</v>
      </c>
      <c r="C16" s="20" t="s">
        <v>32</v>
      </c>
      <c r="D16" s="12" t="n">
        <f aca="false">CostSold!D39</f>
        <v>5198171.63033659</v>
      </c>
      <c r="E16" s="12" t="n">
        <f aca="false">CostSold!E39</f>
        <v>2892314.99840787</v>
      </c>
      <c r="F16" s="12" t="n">
        <f aca="false">CostSold!F39</f>
        <v>3527504.58374623</v>
      </c>
      <c r="G16" s="12" t="n">
        <f aca="false">CostSold!G39</f>
        <v>28608304.7618179</v>
      </c>
      <c r="H16" s="12" t="n">
        <f aca="false">CostSold!H39</f>
        <v>27908902.4107846</v>
      </c>
      <c r="I16" s="12" t="n">
        <f aca="false">CostSold!I39</f>
        <v>28565387.2732849</v>
      </c>
      <c r="J16" s="12" t="n">
        <f aca="false">CostSold!J39</f>
        <v>29271752.5281289</v>
      </c>
      <c r="K16" s="12" t="n">
        <f aca="false">SUM(D16:J16)</f>
        <v>125972338.186507</v>
      </c>
    </row>
    <row r="17" customFormat="false" ht="15" hidden="false" customHeight="false" outlineLevel="0" collapsed="false">
      <c r="B17" s="68" t="s">
        <v>484</v>
      </c>
      <c r="C17" s="59" t="s">
        <v>32</v>
      </c>
      <c r="D17" s="48" t="n">
        <f aca="false">D14-D15-D16</f>
        <v>9876561.10069902</v>
      </c>
      <c r="E17" s="48" t="n">
        <f aca="false">E14-E15-E16</f>
        <v>51730332.9275541</v>
      </c>
      <c r="F17" s="48" t="n">
        <f aca="false">F14-F15-F16</f>
        <v>55862614.3788018</v>
      </c>
      <c r="G17" s="48" t="n">
        <f aca="false">G14-G15-G16</f>
        <v>54407674.1549062</v>
      </c>
      <c r="H17" s="48" t="n">
        <f aca="false">H14-H15-H16</f>
        <v>51165133.7260266</v>
      </c>
      <c r="I17" s="48" t="n">
        <f aca="false">I14-I15-I16</f>
        <v>52385134.3819065</v>
      </c>
      <c r="J17" s="48" t="n">
        <f aca="false">J14-J15-J16</f>
        <v>53683616.3354801</v>
      </c>
      <c r="K17" s="48" t="n">
        <f aca="false">SUM(D17:J17)</f>
        <v>329111067.005374</v>
      </c>
    </row>
    <row r="18" customFormat="false" ht="15" hidden="false" customHeight="false" outlineLevel="0" collapsed="false">
      <c r="B18" s="19" t="s">
        <v>485</v>
      </c>
      <c r="C18" s="20" t="s">
        <v>32</v>
      </c>
      <c r="D18" s="12" t="n">
        <f aca="false">D19</f>
        <v>0</v>
      </c>
      <c r="E18" s="12" t="n">
        <f aca="false">E19</f>
        <v>2811621.65684195</v>
      </c>
      <c r="F18" s="12" t="n">
        <f aca="false">F19</f>
        <v>2297340.07573718</v>
      </c>
      <c r="G18" s="12" t="n">
        <f aca="false">G19</f>
        <v>1791262.04265722</v>
      </c>
      <c r="H18" s="12" t="n">
        <f aca="false">H19</f>
        <v>1285184.00957726</v>
      </c>
      <c r="I18" s="12" t="n">
        <f aca="false">I19</f>
        <v>781763.463885617</v>
      </c>
      <c r="J18" s="12" t="n">
        <f aca="false">J19</f>
        <v>273027.943417338</v>
      </c>
      <c r="K18" s="12" t="n">
        <f aca="false">SUM(D18:J18)</f>
        <v>9240199.19211656</v>
      </c>
    </row>
    <row r="19" customFormat="false" ht="15" hidden="false" customHeight="false" outlineLevel="0" collapsed="false">
      <c r="B19" s="19" t="s">
        <v>486</v>
      </c>
      <c r="C19" s="20" t="s">
        <v>32</v>
      </c>
      <c r="D19" s="12" t="n">
        <f aca="false">CostSold!D42</f>
        <v>0</v>
      </c>
      <c r="E19" s="12" t="n">
        <f aca="false">CostSold!E42</f>
        <v>2811621.65684195</v>
      </c>
      <c r="F19" s="12" t="n">
        <f aca="false">CostSold!F42</f>
        <v>2297340.07573718</v>
      </c>
      <c r="G19" s="12" t="n">
        <f aca="false">CostSold!G42</f>
        <v>1791262.04265722</v>
      </c>
      <c r="H19" s="12" t="n">
        <f aca="false">CostSold!H42</f>
        <v>1285184.00957726</v>
      </c>
      <c r="I19" s="12" t="n">
        <f aca="false">CostSold!I42</f>
        <v>781763.463885617</v>
      </c>
      <c r="J19" s="12" t="n">
        <f aca="false">CostSold!J42</f>
        <v>273027.943417338</v>
      </c>
      <c r="K19" s="12" t="n">
        <f aca="false">SUM(D19:J19)</f>
        <v>9240199.19211656</v>
      </c>
    </row>
    <row r="20" customFormat="false" ht="15" hidden="false" customHeight="false" outlineLevel="0" collapsed="false">
      <c r="B20" s="68" t="s">
        <v>487</v>
      </c>
      <c r="C20" s="59" t="s">
        <v>32</v>
      </c>
      <c r="D20" s="48" t="n">
        <f aca="false">D17-D18</f>
        <v>9876561.10069902</v>
      </c>
      <c r="E20" s="48" t="n">
        <f aca="false">E17-E18</f>
        <v>48918711.2707121</v>
      </c>
      <c r="F20" s="48" t="n">
        <f aca="false">F17-F18</f>
        <v>53565274.3030647</v>
      </c>
      <c r="G20" s="48" t="n">
        <f aca="false">G17-G18</f>
        <v>52616412.112249</v>
      </c>
      <c r="H20" s="48" t="n">
        <f aca="false">H17-H18</f>
        <v>49879949.7164494</v>
      </c>
      <c r="I20" s="48" t="n">
        <f aca="false">I17-I18</f>
        <v>51603370.9180209</v>
      </c>
      <c r="J20" s="48" t="n">
        <f aca="false">J17-J18</f>
        <v>53410588.3920628</v>
      </c>
      <c r="K20" s="48" t="n">
        <f aca="false">SUM(D20:J20)</f>
        <v>319870867.813258</v>
      </c>
    </row>
    <row r="21" customFormat="false" ht="15" hidden="false" customHeight="false" outlineLevel="0" collapsed="false">
      <c r="B21" s="19" t="s">
        <v>488</v>
      </c>
      <c r="C21" s="20" t="s">
        <v>32</v>
      </c>
      <c r="D21" s="12" t="n">
        <f aca="false">Taxes!D29</f>
        <v>2755630.63161571</v>
      </c>
      <c r="E21" s="12" t="n">
        <f aca="false">Taxes!E29</f>
        <v>18677916.0826966</v>
      </c>
      <c r="F21" s="12" t="n">
        <f aca="false">Taxes!F29</f>
        <v>20568512.411928</v>
      </c>
      <c r="G21" s="12" t="n">
        <f aca="false">Taxes!G29</f>
        <v>24165831.5471159</v>
      </c>
      <c r="H21" s="12" t="n">
        <f aca="false">Taxes!H29</f>
        <v>23471278.3786168</v>
      </c>
      <c r="I21" s="12" t="n">
        <f aca="false">Taxes!I29</f>
        <v>24070675.2237137</v>
      </c>
      <c r="J21" s="12" t="n">
        <f aca="false">Taxes!J29</f>
        <v>24701021.5757122</v>
      </c>
      <c r="K21" s="12" t="n">
        <f aca="false">SUM(D21:J21)</f>
        <v>138410865.851399</v>
      </c>
    </row>
    <row r="22" customFormat="false" ht="15" hidden="false" customHeight="false" outlineLevel="0" collapsed="false">
      <c r="B22" s="34" t="s">
        <v>489</v>
      </c>
      <c r="C22" s="63" t="s">
        <v>32</v>
      </c>
      <c r="D22" s="15" t="n">
        <f aca="false">D20-D21</f>
        <v>7120930.46908331</v>
      </c>
      <c r="E22" s="15" t="n">
        <f aca="false">E20-E21</f>
        <v>30240795.1880155</v>
      </c>
      <c r="F22" s="15" t="n">
        <f aca="false">F20-F21</f>
        <v>32996761.8911367</v>
      </c>
      <c r="G22" s="15" t="n">
        <f aca="false">G20-G21</f>
        <v>28450580.5651331</v>
      </c>
      <c r="H22" s="15" t="n">
        <f aca="false">H20-H21</f>
        <v>26408671.3378326</v>
      </c>
      <c r="I22" s="15" t="n">
        <f aca="false">I20-I21</f>
        <v>27532695.6943072</v>
      </c>
      <c r="J22" s="15" t="n">
        <f aca="false">J20-J21</f>
        <v>28709566.8163506</v>
      </c>
      <c r="K22" s="15" t="n">
        <f aca="false">SUM(D22:J22)</f>
        <v>181460001.961859</v>
      </c>
    </row>
    <row r="24" customFormat="false" ht="15" hidden="false" customHeight="false" outlineLevel="0" collapsed="false">
      <c r="B24" s="33" t="s">
        <v>490</v>
      </c>
    </row>
    <row r="25" customFormat="false" ht="15" hidden="false" customHeight="false" outlineLevel="0" collapsed="false">
      <c r="B25" s="19" t="s">
        <v>491</v>
      </c>
      <c r="C25" s="20" t="s">
        <v>262</v>
      </c>
      <c r="D25" s="13" t="n">
        <f aca="false">IFERROR(D14/D10,0)</f>
        <v>0.593271583408813</v>
      </c>
      <c r="E25" s="13" t="n">
        <f aca="false">IFERROR(E14/E10,0)</f>
        <v>0.56292448190517</v>
      </c>
      <c r="F25" s="13" t="n">
        <f aca="false">IFERROR(F14/F10,0)</f>
        <v>0.552713767336066</v>
      </c>
      <c r="G25" s="13" t="n">
        <f aca="false">IFERROR(G14/G10,0)</f>
        <v>0.590263062981887</v>
      </c>
      <c r="H25" s="13" t="n">
        <f aca="false">IFERROR(H14/H10,0)</f>
        <v>0.573144015658872</v>
      </c>
      <c r="I25" s="13" t="n">
        <f aca="false">IFERROR(I14/I10,0)</f>
        <v>0.574474227443858</v>
      </c>
      <c r="J25" s="13" t="n">
        <f aca="false">IFERROR(J14/J10,0)</f>
        <v>0.575992559163618</v>
      </c>
    </row>
    <row r="26" customFormat="false" ht="15" hidden="false" customHeight="false" outlineLevel="0" collapsed="false">
      <c r="B26" s="19" t="s">
        <v>492</v>
      </c>
      <c r="C26" s="20" t="s">
        <v>262</v>
      </c>
      <c r="D26" s="13" t="n">
        <f aca="false">IFERROR(D22/D10,0)</f>
        <v>0.253365944921542</v>
      </c>
      <c r="E26" s="13" t="n">
        <f aca="false">IFERROR(E22/E10,0)</f>
        <v>0.301759409925168</v>
      </c>
      <c r="F26" s="13" t="n">
        <f aca="false">IFERROR(F22/F10,0)</f>
        <v>0.297903873027967</v>
      </c>
      <c r="G26" s="13" t="n">
        <f aca="false">IFERROR(G22/G10,0)</f>
        <v>0.197832892274382</v>
      </c>
      <c r="H26" s="13" t="n">
        <f aca="false">IFERROR(H22/H10,0)</f>
        <v>0.186897005039704</v>
      </c>
      <c r="I26" s="13" t="n">
        <f aca="false">IFERROR(I22/I10,0)</f>
        <v>0.190784416829748</v>
      </c>
      <c r="J26" s="13" t="n">
        <f aca="false">IFERROR(J22/J10,0)</f>
        <v>0.194656947186738</v>
      </c>
    </row>
    <row r="27" customFormat="false" ht="15" hidden="false" customHeight="false" outlineLevel="0" collapsed="false">
      <c r="B27" s="19" t="s">
        <v>61</v>
      </c>
      <c r="C27" s="20" t="s">
        <v>32</v>
      </c>
      <c r="D27" s="12" t="n">
        <f aca="false">D17+Depreciate!$G$19</f>
        <v>15164483.7188218</v>
      </c>
      <c r="E27" s="12" t="n">
        <f aca="false">E17+Depreciate!$H$19</f>
        <v>67752886.4962082</v>
      </c>
      <c r="F27" s="12" t="n">
        <f aca="false">F17+Depreciate!$I$19</f>
        <v>72026310.8045988</v>
      </c>
      <c r="G27" s="12" t="n">
        <f aca="false">G17+Depreciate!$J$19</f>
        <v>70712513.4378461</v>
      </c>
      <c r="H27" s="12" t="n">
        <f aca="false">H17+Depreciate!$K$19</f>
        <v>67611115.8661093</v>
      </c>
      <c r="I27" s="12" t="n">
        <f aca="false">I17+Depreciate!$L$19</f>
        <v>68972259.3791321</v>
      </c>
      <c r="J27" s="12" t="n">
        <f aca="false">J17+Depreciate!$M$19</f>
        <v>70411884.1898485</v>
      </c>
      <c r="K27" s="12" t="n">
        <f aca="false">SUM(D27:J27)</f>
        <v>432651453.892565</v>
      </c>
    </row>
    <row r="28" customFormat="false" ht="15" hidden="false" customHeight="false" outlineLevel="0" collapsed="false">
      <c r="B28" s="19" t="s">
        <v>493</v>
      </c>
      <c r="C28" s="20" t="s">
        <v>262</v>
      </c>
      <c r="D28" s="13" t="n">
        <f aca="false">IFERROR(D27/D10,0)</f>
        <v>0.539559228017745</v>
      </c>
      <c r="E28" s="13" t="n">
        <f aca="false">IFERROR(E27/E10,0)</f>
        <v>0.676075841349737</v>
      </c>
      <c r="F28" s="13" t="n">
        <f aca="false">IFERROR(F27/F10,0)</f>
        <v>0.650273412263816</v>
      </c>
      <c r="G28" s="13" t="n">
        <f aca="false">IFERROR(G27/G10,0)</f>
        <v>0.49170388707443</v>
      </c>
      <c r="H28" s="13" t="n">
        <f aca="false">IFERROR(H27/H10,0)</f>
        <v>0.478491132746451</v>
      </c>
      <c r="I28" s="13" t="n">
        <f aca="false">IFERROR(I27/I10,0)</f>
        <v>0.477934759065333</v>
      </c>
      <c r="J28" s="13" t="n">
        <f aca="false">IFERROR(J27/J10,0)</f>
        <v>0.477407496592954</v>
      </c>
    </row>
    <row r="29" customFormat="false" ht="15" hidden="false" customHeight="false" outlineLevel="0" collapsed="false">
      <c r="B29" s="19" t="s">
        <v>494</v>
      </c>
      <c r="C29" s="20" t="s">
        <v>68</v>
      </c>
      <c r="D29" s="21" t="str">
        <f aca="false">IF(D19&gt;0,D17/D19,"-")</f>
        <v>-</v>
      </c>
      <c r="E29" s="21" t="n">
        <f aca="false">IF(E19&gt;0,E17/E19,"-")</f>
        <v>18.3987531898791</v>
      </c>
      <c r="F29" s="21" t="n">
        <f aca="false">IF(F19&gt;0,F17/F19,"-")</f>
        <v>24.3162146383036</v>
      </c>
      <c r="G29" s="21" t="n">
        <f aca="false">IF(G19&gt;0,G17/G19,"-")</f>
        <v>30.3739334945076</v>
      </c>
      <c r="H29" s="21" t="n">
        <f aca="false">IF(H19&gt;0,H17/H19,"-")</f>
        <v>39.811523754374</v>
      </c>
      <c r="I29" s="21" t="n">
        <f aca="false">IF(I19&gt;0,I17/I19,"-")</f>
        <v>67.0089314759421</v>
      </c>
      <c r="J29" s="21" t="n">
        <f aca="false">IF(J19&gt;0,J17/J19,"-")</f>
        <v>196.623157555056</v>
      </c>
    </row>
    <row r="30" customFormat="false" ht="15" hidden="false" customHeight="false" outlineLevel="0" collapsed="false">
      <c r="B30" s="19" t="s">
        <v>69</v>
      </c>
      <c r="C30" s="20" t="s">
        <v>32</v>
      </c>
      <c r="D30" s="12" t="n">
        <f aca="false">LOANS!$C$108</f>
        <v>42783896.3386581</v>
      </c>
      <c r="E30" s="12" t="n">
        <f aca="false">LOANS!$D$108</f>
        <v>35653246.9488817</v>
      </c>
      <c r="F30" s="12" t="n">
        <f aca="false">LOANS!$E$108</f>
        <v>28522597.5591054</v>
      </c>
      <c r="G30" s="12" t="n">
        <f aca="false">LOANS!$F$108</f>
        <v>21391948.169329</v>
      </c>
      <c r="H30" s="12" t="n">
        <f aca="false">LOANS!$G$108</f>
        <v>14261298.7795527</v>
      </c>
      <c r="I30" s="12" t="n">
        <f aca="false">LOANS!$H$108</f>
        <v>7130649.38977634</v>
      </c>
      <c r="J30" s="12" t="n">
        <f aca="false">LOANS!$I$108</f>
        <v>0</v>
      </c>
    </row>
    <row r="31" customFormat="false" ht="15" hidden="false" customHeight="false" outlineLevel="0" collapsed="false">
      <c r="B31" s="19" t="s">
        <v>495</v>
      </c>
      <c r="C31" s="20" t="s">
        <v>68</v>
      </c>
      <c r="D31" s="21" t="n">
        <f aca="false">IFERROR(D30/D27,0)</f>
        <v>2.82132231679972</v>
      </c>
      <c r="E31" s="21" t="n">
        <f aca="false">IFERROR(E30/E27,0)</f>
        <v>0.526224767573217</v>
      </c>
      <c r="F31" s="21" t="n">
        <f aca="false">IFERROR(F30/F27,0)</f>
        <v>0.396002477990088</v>
      </c>
      <c r="G31" s="21" t="n">
        <f aca="false">IFERROR(G30/G27,0)</f>
        <v>0.302519980259673</v>
      </c>
      <c r="H31" s="21" t="n">
        <f aca="false">IFERROR(H30/H27,0)</f>
        <v>0.210931273605873</v>
      </c>
      <c r="I31" s="21" t="n">
        <f aca="false">IFERROR(I30/I27,0)</f>
        <v>0.103384309198573</v>
      </c>
      <c r="J31" s="21" t="n">
        <f aca="false">IFERROR(J30/J27,0)</f>
        <v>0</v>
      </c>
    </row>
    <row r="33" customFormat="false" ht="15" hidden="false" customHeight="false" outlineLevel="0" collapsed="false">
      <c r="B33" s="3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4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497</v>
      </c>
      <c r="K2" s="51" t="s">
        <v>498</v>
      </c>
    </row>
    <row r="4" customFormat="false" ht="15" hidden="false" customHeight="false" outlineLevel="0" collapsed="false">
      <c r="B4" s="4" t="s">
        <v>499</v>
      </c>
      <c r="C4" s="4" t="s">
        <v>500</v>
      </c>
    </row>
    <row r="5" customFormat="false" ht="15" hidden="false" customHeight="false" outlineLevel="0" collapsed="false">
      <c r="B5" s="6" t="s">
        <v>501</v>
      </c>
      <c r="C5" s="58" t="n">
        <f aca="false">Исх_данные!$E$9</f>
        <v>30</v>
      </c>
    </row>
    <row r="6" customFormat="false" ht="15" hidden="false" customHeight="false" outlineLevel="0" collapsed="false">
      <c r="B6" s="6" t="s">
        <v>502</v>
      </c>
      <c r="C6" s="58" t="n">
        <f aca="false">Исх_данные!$E$10</f>
        <v>0</v>
      </c>
    </row>
    <row r="7" customFormat="false" ht="15" hidden="false" customHeight="false" outlineLevel="0" collapsed="false">
      <c r="B7" s="6" t="s">
        <v>503</v>
      </c>
      <c r="C7" s="58" t="n">
        <f aca="false">Исх_данные!$E$11</f>
        <v>5</v>
      </c>
    </row>
    <row r="8" customFormat="false" ht="15" hidden="false" customHeight="false" outlineLevel="0" collapsed="false">
      <c r="B8" s="6" t="s">
        <v>504</v>
      </c>
      <c r="C8" s="58" t="n">
        <f aca="false">Исх_данные!$E$12</f>
        <v>15</v>
      </c>
    </row>
    <row r="9" customFormat="false" ht="15" hidden="false" customHeight="false" outlineLevel="0" collapsed="false">
      <c r="B9" s="6" t="s">
        <v>505</v>
      </c>
      <c r="C9" s="58" t="n">
        <f aca="false">Исх_данные!$E$13</f>
        <v>8</v>
      </c>
    </row>
    <row r="10" customFormat="false" ht="15" hidden="false" customHeight="false" outlineLevel="0" collapsed="false">
      <c r="B10" s="6" t="s">
        <v>506</v>
      </c>
      <c r="C10" s="58" t="n">
        <f aca="false">Исх_данные!$E$14</f>
        <v>15</v>
      </c>
    </row>
    <row r="11" customFormat="false" ht="15" hidden="false" customHeight="false" outlineLevel="0" collapsed="false">
      <c r="B11" s="6" t="s">
        <v>507</v>
      </c>
      <c r="C11" s="58" t="n">
        <f aca="false">Исх_данные!$E$15</f>
        <v>90</v>
      </c>
    </row>
    <row r="12" customFormat="false" ht="15" hidden="false" customHeight="false" outlineLevel="0" collapsed="false">
      <c r="B12" s="6" t="s">
        <v>508</v>
      </c>
      <c r="C12" s="58" t="n">
        <f aca="false">Исх_данные!$E$16</f>
        <v>540</v>
      </c>
    </row>
    <row r="14" customFormat="false" ht="15" hidden="false" customHeight="false" outlineLevel="0" collapsed="false">
      <c r="B14" s="4" t="s">
        <v>509</v>
      </c>
      <c r="C14" s="17" t="s">
        <v>510</v>
      </c>
      <c r="D14" s="17" t="s">
        <v>233</v>
      </c>
      <c r="E14" s="17" t="s">
        <v>45</v>
      </c>
      <c r="F14" s="17" t="s">
        <v>46</v>
      </c>
      <c r="G14" s="17" t="s">
        <v>47</v>
      </c>
      <c r="H14" s="17" t="s">
        <v>48</v>
      </c>
      <c r="I14" s="17" t="s">
        <v>49</v>
      </c>
      <c r="J14" s="17" t="s">
        <v>50</v>
      </c>
    </row>
    <row r="15" customFormat="false" ht="15" hidden="false" customHeight="false" outlineLevel="0" collapsed="false">
      <c r="B15" s="5"/>
      <c r="C15" s="17" t="s">
        <v>511</v>
      </c>
      <c r="D15" s="17" t="s">
        <v>52</v>
      </c>
      <c r="E15" s="17" t="s">
        <v>53</v>
      </c>
      <c r="F15" s="17" t="s">
        <v>54</v>
      </c>
      <c r="G15" s="17" t="s">
        <v>55</v>
      </c>
      <c r="H15" s="17" t="s">
        <v>56</v>
      </c>
      <c r="I15" s="17" t="s">
        <v>57</v>
      </c>
      <c r="J15" s="17" t="s">
        <v>58</v>
      </c>
    </row>
    <row r="16" customFormat="false" ht="15" hidden="false" customHeight="false" outlineLevel="0" collapsed="false">
      <c r="B16" s="6" t="s">
        <v>512</v>
      </c>
      <c r="C16" s="12" t="n">
        <v>0</v>
      </c>
      <c r="D16" s="12" t="n">
        <f aca="false">Исх_данные!$F$89</f>
        <v>9085416.3623338</v>
      </c>
      <c r="E16" s="12" t="n">
        <f aca="false">Исх_данные!$G$89</f>
        <v>8236842.7569177</v>
      </c>
      <c r="F16" s="12" t="n">
        <f aca="false">Исх_данные!$H$89</f>
        <v>9103817.93168131</v>
      </c>
      <c r="G16" s="12" t="n">
        <f aca="false">Исх_данные!$I$89</f>
        <v>11820096.5227891</v>
      </c>
      <c r="H16" s="12" t="n">
        <f aca="false">Исх_данные!$J$89</f>
        <v>11613753.3928705</v>
      </c>
      <c r="I16" s="12" t="n">
        <f aca="false">Исх_данные!$K$89</f>
        <v>11861352.8690997</v>
      </c>
      <c r="J16" s="12" t="n">
        <f aca="false">Исх_данные!$L$89</f>
        <v>12122302.6322199</v>
      </c>
    </row>
    <row r="17" customFormat="false" ht="15" hidden="false" customHeight="false" outlineLevel="0" collapsed="false">
      <c r="B17" s="6" t="s">
        <v>513</v>
      </c>
      <c r="C17" s="12" t="n">
        <v>0</v>
      </c>
      <c r="D17" s="12" t="n">
        <f aca="false">Исх_данные!$F$88</f>
        <v>1521163.90746261</v>
      </c>
      <c r="E17" s="12" t="n">
        <f aca="false">Исх_данные!$G$88</f>
        <v>1522189.60551515</v>
      </c>
      <c r="F17" s="12" t="n">
        <f aca="false">Исх_данные!$H$88</f>
        <v>1846778.65579802</v>
      </c>
      <c r="G17" s="12" t="n">
        <f aca="false">Исх_данные!$I$88</f>
        <v>2363659.83494218</v>
      </c>
      <c r="H17" s="12" t="n">
        <f aca="false">Исх_данные!$J$88</f>
        <v>2406109.74017099</v>
      </c>
      <c r="I17" s="12" t="n">
        <f aca="false">Исх_данные!$K$88</f>
        <v>2458882.31524736</v>
      </c>
      <c r="J17" s="12" t="n">
        <f aca="false">Исх_данные!$L$88</f>
        <v>2512977.72618281</v>
      </c>
    </row>
    <row r="18" customFormat="false" ht="15" hidden="false" customHeight="false" outlineLevel="0" collapsed="false">
      <c r="B18" s="6" t="s">
        <v>514</v>
      </c>
      <c r="C18" s="12" t="n">
        <v>0</v>
      </c>
      <c r="D18" s="12" t="n">
        <f aca="false">Исх_данные!$F$90</f>
        <v>16825502.7330136</v>
      </c>
      <c r="E18" s="12" t="n">
        <f aca="false">Исх_данные!$G$90</f>
        <v>3359810.71183872</v>
      </c>
      <c r="F18" s="12" t="n">
        <f aca="false">Исх_данные!$H$90</f>
        <v>0</v>
      </c>
      <c r="G18" s="12" t="n">
        <f aca="false">Исх_данные!$I$90</f>
        <v>0</v>
      </c>
      <c r="H18" s="12" t="n">
        <f aca="false">Исх_данные!$J$90</f>
        <v>0</v>
      </c>
      <c r="I18" s="12" t="n">
        <f aca="false">Исх_данные!$K$90</f>
        <v>0</v>
      </c>
      <c r="J18" s="12" t="n">
        <f aca="false">Исх_данные!$L$90</f>
        <v>0</v>
      </c>
    </row>
    <row r="19" customFormat="false" ht="15" hidden="false" customHeight="false" outlineLevel="0" collapsed="false">
      <c r="B19" s="10" t="s">
        <v>515</v>
      </c>
      <c r="C19" s="48" t="n">
        <v>0</v>
      </c>
      <c r="D19" s="48" t="n">
        <f aca="false">SUM(D16:D18)</f>
        <v>27432083.00281</v>
      </c>
      <c r="E19" s="48" t="n">
        <f aca="false">SUM(E16:E18)</f>
        <v>13118843.0742716</v>
      </c>
      <c r="F19" s="48" t="n">
        <f aca="false">SUM(F16:F18)</f>
        <v>10950596.5874793</v>
      </c>
      <c r="G19" s="48" t="n">
        <f aca="false">SUM(G16:G18)</f>
        <v>14183756.3577313</v>
      </c>
      <c r="H19" s="48" t="n">
        <f aca="false">SUM(H16:H18)</f>
        <v>14019863.1330415</v>
      </c>
      <c r="I19" s="48" t="n">
        <f aca="false">SUM(I16:I18)</f>
        <v>14320235.1843471</v>
      </c>
      <c r="J19" s="48" t="n">
        <f aca="false">SUM(J16:J18)</f>
        <v>14635280.3584027</v>
      </c>
    </row>
    <row r="20" customFormat="false" ht="15" hidden="false" customHeight="false" outlineLevel="0" collapsed="false">
      <c r="B20" s="6" t="s">
        <v>516</v>
      </c>
      <c r="C20" s="12" t="n">
        <v>0</v>
      </c>
      <c r="D20" s="12" t="n">
        <f aca="false">Исх_данные!$F$91</f>
        <v>397060.004123336</v>
      </c>
      <c r="E20" s="12" t="n">
        <f aca="false">Исх_данные!$G$91</f>
        <v>397506.805963547</v>
      </c>
      <c r="F20" s="12" t="n">
        <f aca="false">Исх_данные!$H$91</f>
        <v>517754.801913758</v>
      </c>
      <c r="G20" s="12" t="n">
        <f aca="false">Исх_данные!$I$91</f>
        <v>701531.065946904</v>
      </c>
      <c r="H20" s="12" t="n">
        <f aca="false">Исх_данные!$J$91</f>
        <v>716502.478766394</v>
      </c>
      <c r="I20" s="12" t="n">
        <f aca="false">Исх_данные!$K$91</f>
        <v>732257.699924879</v>
      </c>
      <c r="J20" s="12" t="n">
        <f aca="false">Исх_данные!$L$91</f>
        <v>748367.369323227</v>
      </c>
    </row>
    <row r="21" customFormat="false" ht="15" hidden="false" customHeight="false" outlineLevel="0" collapsed="false">
      <c r="B21" s="6" t="s">
        <v>517</v>
      </c>
      <c r="C21" s="12" t="n">
        <v>0</v>
      </c>
      <c r="D21" s="12" t="n">
        <f aca="false">Исх_данные!$F$92</f>
        <v>368986.003693548</v>
      </c>
      <c r="E21" s="12" t="n">
        <f aca="false">Исх_данные!$G$92</f>
        <v>384335.8214472</v>
      </c>
      <c r="F21" s="12" t="n">
        <f aca="false">Исх_данные!$H$92</f>
        <v>392791.209519038</v>
      </c>
      <c r="G21" s="12" t="n">
        <f aca="false">Исх_данные!$I$92</f>
        <v>401432.616128457</v>
      </c>
      <c r="H21" s="12" t="n">
        <f aca="false">Исх_данные!$J$92</f>
        <v>410264.133683283</v>
      </c>
      <c r="I21" s="12" t="n">
        <f aca="false">Исх_данные!$K$92</f>
        <v>419289.944624316</v>
      </c>
      <c r="J21" s="12" t="n">
        <f aca="false">Исх_данные!$L$92</f>
        <v>428514.323406051</v>
      </c>
    </row>
    <row r="22" customFormat="false" ht="15" hidden="false" customHeight="false" outlineLevel="0" collapsed="false">
      <c r="B22" s="10" t="s">
        <v>518</v>
      </c>
      <c r="C22" s="48" t="n">
        <v>0</v>
      </c>
      <c r="D22" s="48" t="n">
        <f aca="false">D20+D21</f>
        <v>766046.007816884</v>
      </c>
      <c r="E22" s="48" t="n">
        <f aca="false">E20+E21</f>
        <v>781842.627410747</v>
      </c>
      <c r="F22" s="48" t="n">
        <f aca="false">F20+F21</f>
        <v>910546.011432796</v>
      </c>
      <c r="G22" s="48" t="n">
        <f aca="false">G20+G21</f>
        <v>1102963.68207536</v>
      </c>
      <c r="H22" s="48" t="n">
        <f aca="false">H20+H21</f>
        <v>1126766.61244968</v>
      </c>
      <c r="I22" s="48" t="n">
        <f aca="false">I20+I21</f>
        <v>1151547.64454919</v>
      </c>
      <c r="J22" s="48" t="n">
        <f aca="false">J20+J21</f>
        <v>1176881.69272928</v>
      </c>
    </row>
    <row r="23" customFormat="false" ht="15" hidden="false" customHeight="false" outlineLevel="0" collapsed="false">
      <c r="B23" s="14" t="s">
        <v>519</v>
      </c>
      <c r="C23" s="15" t="n">
        <v>0</v>
      </c>
      <c r="D23" s="15" t="n">
        <f aca="false">D19-D22</f>
        <v>26666036.9949931</v>
      </c>
      <c r="E23" s="15" t="n">
        <f aca="false">E19-E22</f>
        <v>12337000.4468608</v>
      </c>
      <c r="F23" s="15" t="n">
        <f aca="false">F19-F22</f>
        <v>10040050.5760465</v>
      </c>
      <c r="G23" s="15" t="n">
        <f aca="false">G19-G22</f>
        <v>13080792.6756559</v>
      </c>
      <c r="H23" s="15" t="n">
        <f aca="false">H19-H22</f>
        <v>12893096.5205918</v>
      </c>
      <c r="I23" s="15" t="n">
        <f aca="false">I19-I22</f>
        <v>13168687.5397979</v>
      </c>
      <c r="J23" s="15" t="n">
        <f aca="false">J19-J22</f>
        <v>13458398.6656735</v>
      </c>
    </row>
    <row r="25" customFormat="false" ht="15" hidden="false" customHeight="false" outlineLevel="0" collapsed="false">
      <c r="B25" s="26" t="s">
        <v>520</v>
      </c>
      <c r="C25" s="22"/>
      <c r="D25" s="22" t="n">
        <f aca="false">-(D23-C23)</f>
        <v>-26666036.9949931</v>
      </c>
      <c r="E25" s="22" t="n">
        <f aca="false">-(E23-D23)</f>
        <v>14329036.5481323</v>
      </c>
      <c r="F25" s="22" t="n">
        <f aca="false">-(F23-E23)</f>
        <v>2296949.87081429</v>
      </c>
      <c r="G25" s="22" t="n">
        <f aca="false">-(G23-F23)</f>
        <v>-3040742.0996094</v>
      </c>
      <c r="H25" s="22" t="n">
        <f aca="false">-(H23-G23)</f>
        <v>187696.155064104</v>
      </c>
      <c r="I25" s="22" t="n">
        <f aca="false">-(I23-H23)</f>
        <v>-275591.019206075</v>
      </c>
      <c r="J25" s="22" t="n">
        <f aca="false">-(J23-I23)</f>
        <v>-289711.125875561</v>
      </c>
    </row>
    <row r="26" customFormat="false" ht="15" hidden="false" customHeight="false" outlineLevel="0" collapsed="false">
      <c r="B26" s="6" t="s">
        <v>521</v>
      </c>
      <c r="C26" s="12"/>
      <c r="D26" s="12" t="n">
        <f aca="false">(Исх_данные!$F$82-Исх_данные!$F$50+Исх_данные!$E$82-Исх_данные!$E$50)-D25</f>
        <v>785970.411735706</v>
      </c>
      <c r="E26" s="12" t="n">
        <f aca="false">(Исх_данные!$G$82-Исх_данные!$G$50)-E25</f>
        <v>-83442.0812120866</v>
      </c>
      <c r="F26" s="12" t="n">
        <f aca="false">(Исх_данные!$H$82-Исх_данные!$H$50)-F25</f>
        <v>56104.0480987933</v>
      </c>
      <c r="G26" s="12" t="n">
        <f aca="false">(Исх_данные!$I$82-Исх_данные!$I$50)-G25</f>
        <v>222088.99856062</v>
      </c>
      <c r="H26" s="12" t="n">
        <f aca="false">(Исх_данные!$J$82-Исх_данные!$J$50)-H25</f>
        <v>-23814.7658087146</v>
      </c>
      <c r="I26" s="12" t="n">
        <f aca="false">(Исх_данные!$K$82-Исх_данные!$K$50)-I25</f>
        <v>20483.4955924284</v>
      </c>
      <c r="J26" s="12" t="n">
        <f aca="false">(Исх_данные!$L$82-Исх_данные!$L$50)-J25</f>
        <v>21706.7561301868</v>
      </c>
    </row>
    <row r="27" customFormat="false" ht="15" hidden="false" customHeight="false" outlineLevel="0" collapsed="false">
      <c r="B27" s="10" t="s">
        <v>522</v>
      </c>
      <c r="C27" s="48"/>
      <c r="D27" s="48" t="n">
        <f aca="false">D25+D26</f>
        <v>-25880066.5832574</v>
      </c>
      <c r="E27" s="48" t="n">
        <f aca="false">E25+E26</f>
        <v>14245594.4669202</v>
      </c>
      <c r="F27" s="48" t="n">
        <f aca="false">F25+F26</f>
        <v>2353053.91891308</v>
      </c>
      <c r="G27" s="48" t="n">
        <f aca="false">G25+G26</f>
        <v>-2818653.10104878</v>
      </c>
      <c r="H27" s="48" t="n">
        <f aca="false">H25+H26</f>
        <v>163881.38925539</v>
      </c>
      <c r="I27" s="48" t="n">
        <f aca="false">I25+I26</f>
        <v>-255107.523613647</v>
      </c>
      <c r="J27" s="48" t="n">
        <f aca="false">J25+J26</f>
        <v>-268004.369745374</v>
      </c>
    </row>
    <row r="29" customFormat="false" ht="15" hidden="false" customHeight="false" outlineLevel="0" collapsed="false">
      <c r="B29" s="3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524</v>
      </c>
      <c r="K2" s="51" t="s">
        <v>525</v>
      </c>
    </row>
    <row r="3" customFormat="false" ht="15" hidden="false" customHeight="false" outlineLevel="0" collapsed="false">
      <c r="B3" s="52" t="s">
        <v>526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9" t="s">
        <v>474</v>
      </c>
      <c r="C6" s="20" t="s">
        <v>32</v>
      </c>
      <c r="D6" s="12" t="n">
        <f aca="false">ProfLoss!D6</f>
        <v>31477956.2337906</v>
      </c>
      <c r="E6" s="12" t="n">
        <f aca="false">ProfLoss!E6</f>
        <v>112240710.634265</v>
      </c>
      <c r="F6" s="12" t="n">
        <f aca="false">ProfLoss!F6</f>
        <v>124054692.349044</v>
      </c>
      <c r="G6" s="12" t="n">
        <f aca="false">ProfLoss!G6</f>
        <v>161068515.283873</v>
      </c>
      <c r="H6" s="12" t="n">
        <f aca="false">ProfLoss!H6</f>
        <v>158256746.233516</v>
      </c>
      <c r="I6" s="12" t="n">
        <f aca="false">ProfLoss!I6</f>
        <v>161630701.762933</v>
      </c>
      <c r="J6" s="12" t="n">
        <f aca="false">ProfLoss!J6</f>
        <v>165186577.201717</v>
      </c>
      <c r="K6" s="12" t="n">
        <f aca="false">SUM(D6:J6)</f>
        <v>913915899.699138</v>
      </c>
    </row>
    <row r="7" customFormat="false" ht="15" hidden="false" customHeight="false" outlineLevel="0" collapsed="false">
      <c r="B7" s="19" t="s">
        <v>477</v>
      </c>
      <c r="C7" s="20" t="s">
        <v>32</v>
      </c>
      <c r="D7" s="12" t="n">
        <f aca="false">-ProfLoss!D9</f>
        <v>-3372638.16790614</v>
      </c>
      <c r="E7" s="12" t="n">
        <f aca="false">-ProfLoss!E9</f>
        <v>-12025790.4250999</v>
      </c>
      <c r="F7" s="12" t="n">
        <f aca="false">-ProfLoss!F9</f>
        <v>-13291574.1802547</v>
      </c>
      <c r="G7" s="12" t="n">
        <f aca="false">-ProfLoss!G9</f>
        <v>-17257340.9232721</v>
      </c>
      <c r="H7" s="12" t="n">
        <f aca="false">-ProfLoss!H9</f>
        <v>-16956079.953591</v>
      </c>
      <c r="I7" s="12" t="n">
        <f aca="false">-ProfLoss!I9</f>
        <v>-17317575.1888856</v>
      </c>
      <c r="J7" s="12" t="n">
        <f aca="false">-ProfLoss!J9</f>
        <v>-17698561.8430411</v>
      </c>
      <c r="K7" s="12" t="n">
        <f aca="false">SUM(D7:J7)</f>
        <v>-97919560.6820505</v>
      </c>
    </row>
    <row r="8" customFormat="false" ht="15" hidden="false" customHeight="false" outlineLevel="0" collapsed="false">
      <c r="B8" s="62" t="s">
        <v>478</v>
      </c>
      <c r="C8" s="20" t="s">
        <v>32</v>
      </c>
      <c r="D8" s="22" t="n">
        <f aca="false">D6+D7</f>
        <v>28105318.0658845</v>
      </c>
      <c r="E8" s="22" t="n">
        <f aca="false">E6+E7</f>
        <v>100214920.209165</v>
      </c>
      <c r="F8" s="22" t="n">
        <f aca="false">F6+F7</f>
        <v>110763118.168789</v>
      </c>
      <c r="G8" s="22" t="n">
        <f aca="false">G6+G7</f>
        <v>143811174.360601</v>
      </c>
      <c r="H8" s="22" t="n">
        <f aca="false">H6+H7</f>
        <v>141300666.279925</v>
      </c>
      <c r="I8" s="22" t="n">
        <f aca="false">I6+I7</f>
        <v>144313126.574047</v>
      </c>
      <c r="J8" s="22" t="n">
        <f aca="false">J6+J7</f>
        <v>147488015.358676</v>
      </c>
      <c r="K8" s="22" t="n">
        <f aca="false">SUM(D8:J8)</f>
        <v>815996339.017088</v>
      </c>
    </row>
    <row r="9" customFormat="false" ht="15" hidden="false" customHeight="false" outlineLevel="0" collapsed="false">
      <c r="B9" s="19" t="s">
        <v>527</v>
      </c>
      <c r="C9" s="20" t="s">
        <v>32</v>
      </c>
      <c r="D9" s="12" t="n">
        <f aca="false">WorkCap!D27</f>
        <v>-25880066.5832574</v>
      </c>
      <c r="E9" s="12" t="n">
        <f aca="false">WorkCap!E27</f>
        <v>14245594.4669202</v>
      </c>
      <c r="F9" s="12" t="n">
        <f aca="false">WorkCap!F27</f>
        <v>2353053.91891308</v>
      </c>
      <c r="G9" s="12" t="n">
        <f aca="false">WorkCap!G27</f>
        <v>-2818653.10104878</v>
      </c>
      <c r="H9" s="12" t="n">
        <f aca="false">WorkCap!H27</f>
        <v>163881.38925539</v>
      </c>
      <c r="I9" s="12" t="n">
        <f aca="false">WorkCap!I27</f>
        <v>-255107.523613647</v>
      </c>
      <c r="J9" s="12" t="n">
        <f aca="false">WorkCap!J27</f>
        <v>-268004.369745374</v>
      </c>
      <c r="K9" s="12" t="n">
        <f aca="false">SUM(D9:J9)</f>
        <v>-12459301.8025765</v>
      </c>
    </row>
    <row r="10" customFormat="false" ht="15" hidden="false" customHeight="false" outlineLevel="0" collapsed="false">
      <c r="B10" s="68" t="s">
        <v>528</v>
      </c>
      <c r="C10" s="59" t="s">
        <v>32</v>
      </c>
      <c r="D10" s="48" t="n">
        <f aca="false">D8+D9</f>
        <v>2225251.4826271</v>
      </c>
      <c r="E10" s="48" t="n">
        <f aca="false">E8+E9</f>
        <v>114460514.676086</v>
      </c>
      <c r="F10" s="48" t="n">
        <f aca="false">F8+F9</f>
        <v>113116172.087702</v>
      </c>
      <c r="G10" s="48" t="n">
        <f aca="false">G8+G9</f>
        <v>140992521.259552</v>
      </c>
      <c r="H10" s="48" t="n">
        <f aca="false">H8+H9</f>
        <v>141464547.66918</v>
      </c>
      <c r="I10" s="48" t="n">
        <f aca="false">I8+I9</f>
        <v>144058019.050433</v>
      </c>
      <c r="J10" s="48" t="n">
        <f aca="false">J8+J9</f>
        <v>147220010.988931</v>
      </c>
      <c r="K10" s="48" t="n">
        <f aca="false">SUM(D10:J10)</f>
        <v>803537037.214511</v>
      </c>
    </row>
    <row r="11" customFormat="false" ht="15" hidden="false" customHeight="false" outlineLevel="0" collapsed="false">
      <c r="B11" s="19" t="s">
        <v>423</v>
      </c>
      <c r="C11" s="20" t="s">
        <v>32</v>
      </c>
      <c r="D11" s="12" t="n">
        <f aca="false">-ProfLoss!D11</f>
        <v>-11431231.5147289</v>
      </c>
      <c r="E11" s="12" t="n">
        <f aca="false">-ProfLoss!E11</f>
        <v>-43801488.171253</v>
      </c>
      <c r="F11" s="12" t="n">
        <f aca="false">-ProfLoss!F11</f>
        <v>-49542817.8438279</v>
      </c>
      <c r="G11" s="12" t="n">
        <f aca="false">-ProfLoss!G11</f>
        <v>-58924750.0914904</v>
      </c>
      <c r="H11" s="12" t="n">
        <f aca="false">-ProfLoss!H11</f>
        <v>-60315034.9929745</v>
      </c>
      <c r="I11" s="12" t="n">
        <f aca="false">-ProfLoss!I11</f>
        <v>-61408954.6754136</v>
      </c>
      <c r="J11" s="12" t="n">
        <f aca="false">-ProfLoss!J11</f>
        <v>-62536015.9462692</v>
      </c>
      <c r="K11" s="12" t="n">
        <f aca="false">SUM(D11:J11)</f>
        <v>-347960293.235958</v>
      </c>
    </row>
    <row r="12" customFormat="false" ht="15" hidden="false" customHeight="false" outlineLevel="0" collapsed="false">
      <c r="B12" s="68" t="s">
        <v>529</v>
      </c>
      <c r="C12" s="59" t="s">
        <v>32</v>
      </c>
      <c r="D12" s="48" t="n">
        <f aca="false">D10+D11</f>
        <v>-9205980.0321018</v>
      </c>
      <c r="E12" s="48" t="n">
        <f aca="false">E10+E11</f>
        <v>70659026.5048325</v>
      </c>
      <c r="F12" s="48" t="n">
        <f aca="false">F10+F11</f>
        <v>63573354.2438745</v>
      </c>
      <c r="G12" s="48" t="n">
        <f aca="false">G10+G11</f>
        <v>82067771.1680617</v>
      </c>
      <c r="H12" s="48" t="n">
        <f aca="false">H10+H11</f>
        <v>81149512.6762056</v>
      </c>
      <c r="I12" s="48" t="n">
        <f aca="false">I10+I11</f>
        <v>82649064.3750197</v>
      </c>
      <c r="J12" s="48" t="n">
        <f aca="false">J10+J11</f>
        <v>84683995.0426613</v>
      </c>
      <c r="K12" s="48" t="n">
        <f aca="false">SUM(D12:J12)</f>
        <v>455576743.978554</v>
      </c>
    </row>
    <row r="13" customFormat="false" ht="15" hidden="false" customHeight="false" outlineLevel="0" collapsed="false">
      <c r="B13" s="19" t="s">
        <v>530</v>
      </c>
      <c r="C13" s="20" t="s">
        <v>32</v>
      </c>
      <c r="D13" s="12" t="n">
        <f aca="false">-ProfLoss!D15</f>
        <v>-1599353.82012</v>
      </c>
      <c r="E13" s="12" t="n">
        <f aca="false">-ProfLoss!E15</f>
        <v>-1790784.1119504</v>
      </c>
      <c r="F13" s="12" t="n">
        <f aca="false">-ProfLoss!F15</f>
        <v>-1830181.36241331</v>
      </c>
      <c r="G13" s="12" t="n">
        <f aca="false">-ProfLoss!G15</f>
        <v>-1870445.3523864</v>
      </c>
      <c r="H13" s="12" t="n">
        <f aca="false">-ProfLoss!H15</f>
        <v>-1911595.1501389</v>
      </c>
      <c r="I13" s="12" t="n">
        <f aca="false">-ProfLoss!I15</f>
        <v>-1953650.24344196</v>
      </c>
      <c r="J13" s="12" t="n">
        <f aca="false">-ProfLoss!J15</f>
        <v>-1996630.54879768</v>
      </c>
      <c r="K13" s="12" t="n">
        <f aca="false">SUM(D13:J13)</f>
        <v>-12952640.5892487</v>
      </c>
    </row>
    <row r="14" customFormat="false" ht="15" hidden="false" customHeight="false" outlineLevel="0" collapsed="false">
      <c r="B14" s="19" t="s">
        <v>483</v>
      </c>
      <c r="C14" s="20" t="s">
        <v>32</v>
      </c>
      <c r="D14" s="12" t="n">
        <f aca="false">-ProfLoss!D16</f>
        <v>-5198171.63033659</v>
      </c>
      <c r="E14" s="12" t="n">
        <f aca="false">-ProfLoss!E16</f>
        <v>-2892314.99840787</v>
      </c>
      <c r="F14" s="12" t="n">
        <f aca="false">-ProfLoss!F16</f>
        <v>-3527504.58374623</v>
      </c>
      <c r="G14" s="12" t="n">
        <f aca="false">-ProfLoss!G16</f>
        <v>-28608304.7618179</v>
      </c>
      <c r="H14" s="12" t="n">
        <f aca="false">-ProfLoss!H16</f>
        <v>-27908902.4107846</v>
      </c>
      <c r="I14" s="12" t="n">
        <f aca="false">-ProfLoss!I16</f>
        <v>-28565387.2732849</v>
      </c>
      <c r="J14" s="12" t="n">
        <f aca="false">-ProfLoss!J16</f>
        <v>-29271752.5281289</v>
      </c>
      <c r="K14" s="12" t="n">
        <f aca="false">SUM(D14:J14)</f>
        <v>-125972338.186507</v>
      </c>
    </row>
    <row r="15" customFormat="false" ht="15" hidden="false" customHeight="false" outlineLevel="0" collapsed="false">
      <c r="B15" s="19" t="s">
        <v>531</v>
      </c>
      <c r="C15" s="20" t="s">
        <v>32</v>
      </c>
      <c r="D15" s="12" t="n">
        <f aca="false">-ProjCost!$E$19</f>
        <v>-1073730.12835477</v>
      </c>
      <c r="E15" s="12" t="n">
        <f aca="false">0</f>
        <v>0</v>
      </c>
      <c r="F15" s="12" t="n">
        <f aca="false">0</f>
        <v>0</v>
      </c>
      <c r="G15" s="12" t="n">
        <f aca="false">0</f>
        <v>0</v>
      </c>
      <c r="H15" s="12" t="n">
        <f aca="false">0</f>
        <v>0</v>
      </c>
      <c r="I15" s="12" t="n">
        <f aca="false">0</f>
        <v>0</v>
      </c>
      <c r="J15" s="12" t="n">
        <f aca="false">0</f>
        <v>0</v>
      </c>
      <c r="K15" s="12" t="n">
        <f aca="false">SUM(D15:J15)</f>
        <v>-1073730.12835477</v>
      </c>
    </row>
    <row r="16" customFormat="false" ht="15" hidden="false" customHeight="false" outlineLevel="0" collapsed="false">
      <c r="B16" s="19" t="s">
        <v>532</v>
      </c>
      <c r="C16" s="20" t="s">
        <v>32</v>
      </c>
      <c r="D16" s="12" t="n">
        <f aca="false">-ProfLoss!D21</f>
        <v>-2755630.63161571</v>
      </c>
      <c r="E16" s="12" t="n">
        <f aca="false">-ProfLoss!E21</f>
        <v>-18677916.0826966</v>
      </c>
      <c r="F16" s="12" t="n">
        <f aca="false">-ProfLoss!F21</f>
        <v>-20568512.411928</v>
      </c>
      <c r="G16" s="12" t="n">
        <f aca="false">-ProfLoss!G21</f>
        <v>-24165831.5471159</v>
      </c>
      <c r="H16" s="12" t="n">
        <f aca="false">-ProfLoss!H21</f>
        <v>-23471278.3786168</v>
      </c>
      <c r="I16" s="12" t="n">
        <f aca="false">-ProfLoss!I21</f>
        <v>-24070675.2237137</v>
      </c>
      <c r="J16" s="12" t="n">
        <f aca="false">-ProfLoss!J21</f>
        <v>-24701021.5757122</v>
      </c>
      <c r="K16" s="12" t="n">
        <f aca="false">SUM(D16:J16)</f>
        <v>-138410865.851399</v>
      </c>
    </row>
    <row r="17" customFormat="false" ht="15" hidden="false" customHeight="false" outlineLevel="0" collapsed="false">
      <c r="B17" s="19" t="s">
        <v>533</v>
      </c>
      <c r="C17" s="20" t="s">
        <v>32</v>
      </c>
      <c r="D17" s="12" t="n">
        <f aca="false">Depreciate!$G$19</f>
        <v>5287922.61812281</v>
      </c>
      <c r="E17" s="12" t="n">
        <f aca="false">Depreciate!$H$19</f>
        <v>16022553.5686541</v>
      </c>
      <c r="F17" s="12" t="n">
        <f aca="false">Depreciate!$I$19</f>
        <v>16163696.425797</v>
      </c>
      <c r="G17" s="12" t="n">
        <f aca="false">Depreciate!$J$19</f>
        <v>16304839.2829399</v>
      </c>
      <c r="H17" s="12" t="n">
        <f aca="false">Depreciate!$K$19</f>
        <v>16445982.1400827</v>
      </c>
      <c r="I17" s="12" t="n">
        <f aca="false">Depreciate!$L$19</f>
        <v>16587124.9972256</v>
      </c>
      <c r="J17" s="12" t="n">
        <f aca="false">Depreciate!$M$19</f>
        <v>16728267.8543684</v>
      </c>
      <c r="K17" s="12" t="n">
        <f aca="false">SUM(D17:J17)</f>
        <v>103540386.887191</v>
      </c>
    </row>
    <row r="18" customFormat="false" ht="15" hidden="false" customHeight="false" outlineLevel="0" collapsed="false">
      <c r="B18" s="34" t="s">
        <v>63</v>
      </c>
      <c r="C18" s="63" t="s">
        <v>32</v>
      </c>
      <c r="D18" s="15" t="n">
        <f aca="false">SUM(D12:D17)</f>
        <v>-14544943.624406</v>
      </c>
      <c r="E18" s="15" t="n">
        <f aca="false">SUM(E12:E17)</f>
        <v>63320564.8804318</v>
      </c>
      <c r="F18" s="15" t="n">
        <f aca="false">SUM(F12:F17)</f>
        <v>53810852.311584</v>
      </c>
      <c r="G18" s="15" t="n">
        <f aca="false">SUM(G12:G17)</f>
        <v>43728028.7896814</v>
      </c>
      <c r="H18" s="15" t="n">
        <f aca="false">SUM(H12:H17)</f>
        <v>44303718.876748</v>
      </c>
      <c r="I18" s="15" t="n">
        <f aca="false">SUM(I12:I17)</f>
        <v>44646476.6318047</v>
      </c>
      <c r="J18" s="15" t="n">
        <f aca="false">SUM(J12:J17)</f>
        <v>45442858.244391</v>
      </c>
      <c r="K18" s="15" t="n">
        <f aca="false">SUM(D18:J18)</f>
        <v>280707556.110235</v>
      </c>
    </row>
    <row r="19" customFormat="false" ht="15" hidden="false" customHeight="false" outlineLevel="0" collapsed="false">
      <c r="B19" s="19" t="s">
        <v>534</v>
      </c>
      <c r="C19" s="20" t="s">
        <v>32</v>
      </c>
      <c r="D19" s="12" t="n">
        <f aca="false">FinPlan!$E$10</f>
        <v>130033511.279889</v>
      </c>
      <c r="E19" s="12" t="n">
        <f aca="false">0</f>
        <v>0</v>
      </c>
      <c r="F19" s="12" t="n">
        <f aca="false">0</f>
        <v>0</v>
      </c>
      <c r="G19" s="12" t="n">
        <f aca="false">0</f>
        <v>0</v>
      </c>
      <c r="H19" s="12" t="n">
        <f aca="false">0</f>
        <v>0</v>
      </c>
      <c r="I19" s="12" t="n">
        <f aca="false">0</f>
        <v>0</v>
      </c>
      <c r="J19" s="12" t="n">
        <f aca="false">0</f>
        <v>0</v>
      </c>
      <c r="K19" s="12" t="n">
        <f aca="false">SUM(D19:J19)</f>
        <v>130033511.279889</v>
      </c>
    </row>
    <row r="20" customFormat="false" ht="15" hidden="false" customHeight="false" outlineLevel="0" collapsed="false">
      <c r="B20" s="19" t="s">
        <v>535</v>
      </c>
      <c r="C20" s="20" t="s">
        <v>32</v>
      </c>
      <c r="D20" s="12" t="n">
        <f aca="false">LOANS!$C$104</f>
        <v>42783896.3386581</v>
      </c>
      <c r="E20" s="12" t="n">
        <f aca="false">LOANS!$D$104</f>
        <v>0</v>
      </c>
      <c r="F20" s="12" t="n">
        <f aca="false">LOANS!$E$104</f>
        <v>0</v>
      </c>
      <c r="G20" s="12" t="n">
        <f aca="false">LOANS!$F$104</f>
        <v>0</v>
      </c>
      <c r="H20" s="12" t="n">
        <f aca="false">LOANS!$G$104</f>
        <v>0</v>
      </c>
      <c r="I20" s="12" t="n">
        <f aca="false">LOANS!$H$104</f>
        <v>0</v>
      </c>
      <c r="J20" s="12" t="n">
        <f aca="false">LOANS!$I$104</f>
        <v>0</v>
      </c>
      <c r="K20" s="12" t="n">
        <f aca="false">SUM(D20:J20)</f>
        <v>42783896.3386581</v>
      </c>
    </row>
    <row r="21" customFormat="false" ht="15" hidden="false" customHeight="false" outlineLevel="0" collapsed="false">
      <c r="B21" s="19" t="s">
        <v>536</v>
      </c>
      <c r="C21" s="20" t="s">
        <v>32</v>
      </c>
      <c r="D21" s="12" t="n">
        <f aca="false">-(Исх_данные!$F$93+Исх_данные!$E$93)</f>
        <v>-141613333.333333</v>
      </c>
      <c r="E21" s="12" t="n">
        <f aca="false">-(Исх_данные!$G$93)</f>
        <v>-1411428.57142857</v>
      </c>
      <c r="F21" s="12" t="n">
        <f aca="false">-(Исх_данные!$H$93)</f>
        <v>-1411428.57142857</v>
      </c>
      <c r="G21" s="12" t="n">
        <f aca="false">-(Исх_данные!$I$93)</f>
        <v>-1411428.57142857</v>
      </c>
      <c r="H21" s="12" t="n">
        <f aca="false">-(Исх_данные!$J$93)</f>
        <v>-1411428.57142857</v>
      </c>
      <c r="I21" s="12" t="n">
        <f aca="false">-(Исх_данные!$K$93)</f>
        <v>-1411428.57142857</v>
      </c>
      <c r="J21" s="12" t="n">
        <f aca="false">-(Исх_данные!$L$93)</f>
        <v>-1411428.57142857</v>
      </c>
      <c r="K21" s="12" t="n">
        <f aca="false">SUM(D21:J21)</f>
        <v>-150081904.761905</v>
      </c>
    </row>
    <row r="22" customFormat="false" ht="15" hidden="false" customHeight="false" outlineLevel="0" collapsed="false">
      <c r="B22" s="19" t="s">
        <v>537</v>
      </c>
      <c r="C22" s="20" t="s">
        <v>32</v>
      </c>
      <c r="D22" s="12" t="n">
        <f aca="false">-ProfLoss!D19</f>
        <v>-0</v>
      </c>
      <c r="E22" s="12" t="n">
        <f aca="false">-ProfLoss!E19</f>
        <v>-2811621.65684195</v>
      </c>
      <c r="F22" s="12" t="n">
        <f aca="false">-ProfLoss!F19</f>
        <v>-2297340.07573718</v>
      </c>
      <c r="G22" s="12" t="n">
        <f aca="false">-ProfLoss!G19</f>
        <v>-1791262.04265722</v>
      </c>
      <c r="H22" s="12" t="n">
        <f aca="false">-ProfLoss!H19</f>
        <v>-1285184.00957726</v>
      </c>
      <c r="I22" s="12" t="n">
        <f aca="false">-ProfLoss!I19</f>
        <v>-781763.463885617</v>
      </c>
      <c r="J22" s="12" t="n">
        <f aca="false">-ProfLoss!J19</f>
        <v>-273027.943417338</v>
      </c>
      <c r="K22" s="12" t="n">
        <f aca="false">SUM(D22:J22)</f>
        <v>-9240199.19211656</v>
      </c>
    </row>
    <row r="23" customFormat="false" ht="23.85" hidden="false" customHeight="false" outlineLevel="0" collapsed="false">
      <c r="B23" s="19" t="s">
        <v>538</v>
      </c>
      <c r="C23" s="20" t="s">
        <v>32</v>
      </c>
      <c r="D23" s="12" t="n">
        <f aca="false">-LOANS!$C$106</f>
        <v>-3036468.19847976</v>
      </c>
      <c r="E23" s="12" t="n">
        <f aca="false">0</f>
        <v>0</v>
      </c>
      <c r="F23" s="12" t="n">
        <f aca="false">0</f>
        <v>0</v>
      </c>
      <c r="G23" s="12" t="n">
        <f aca="false">0</f>
        <v>0</v>
      </c>
      <c r="H23" s="12" t="n">
        <f aca="false">0</f>
        <v>0</v>
      </c>
      <c r="I23" s="12" t="n">
        <f aca="false">0</f>
        <v>0</v>
      </c>
      <c r="J23" s="12" t="n">
        <f aca="false">0</f>
        <v>0</v>
      </c>
      <c r="K23" s="12" t="n">
        <f aca="false">SUM(D23:J23)</f>
        <v>-3036468.19847976</v>
      </c>
    </row>
    <row r="24" customFormat="false" ht="15" hidden="false" customHeight="false" outlineLevel="0" collapsed="false">
      <c r="B24" s="68" t="s">
        <v>539</v>
      </c>
      <c r="C24" s="59" t="s">
        <v>32</v>
      </c>
      <c r="D24" s="48" t="n">
        <f aca="false">D18+D19+D20+D21+D22+D23</f>
        <v>13622662.4623284</v>
      </c>
      <c r="E24" s="48" t="n">
        <f aca="false">E18+E19+E20+E21+E22+E23</f>
        <v>59097514.6521613</v>
      </c>
      <c r="F24" s="48" t="n">
        <f aca="false">F18+F19+F20+F21+F22+F23</f>
        <v>50102083.6644182</v>
      </c>
      <c r="G24" s="48" t="n">
        <f aca="false">G18+G19+G20+G21+G22+G23</f>
        <v>40525338.1755956</v>
      </c>
      <c r="H24" s="48" t="n">
        <f aca="false">H18+H19+H20+H21+H22+H23</f>
        <v>41607106.2957422</v>
      </c>
      <c r="I24" s="48" t="n">
        <f aca="false">I18+I19+I20+I21+I22+I23</f>
        <v>42453284.5964905</v>
      </c>
      <c r="J24" s="48" t="n">
        <f aca="false">J18+J19+J20+J21+J22+J23</f>
        <v>43758401.7295451</v>
      </c>
      <c r="K24" s="48" t="n">
        <f aca="false">SUM(D24:J24)</f>
        <v>291166391.576281</v>
      </c>
    </row>
    <row r="25" customFormat="false" ht="15" hidden="false" customHeight="false" outlineLevel="0" collapsed="false">
      <c r="B25" s="19" t="s">
        <v>540</v>
      </c>
      <c r="C25" s="20" t="s">
        <v>32</v>
      </c>
      <c r="D25" s="12" t="n">
        <f aca="false">-LOANS!$C$105</f>
        <v>-0</v>
      </c>
      <c r="E25" s="12" t="n">
        <f aca="false">-LOANS!$D$105</f>
        <v>-7130649.38977635</v>
      </c>
      <c r="F25" s="12" t="n">
        <f aca="false">-LOANS!$E$105</f>
        <v>-7130649.38977635</v>
      </c>
      <c r="G25" s="12" t="n">
        <f aca="false">-LOANS!$F$105</f>
        <v>-7130649.38977635</v>
      </c>
      <c r="H25" s="12" t="n">
        <f aca="false">-LOANS!$G$105</f>
        <v>-7130649.38977635</v>
      </c>
      <c r="I25" s="12" t="n">
        <f aca="false">-LOANS!$H$105</f>
        <v>-7130649.38977635</v>
      </c>
      <c r="J25" s="12" t="n">
        <f aca="false">-LOANS!$I$105</f>
        <v>-7130649.38977633</v>
      </c>
      <c r="K25" s="12" t="n">
        <f aca="false">SUM(D25:J25)</f>
        <v>-42783896.3386581</v>
      </c>
    </row>
    <row r="26" customFormat="false" ht="15" hidden="false" customHeight="false" outlineLevel="0" collapsed="false">
      <c r="B26" s="34" t="s">
        <v>65</v>
      </c>
      <c r="C26" s="63" t="s">
        <v>32</v>
      </c>
      <c r="D26" s="15" t="n">
        <f aca="false">D24+D25</f>
        <v>13622662.4623284</v>
      </c>
      <c r="E26" s="15" t="n">
        <f aca="false">E24+E25</f>
        <v>51966865.262385</v>
      </c>
      <c r="F26" s="15" t="n">
        <f aca="false">F24+F25</f>
        <v>42971434.2746419</v>
      </c>
      <c r="G26" s="15" t="n">
        <f aca="false">G24+G25</f>
        <v>33394688.7858193</v>
      </c>
      <c r="H26" s="15" t="n">
        <f aca="false">H24+H25</f>
        <v>34476456.9059658</v>
      </c>
      <c r="I26" s="15" t="n">
        <f aca="false">I24+I25</f>
        <v>35322635.2067142</v>
      </c>
      <c r="J26" s="15" t="n">
        <f aca="false">J24+J25</f>
        <v>36627752.3397687</v>
      </c>
      <c r="K26" s="15" t="n">
        <f aca="false">SUM(D26:J26)</f>
        <v>248382495.237623</v>
      </c>
    </row>
    <row r="27" customFormat="false" ht="15" hidden="false" customHeight="false" outlineLevel="0" collapsed="false">
      <c r="B27" s="62" t="s">
        <v>66</v>
      </c>
      <c r="C27" s="20" t="s">
        <v>32</v>
      </c>
      <c r="D27" s="22" t="n">
        <f aca="false">D26</f>
        <v>13622662.4623284</v>
      </c>
      <c r="E27" s="22" t="n">
        <f aca="false">D27+E26</f>
        <v>65589527.7247134</v>
      </c>
      <c r="F27" s="22" t="n">
        <f aca="false">E27+F26</f>
        <v>108560961.999355</v>
      </c>
      <c r="G27" s="22" t="n">
        <f aca="false">F27+G26</f>
        <v>141955650.785175</v>
      </c>
      <c r="H27" s="22" t="n">
        <f aca="false">G27+H26</f>
        <v>176432107.69114</v>
      </c>
      <c r="I27" s="22" t="n">
        <f aca="false">H27+I26</f>
        <v>211754742.897854</v>
      </c>
      <c r="J27" s="22" t="n">
        <f aca="false">I27+J26</f>
        <v>248382495.237623</v>
      </c>
      <c r="K27" s="22" t="n">
        <f aca="false">J27</f>
        <v>248382495.237623</v>
      </c>
    </row>
    <row r="29" customFormat="false" ht="15" hidden="false" customHeight="false" outlineLevel="0" collapsed="false">
      <c r="B29" s="19" t="s">
        <v>541</v>
      </c>
      <c r="C29" s="20" t="s">
        <v>68</v>
      </c>
      <c r="D29" s="21" t="str">
        <f aca="false">"-"</f>
        <v>-</v>
      </c>
      <c r="E29" s="21" t="n">
        <f aca="false">IFERROR(E18/-(E22+E25),0)</f>
        <v>6.36882303686232</v>
      </c>
      <c r="F29" s="21" t="n">
        <f aca="false">IFERROR(F18/-(F22+F25),0)</f>
        <v>5.70756389879494</v>
      </c>
      <c r="G29" s="21" t="n">
        <f aca="false">IFERROR(G18/-(G22+G25),0)</f>
        <v>4.90119512178951</v>
      </c>
      <c r="H29" s="21" t="n">
        <f aca="false">IFERROR(H18/-(H22+H25),0)</f>
        <v>5.26432936281163</v>
      </c>
      <c r="I29" s="21" t="n">
        <f aca="false">IFERROR(I18/-(I22+I25),0)</f>
        <v>5.64258683887327</v>
      </c>
      <c r="J29" s="21" t="n">
        <f aca="false">IFERROR(J18/-(J22+J25),0)</f>
        <v>6.13787665227553</v>
      </c>
    </row>
    <row r="30" customFormat="false" ht="15" hidden="false" customHeight="false" outlineLevel="0" collapsed="false">
      <c r="B30" s="19" t="s">
        <v>542</v>
      </c>
      <c r="C30" s="20" t="s">
        <v>68</v>
      </c>
      <c r="D30" s="21" t="str">
        <f aca="false">"-"</f>
        <v>-</v>
      </c>
      <c r="E30" s="21" t="n">
        <f aca="false">IFERROR((E18+E21)/-(E22+E25),0)</f>
        <v>6.22686064569328</v>
      </c>
      <c r="F30" s="21" t="n">
        <f aca="false">IFERROR((F18+F21)/-(F22+F25),0)</f>
        <v>5.55785768872847</v>
      </c>
      <c r="G30" s="21" t="n">
        <f aca="false">IFERROR((G18+G21)/-(G22+G25),0)</f>
        <v>4.74299711880355</v>
      </c>
      <c r="H30" s="21" t="n">
        <f aca="false">IFERROR((H18+H21)/-(H22+H25),0)</f>
        <v>5.0966182753349</v>
      </c>
      <c r="I30" s="21" t="n">
        <f aca="false">IFERROR((I18+I21)/-(I22+I25),0)</f>
        <v>5.46420527593759</v>
      </c>
      <c r="J30" s="21" t="n">
        <f aca="false">IFERROR((J18+J21)/-(J22+J25),0)</f>
        <v>5.94723779702713</v>
      </c>
    </row>
    <row r="31" customFormat="false" ht="15" hidden="false" customHeight="false" outlineLevel="0" collapsed="false">
      <c r="B31" s="26" t="s">
        <v>543</v>
      </c>
      <c r="K31" s="73" t="n">
        <f aca="false">MIN(E30:J30)</f>
        <v>4.74299711880355</v>
      </c>
    </row>
    <row r="32" customFormat="false" ht="15" hidden="false" customHeight="false" outlineLevel="0" collapsed="false">
      <c r="B32" s="26" t="s">
        <v>544</v>
      </c>
      <c r="K32" s="73" t="n">
        <f aca="false">AVERAGE(E30:J30)</f>
        <v>5.50596280025416</v>
      </c>
    </row>
    <row r="34" customFormat="false" ht="15" hidden="false" customHeight="false" outlineLevel="0" collapsed="false">
      <c r="B34" s="3" t="s">
        <v>545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8"/>
    <col collapsed="false" customWidth="true" hidden="false" outlineLevel="0" max="4" min="4" style="0" width="40"/>
  </cols>
  <sheetData>
    <row r="2" customFormat="false" ht="15" hidden="false" customHeight="false" outlineLevel="0" collapsed="false">
      <c r="B2" s="2" t="s">
        <v>546</v>
      </c>
      <c r="D2" s="51" t="s">
        <v>547</v>
      </c>
    </row>
    <row r="4" customFormat="false" ht="15" hidden="false" customHeight="false" outlineLevel="0" collapsed="false">
      <c r="B4" s="26" t="s">
        <v>548</v>
      </c>
      <c r="C4" s="22" t="n">
        <f aca="false">CostTotal!C26</f>
        <v>143811174.360601</v>
      </c>
    </row>
    <row r="5" customFormat="false" ht="15" hidden="false" customHeight="false" outlineLevel="0" collapsed="false">
      <c r="B5" s="6" t="s">
        <v>216</v>
      </c>
      <c r="C5" s="12" t="n">
        <f aca="false">SalePlan!G12</f>
        <v>143811174.360601</v>
      </c>
    </row>
    <row r="6" customFormat="false" ht="15" hidden="false" customHeight="false" outlineLevel="0" collapsed="false">
      <c r="B6" s="6" t="s">
        <v>217</v>
      </c>
      <c r="C6" s="12" t="n">
        <f aca="false">SalePlan!G8</f>
        <v>0</v>
      </c>
    </row>
    <row r="7" customFormat="false" ht="15" hidden="false" customHeight="false" outlineLevel="0" collapsed="false">
      <c r="B7" s="6" t="s">
        <v>382</v>
      </c>
      <c r="C7" s="12" t="n">
        <f aca="false">CostTotal!F22</f>
        <v>27431580.6869692</v>
      </c>
    </row>
    <row r="8" customFormat="false" ht="15" hidden="false" customHeight="false" outlineLevel="0" collapsed="false">
      <c r="B8" s="6" t="s">
        <v>383</v>
      </c>
      <c r="C8" s="12" t="n">
        <f aca="false">CostTotal!G22</f>
        <v>62488800.6978697</v>
      </c>
    </row>
    <row r="9" customFormat="false" ht="15" hidden="false" customHeight="false" outlineLevel="0" collapsed="false">
      <c r="B9" s="6" t="s">
        <v>549</v>
      </c>
      <c r="C9" s="12" t="n">
        <f aca="false">C4-C8</f>
        <v>81322373.6627313</v>
      </c>
    </row>
    <row r="10" customFormat="false" ht="15" hidden="false" customHeight="false" outlineLevel="0" collapsed="false">
      <c r="B10" s="26" t="s">
        <v>550</v>
      </c>
      <c r="C10" s="23" t="n">
        <f aca="false">IFERROR(C7/C9,0)</f>
        <v>0.337318986786297</v>
      </c>
    </row>
    <row r="11" customFormat="false" ht="15" hidden="false" customHeight="false" outlineLevel="0" collapsed="false">
      <c r="B11" s="6" t="s">
        <v>551</v>
      </c>
      <c r="C11" s="12" t="n">
        <f aca="false">C10*C4</f>
        <v>48510239.6238655</v>
      </c>
    </row>
    <row r="12" customFormat="false" ht="15" hidden="false" customHeight="false" outlineLevel="0" collapsed="false">
      <c r="B12" s="6" t="s">
        <v>552</v>
      </c>
      <c r="C12" s="61" t="n">
        <f aca="false">C10*ProdPlan!G13</f>
        <v>1080.52637460997</v>
      </c>
      <c r="D12" s="69" t="s">
        <v>259</v>
      </c>
    </row>
    <row r="13" customFormat="false" ht="15" hidden="false" customHeight="false" outlineLevel="0" collapsed="false">
      <c r="B13" s="6" t="s">
        <v>553</v>
      </c>
      <c r="C13" s="13" t="n">
        <f aca="false">1-C10</f>
        <v>0.662681013213703</v>
      </c>
    </row>
    <row r="15" customFormat="false" ht="23.85" hidden="false" customHeight="false" outlineLevel="0" collapsed="false">
      <c r="B15" s="19" t="s">
        <v>554</v>
      </c>
      <c r="C15" s="13" t="n">
        <v>-0.245421700990514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11" min="4" style="0" width="16"/>
  </cols>
  <sheetData>
    <row r="2" customFormat="false" ht="15" hidden="false" customHeight="false" outlineLevel="0" collapsed="false">
      <c r="B2" s="2" t="s">
        <v>555</v>
      </c>
    </row>
    <row r="3" customFormat="false" ht="15" hidden="false" customHeight="false" outlineLevel="0" collapsed="false">
      <c r="B3" s="52" t="s">
        <v>556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9" t="s">
        <v>557</v>
      </c>
      <c r="C6" s="20"/>
      <c r="D6" s="58" t="n">
        <v>1</v>
      </c>
      <c r="E6" s="58" t="n">
        <v>2</v>
      </c>
      <c r="F6" s="58" t="n">
        <v>3</v>
      </c>
      <c r="G6" s="58" t="n">
        <v>4</v>
      </c>
      <c r="H6" s="58" t="n">
        <v>5</v>
      </c>
      <c r="I6" s="58" t="n">
        <v>6</v>
      </c>
      <c r="J6" s="58" t="n">
        <v>7</v>
      </c>
    </row>
    <row r="7" customFormat="false" ht="15" hidden="false" customHeight="false" outlineLevel="0" collapsed="false">
      <c r="B7" s="19" t="s">
        <v>63</v>
      </c>
      <c r="C7" s="20" t="s">
        <v>32</v>
      </c>
      <c r="D7" s="12" t="n">
        <f aca="false">CashFlow!D18</f>
        <v>-14544943.624406</v>
      </c>
      <c r="E7" s="12" t="n">
        <f aca="false">CashFlow!E18</f>
        <v>63320564.8804318</v>
      </c>
      <c r="F7" s="12" t="n">
        <f aca="false">CashFlow!F18</f>
        <v>53810852.311584</v>
      </c>
      <c r="G7" s="12" t="n">
        <f aca="false">CashFlow!G18</f>
        <v>43728028.7896814</v>
      </c>
      <c r="H7" s="12" t="n">
        <f aca="false">CashFlow!H18</f>
        <v>44303718.876748</v>
      </c>
      <c r="I7" s="12" t="n">
        <f aca="false">CashFlow!I18</f>
        <v>44646476.6318047</v>
      </c>
      <c r="J7" s="12" t="n">
        <f aca="false">CashFlow!J18</f>
        <v>45442858.244391</v>
      </c>
      <c r="K7" s="12" t="n">
        <f aca="false">SUM(D7:J7)</f>
        <v>280707556.110235</v>
      </c>
    </row>
    <row r="8" customFormat="false" ht="15" hidden="false" customHeight="false" outlineLevel="0" collapsed="false">
      <c r="B8" s="19" t="s">
        <v>558</v>
      </c>
      <c r="C8" s="20" t="s">
        <v>32</v>
      </c>
      <c r="D8" s="12" t="n">
        <f aca="false">CashFlow!D21</f>
        <v>-141613333.333333</v>
      </c>
      <c r="E8" s="12" t="n">
        <f aca="false">CashFlow!E21</f>
        <v>-1411428.57142857</v>
      </c>
      <c r="F8" s="12" t="n">
        <f aca="false">CashFlow!F21</f>
        <v>-1411428.57142857</v>
      </c>
      <c r="G8" s="12" t="n">
        <f aca="false">CashFlow!G21</f>
        <v>-1411428.57142857</v>
      </c>
      <c r="H8" s="12" t="n">
        <f aca="false">CashFlow!H21</f>
        <v>-1411428.57142857</v>
      </c>
      <c r="I8" s="12" t="n">
        <f aca="false">CashFlow!I21</f>
        <v>-1411428.57142857</v>
      </c>
      <c r="J8" s="12" t="n">
        <f aca="false">CashFlow!J21</f>
        <v>-1411428.57142857</v>
      </c>
      <c r="K8" s="12" t="n">
        <f aca="false">SUM(D8:J8)</f>
        <v>-150081904.761905</v>
      </c>
    </row>
    <row r="9" customFormat="false" ht="15" hidden="false" customHeight="false" outlineLevel="0" collapsed="false">
      <c r="B9" s="68" t="s">
        <v>559</v>
      </c>
      <c r="C9" s="59" t="s">
        <v>32</v>
      </c>
      <c r="D9" s="48" t="n">
        <f aca="false">D7+D8</f>
        <v>-156158276.957739</v>
      </c>
      <c r="E9" s="48" t="n">
        <f aca="false">E7+E8</f>
        <v>61909136.3090033</v>
      </c>
      <c r="F9" s="48" t="n">
        <f aca="false">F7+F8</f>
        <v>52399423.7401554</v>
      </c>
      <c r="G9" s="48" t="n">
        <f aca="false">G7+G8</f>
        <v>42316600.2182528</v>
      </c>
      <c r="H9" s="48" t="n">
        <f aca="false">H7+H8</f>
        <v>42892290.3053194</v>
      </c>
      <c r="I9" s="48" t="n">
        <f aca="false">I7+I8</f>
        <v>43235048.0603761</v>
      </c>
      <c r="J9" s="48" t="n">
        <f aca="false">J7+J8</f>
        <v>44031429.6729624</v>
      </c>
      <c r="K9" s="48" t="n">
        <f aca="false">SUM(D9:J9)</f>
        <v>130625651.34833</v>
      </c>
    </row>
    <row r="10" customFormat="false" ht="15" hidden="false" customHeight="false" outlineLevel="0" collapsed="false">
      <c r="B10" s="19" t="s">
        <v>560</v>
      </c>
      <c r="C10" s="20" t="s">
        <v>262</v>
      </c>
      <c r="D10" s="13" t="n">
        <f aca="false">Исх_данные!$E$6</f>
        <v>0.113723926092414</v>
      </c>
      <c r="E10" s="13" t="n">
        <f aca="false">Исх_данные!$E$6</f>
        <v>0.113723926092414</v>
      </c>
      <c r="F10" s="13" t="n">
        <f aca="false">Исх_данные!$E$6</f>
        <v>0.113723926092414</v>
      </c>
      <c r="G10" s="13" t="n">
        <f aca="false">Исх_данные!$E$6</f>
        <v>0.113723926092414</v>
      </c>
      <c r="H10" s="13" t="n">
        <f aca="false">Исх_данные!$E$6</f>
        <v>0.113723926092414</v>
      </c>
      <c r="I10" s="13" t="n">
        <f aca="false">Исх_данные!$E$6</f>
        <v>0.113723926092414</v>
      </c>
      <c r="J10" s="13" t="n">
        <f aca="false">Исх_данные!$E$6</f>
        <v>0.113723926092414</v>
      </c>
    </row>
    <row r="11" customFormat="false" ht="15" hidden="false" customHeight="false" outlineLevel="0" collapsed="false">
      <c r="B11" s="19" t="s">
        <v>561</v>
      </c>
      <c r="C11" s="20"/>
      <c r="D11" s="74" t="n">
        <f aca="false">1/(1+D10)^D6</f>
        <v>0.897888584928382</v>
      </c>
      <c r="E11" s="74" t="n">
        <f aca="false">1/(1+E10)^E6</f>
        <v>0.806203910944693</v>
      </c>
      <c r="F11" s="74" t="n">
        <f aca="false">1/(1+F10)^F6</f>
        <v>0.723881288761858</v>
      </c>
      <c r="G11" s="74" t="n">
        <f aca="false">1/(1+G10)^G6</f>
        <v>0.649964746022518</v>
      </c>
      <c r="H11" s="74" t="n">
        <f aca="false">1/(1+H10)^H6</f>
        <v>0.583595926059494</v>
      </c>
      <c r="I11" s="74" t="n">
        <f aca="false">1/(1+I10)^I6</f>
        <v>0.524004120219528</v>
      </c>
      <c r="J11" s="74" t="n">
        <f aca="false">1/(1+J10)^J6</f>
        <v>0.470497318000554</v>
      </c>
    </row>
    <row r="12" customFormat="false" ht="15" hidden="false" customHeight="false" outlineLevel="0" collapsed="false">
      <c r="B12" s="19" t="s">
        <v>562</v>
      </c>
      <c r="C12" s="20" t="s">
        <v>32</v>
      </c>
      <c r="D12" s="12" t="n">
        <f aca="false">D9*D11</f>
        <v>-140212734.322439</v>
      </c>
      <c r="E12" s="12" t="n">
        <f aca="false">E9*E11</f>
        <v>49911387.8155265</v>
      </c>
      <c r="F12" s="12" t="n">
        <f aca="false">F9*F11</f>
        <v>37930962.3874024</v>
      </c>
      <c r="G12" s="12" t="n">
        <f aca="false">G9*G11</f>
        <v>27504298.3133932</v>
      </c>
      <c r="H12" s="12" t="n">
        <f aca="false">H9*H11</f>
        <v>25031765.8815456</v>
      </c>
      <c r="I12" s="12" t="n">
        <f aca="false">I9*I11</f>
        <v>22655343.3215264</v>
      </c>
      <c r="J12" s="12" t="n">
        <f aca="false">J9*J11</f>
        <v>20716669.5688588</v>
      </c>
      <c r="K12" s="12" t="n">
        <f aca="false">SUM(D12:J12)</f>
        <v>43537692.9658138</v>
      </c>
    </row>
    <row r="13" customFormat="false" ht="15" hidden="false" customHeight="false" outlineLevel="0" collapsed="false">
      <c r="B13" s="19" t="s">
        <v>563</v>
      </c>
      <c r="C13" s="20" t="s">
        <v>32</v>
      </c>
      <c r="D13" s="12" t="n">
        <f aca="false">D9</f>
        <v>-156158276.957739</v>
      </c>
      <c r="E13" s="12" t="n">
        <f aca="false">D13+E9</f>
        <v>-94249140.6487361</v>
      </c>
      <c r="F13" s="12" t="n">
        <f aca="false">E13+F9</f>
        <v>-41849716.9085808</v>
      </c>
      <c r="G13" s="12" t="n">
        <f aca="false">F13+G9</f>
        <v>466883.309672087</v>
      </c>
      <c r="H13" s="12" t="n">
        <f aca="false">G13+H9</f>
        <v>43359173.6149915</v>
      </c>
      <c r="I13" s="12" t="n">
        <f aca="false">H13+I9</f>
        <v>86594221.6753676</v>
      </c>
      <c r="J13" s="12" t="n">
        <f aca="false">I13+J9</f>
        <v>130625651.34833</v>
      </c>
      <c r="K13" s="12" t="n">
        <f aca="false">J13</f>
        <v>130625651.34833</v>
      </c>
    </row>
    <row r="14" customFormat="false" ht="23.85" hidden="false" customHeight="false" outlineLevel="0" collapsed="false">
      <c r="B14" s="19" t="s">
        <v>564</v>
      </c>
      <c r="C14" s="20" t="s">
        <v>32</v>
      </c>
      <c r="D14" s="12" t="n">
        <f aca="false">D12</f>
        <v>-140212734.322439</v>
      </c>
      <c r="E14" s="12" t="n">
        <f aca="false">D14+E12</f>
        <v>-90301346.5069125</v>
      </c>
      <c r="F14" s="12" t="n">
        <f aca="false">E14+F12</f>
        <v>-52370384.1195101</v>
      </c>
      <c r="G14" s="12" t="n">
        <f aca="false">F14+G12</f>
        <v>-24866085.806117</v>
      </c>
      <c r="H14" s="12" t="n">
        <f aca="false">G14+H12</f>
        <v>165680.075428586</v>
      </c>
      <c r="I14" s="12" t="n">
        <f aca="false">H14+I12</f>
        <v>22821023.396955</v>
      </c>
      <c r="J14" s="12" t="n">
        <f aca="false">I14+J12</f>
        <v>43537692.9658138</v>
      </c>
      <c r="K14" s="12" t="n">
        <f aca="false">J14</f>
        <v>43537692.9658138</v>
      </c>
    </row>
    <row r="15" customFormat="false" ht="15" hidden="false" customHeight="false" outlineLevel="0" collapsed="false">
      <c r="B15" s="19" t="s">
        <v>565</v>
      </c>
      <c r="C15" s="20"/>
      <c r="D15" s="75" t="str">
        <f aca="false">""</f>
        <v/>
      </c>
      <c r="E15" s="75" t="str">
        <f aca="false">IF(AND(D13&lt;0,E13&gt;=0),D6-D13/E9,"")</f>
        <v/>
      </c>
      <c r="F15" s="75" t="str">
        <f aca="false">IF(AND(E13&lt;0,F13&gt;=0),E6-E13/F9,"")</f>
        <v/>
      </c>
      <c r="G15" s="75" t="n">
        <f aca="false">IF(AND(F13&lt;0,G13&gt;=0),F6-F13/G9,"")</f>
        <v>3.98896689934295</v>
      </c>
      <c r="H15" s="75" t="str">
        <f aca="false">IF(AND(G13&lt;0,H13&gt;=0),G6-G13/H9,"")</f>
        <v/>
      </c>
      <c r="I15" s="75" t="str">
        <f aca="false">IF(AND(H13&lt;0,I13&gt;=0),H6-H13/I9,"")</f>
        <v/>
      </c>
      <c r="J15" s="75" t="str">
        <f aca="false">IF(AND(I13&lt;0,J13&gt;=0),I6-I13/J9,"")</f>
        <v/>
      </c>
    </row>
    <row r="16" customFormat="false" ht="15" hidden="false" customHeight="false" outlineLevel="0" collapsed="false">
      <c r="B16" s="19" t="s">
        <v>566</v>
      </c>
      <c r="C16" s="20"/>
      <c r="D16" s="75" t="str">
        <f aca="false">""</f>
        <v/>
      </c>
      <c r="E16" s="75" t="str">
        <f aca="false">IF(AND(D14&lt;0,E14&gt;=0),D6-D14/E12,"")</f>
        <v/>
      </c>
      <c r="F16" s="75" t="str">
        <f aca="false">IF(AND(E14&lt;0,F14&gt;=0),E6-E14/F12,"")</f>
        <v/>
      </c>
      <c r="G16" s="75" t="str">
        <f aca="false">IF(AND(F14&lt;0,G14&gt;=0),F6-F14/G12,"")</f>
        <v/>
      </c>
      <c r="H16" s="75" t="n">
        <f aca="false">IF(AND(G14&lt;0,H14&gt;=0),G6-G14/H12,"")</f>
        <v>4.99338120705456</v>
      </c>
      <c r="I16" s="75" t="str">
        <f aca="false">IF(AND(H14&lt;0,I14&gt;=0),H6-H14/I12,"")</f>
        <v/>
      </c>
      <c r="J16" s="75" t="str">
        <f aca="false">IF(AND(I14&lt;0,J14&gt;=0),I6-I14/J12,"")</f>
        <v/>
      </c>
    </row>
    <row r="18" customFormat="false" ht="15" hidden="false" customHeight="false" outlineLevel="0" collapsed="false">
      <c r="B18" s="14" t="s">
        <v>567</v>
      </c>
      <c r="D18" s="15" t="n">
        <f aca="false">SUM(D12:J12)</f>
        <v>43537692.9658138</v>
      </c>
    </row>
    <row r="19" customFormat="false" ht="15" hidden="false" customHeight="false" outlineLevel="0" collapsed="false">
      <c r="B19" s="14" t="s">
        <v>568</v>
      </c>
      <c r="D19" s="16" t="n">
        <f aca="false">IRR(D9:J9)</f>
        <v>0.225199086913321</v>
      </c>
    </row>
    <row r="20" customFormat="false" ht="15" hidden="false" customHeight="false" outlineLevel="0" collapsed="false">
      <c r="B20" s="14" t="s">
        <v>73</v>
      </c>
      <c r="D20" s="76" t="n">
        <f aca="false">IFERROR(SUM(E12:J12)/-D12,0)</f>
        <v>1.31051168908591</v>
      </c>
    </row>
    <row r="21" customFormat="false" ht="15" hidden="false" customHeight="false" outlineLevel="0" collapsed="false">
      <c r="B21" s="14" t="s">
        <v>569</v>
      </c>
      <c r="D21" s="77" t="n">
        <f aca="false">IF(COUNT(E15:J15)&gt;0,SUM(E15:J15),"&gt; 7")</f>
        <v>3.98896689934295</v>
      </c>
    </row>
    <row r="22" customFormat="false" ht="15" hidden="false" customHeight="false" outlineLevel="0" collapsed="false">
      <c r="B22" s="14" t="s">
        <v>75</v>
      </c>
      <c r="D22" s="77" t="n">
        <f aca="false">IF(COUNT(E16:J16)&gt;0,SUM(E16:J16),"&gt; 7")</f>
        <v>4.99338120705456</v>
      </c>
    </row>
    <row r="24" customFormat="false" ht="15" hidden="false" customHeight="false" outlineLevel="0" collapsed="false">
      <c r="B24" s="33" t="s">
        <v>570</v>
      </c>
    </row>
    <row r="25" customFormat="false" ht="15" hidden="false" customHeight="false" outlineLevel="0" collapsed="false">
      <c r="B25" s="6" t="s">
        <v>571</v>
      </c>
      <c r="D25" s="12" t="n">
        <f aca="false">Исх_данные!$E$18</f>
        <v>73295633.3844785</v>
      </c>
    </row>
    <row r="26" customFormat="false" ht="15" hidden="false" customHeight="false" outlineLevel="0" collapsed="false">
      <c r="B26" s="6" t="s">
        <v>572</v>
      </c>
      <c r="D26" s="13" t="n">
        <f aca="false">Исх_данные!$E$19</f>
        <v>0.250494490609116</v>
      </c>
    </row>
    <row r="27" customFormat="false" ht="15" hidden="false" customHeight="false" outlineLevel="0" collapsed="false">
      <c r="B27" s="6" t="s">
        <v>573</v>
      </c>
      <c r="D27" s="78" t="n">
        <f aca="false">Исх_данные!$E$20</f>
        <v>4.97134797991844</v>
      </c>
    </row>
    <row r="28" customFormat="false" ht="15" hidden="false" customHeight="false" outlineLevel="0" collapsed="false">
      <c r="B28" s="6" t="s">
        <v>75</v>
      </c>
      <c r="D28" s="78" t="n">
        <f aca="false">Исх_данные!$E$21</f>
        <v>6.17035967424614</v>
      </c>
    </row>
    <row r="29" customFormat="false" ht="15" hidden="false" customHeight="false" outlineLevel="0" collapsed="false">
      <c r="B29" s="6" t="s">
        <v>574</v>
      </c>
      <c r="D29" s="75" t="n">
        <f aca="false">Исх_данные!$E$22</f>
        <v>1.59028268521464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0"/>
    <col collapsed="false" customWidth="true" hidden="false" outlineLevel="0" max="4" min="3" style="0" width="16"/>
    <col collapsed="false" customWidth="true" hidden="false" outlineLevel="0" max="5" min="5" style="0" width="12"/>
  </cols>
  <sheetData>
    <row r="2" customFormat="false" ht="15" hidden="false" customHeight="false" outlineLevel="0" collapsed="false">
      <c r="B2" s="2" t="s">
        <v>575</v>
      </c>
    </row>
    <row r="4" customFormat="false" ht="15" hidden="false" customHeight="false" outlineLevel="0" collapsed="false">
      <c r="B4" s="17" t="s">
        <v>576</v>
      </c>
      <c r="C4" s="17" t="s">
        <v>577</v>
      </c>
      <c r="D4" s="17" t="s">
        <v>578</v>
      </c>
      <c r="E4" s="17" t="s">
        <v>579</v>
      </c>
    </row>
    <row r="5" customFormat="false" ht="15" hidden="false" customHeight="false" outlineLevel="0" collapsed="false">
      <c r="B5" s="19" t="s">
        <v>580</v>
      </c>
      <c r="C5" s="29" t="n">
        <f aca="false">SUMPRODUCT(ABS(ProfLoss!D10:J10-Исх_данные!F37:L37))</f>
        <v>0</v>
      </c>
      <c r="D5" s="29" t="n">
        <v>1</v>
      </c>
      <c r="E5" s="27" t="str">
        <f aca="false">IF(ABS(C5)&lt;=D5,"OK","ОШИБКА")</f>
        <v>OK</v>
      </c>
    </row>
    <row r="6" customFormat="false" ht="15" hidden="false" customHeight="false" outlineLevel="0" collapsed="false">
      <c r="B6" s="19" t="s">
        <v>581</v>
      </c>
      <c r="C6" s="29" t="n">
        <f aca="false">SUMPRODUCT(ABS(ProfLoss!D27:J27-Исх_данные!F50:L50))</f>
        <v>0</v>
      </c>
      <c r="D6" s="29" t="n">
        <v>1</v>
      </c>
      <c r="E6" s="27" t="str">
        <f aca="false">IF(ABS(C6)&lt;=D6,"OK","ОШИБКА")</f>
        <v>OK</v>
      </c>
    </row>
    <row r="7" customFormat="false" ht="23.85" hidden="false" customHeight="false" outlineLevel="0" collapsed="false">
      <c r="B7" s="19" t="s">
        <v>582</v>
      </c>
      <c r="C7" s="29" t="n">
        <f aca="false">SUMPRODUCT(ABS(CostSold!D20:J20-Depreciate!G18:M18-Исх_данные!F65:L65))</f>
        <v>0</v>
      </c>
      <c r="D7" s="29" t="n">
        <v>1</v>
      </c>
      <c r="E7" s="27" t="str">
        <f aca="false">IF(ABS(C7)&lt;=D7,"OK","ОШИБКА")</f>
        <v>OK</v>
      </c>
    </row>
    <row r="8" customFormat="false" ht="15" hidden="false" customHeight="false" outlineLevel="0" collapsed="false">
      <c r="B8" s="19" t="s">
        <v>583</v>
      </c>
      <c r="C8" s="29" t="n">
        <f aca="false">SUMPRODUCT(ABS(ProdPlan!D13:J13-Исх_данные!F30:L30))</f>
        <v>0</v>
      </c>
      <c r="D8" s="29" t="n">
        <v>0.5</v>
      </c>
      <c r="E8" s="27" t="str">
        <f aca="false">IF(ABS(C8)&lt;=D8,"OK","ОШИБКА")</f>
        <v>OK</v>
      </c>
    </row>
    <row r="9" customFormat="false" ht="15" hidden="false" customHeight="false" outlineLevel="0" collapsed="false">
      <c r="B9" s="19" t="s">
        <v>584</v>
      </c>
      <c r="C9" s="29" t="n">
        <f aca="false">ABS(ProdPlan!J18-Исх_данные!$L$33)</f>
        <v>0</v>
      </c>
      <c r="D9" s="29" t="n">
        <v>0.5</v>
      </c>
      <c r="E9" s="27" t="str">
        <f aca="false">IF(ABS(C9)&lt;=D9,"OK","ОШИБКА")</f>
        <v>OK</v>
      </c>
    </row>
    <row r="10" customFormat="false" ht="15" hidden="false" customHeight="false" outlineLevel="0" collapsed="false">
      <c r="B10" s="19" t="s">
        <v>585</v>
      </c>
      <c r="C10" s="29" t="n">
        <f aca="false">ProjCost!E22-FinPlan!E15</f>
        <v>0</v>
      </c>
      <c r="D10" s="29" t="n">
        <v>1</v>
      </c>
      <c r="E10" s="27" t="str">
        <f aca="false">IF(ABS(C10)&lt;=D10,"OK","ОШИБКА")</f>
        <v>OK</v>
      </c>
    </row>
    <row r="11" customFormat="false" ht="15" hidden="false" customHeight="false" outlineLevel="0" collapsed="false">
      <c r="B11" s="19" t="s">
        <v>586</v>
      </c>
      <c r="C11" s="29" t="n">
        <f aca="false">FinPlan!E14-ИНФОРМАЦИЯ!$C$26</f>
        <v>0</v>
      </c>
      <c r="D11" s="29" t="n">
        <v>1</v>
      </c>
      <c r="E11" s="27" t="str">
        <f aca="false">IF(ABS(C11)&lt;=D11,"OK","ОШИБКА")</f>
        <v>OK</v>
      </c>
    </row>
    <row r="12" customFormat="false" ht="15" hidden="false" customHeight="false" outlineLevel="0" collapsed="false">
      <c r="B12" s="19" t="s">
        <v>587</v>
      </c>
      <c r="C12" s="29" t="n">
        <f aca="false">LOANS!$I$108</f>
        <v>0</v>
      </c>
      <c r="D12" s="29" t="n">
        <v>1</v>
      </c>
      <c r="E12" s="27" t="str">
        <f aca="false">IF(ABS(C12)&lt;=D12,"OK","ОШИБКА")</f>
        <v>OK</v>
      </c>
    </row>
    <row r="13" customFormat="false" ht="15" hidden="false" customHeight="false" outlineLevel="0" collapsed="false">
      <c r="B13" s="19" t="s">
        <v>588</v>
      </c>
      <c r="C13" s="29" t="n">
        <f aca="false">ИНФОРМАЦИЯ!O43-78000000</f>
        <v>0</v>
      </c>
      <c r="D13" s="29" t="n">
        <v>1</v>
      </c>
      <c r="E13" s="27" t="str">
        <f aca="false">IF(ABS(C13)&lt;=D13,"OK","ОШИБКА")</f>
        <v>OK</v>
      </c>
    </row>
    <row r="14" customFormat="false" ht="15" hidden="false" customHeight="false" outlineLevel="0" collapsed="false">
      <c r="B14" s="19" t="s">
        <v>589</v>
      </c>
      <c r="C14" s="29" t="n">
        <f aca="false">MIN(CashFlow!D26:J26)</f>
        <v>13622662.4623284</v>
      </c>
      <c r="D14" s="29" t="n">
        <v>0</v>
      </c>
      <c r="E14" s="27" t="str">
        <f aca="false">IF(C14&gt;D14,"OK","ОШИБКА")</f>
        <v>OK</v>
      </c>
    </row>
    <row r="15" customFormat="false" ht="15" hidden="false" customHeight="false" outlineLevel="0" collapsed="false">
      <c r="B15" s="19" t="s">
        <v>590</v>
      </c>
      <c r="C15" s="29" t="n">
        <f aca="false">MIN(CashFlow!D27:J27)</f>
        <v>13622662.4623284</v>
      </c>
      <c r="D15" s="29" t="n">
        <v>0</v>
      </c>
      <c r="E15" s="27" t="str">
        <f aca="false">IF(C15&gt;D15,"OK","ОШИБКА")</f>
        <v>OK</v>
      </c>
    </row>
    <row r="16" customFormat="false" ht="15" hidden="false" customHeight="false" outlineLevel="0" collapsed="false">
      <c r="B16" s="19" t="s">
        <v>591</v>
      </c>
      <c r="C16" s="29" t="n">
        <f aca="false">MIN(ProfLoss!D22:J22)</f>
        <v>7120930.46908331</v>
      </c>
      <c r="D16" s="29" t="n">
        <v>0</v>
      </c>
      <c r="E16" s="27" t="str">
        <f aca="false">IF(C16&gt;D16,"OK","ОШИБКА")</f>
        <v>OK</v>
      </c>
    </row>
    <row r="17" customFormat="false" ht="15" hidden="false" customHeight="false" outlineLevel="0" collapsed="false">
      <c r="B17" s="19" t="s">
        <v>592</v>
      </c>
      <c r="C17" s="21" t="n">
        <f aca="false">CashFlow!K31</f>
        <v>4.74299711880355</v>
      </c>
      <c r="D17" s="21" t="n">
        <v>1.2</v>
      </c>
      <c r="E17" s="27" t="str">
        <f aca="false">IF(C17&gt;=D17,"OK","ОШИБКА")</f>
        <v>OK</v>
      </c>
    </row>
    <row r="18" customFormat="false" ht="15" hidden="false" customHeight="false" outlineLevel="0" collapsed="false">
      <c r="B18" s="19" t="s">
        <v>593</v>
      </c>
      <c r="C18" s="29" t="n">
        <f aca="false">SUMPRODUCT(ABS(Depreciate!G19:M19-Depreciate!G18:M18-Исх_данные!F49:L49+Исх_данные!F51:L51))</f>
        <v>1.43627403303981E-008</v>
      </c>
      <c r="D18" s="29" t="n">
        <v>1</v>
      </c>
      <c r="E18" s="27" t="str">
        <f aca="false">IF(ABS(C18)&lt;=D18,"OK","ОШИБКА")</f>
        <v>OK</v>
      </c>
    </row>
    <row r="19" customFormat="false" ht="23.85" hidden="false" customHeight="false" outlineLevel="0" collapsed="false">
      <c r="B19" s="19" t="s">
        <v>594</v>
      </c>
      <c r="C19" s="29" t="n">
        <f aca="false">CostTotal!C22-CostSold!G20-CostSold!G31-CostSold!G39</f>
        <v>0</v>
      </c>
      <c r="D19" s="29" t="n">
        <v>1</v>
      </c>
      <c r="E19" s="27" t="str">
        <f aca="false">IF(ABS(C19)&lt;=D19,"OK","ОШИБКА")</f>
        <v>OK</v>
      </c>
    </row>
    <row r="20" customFormat="false" ht="23.85" hidden="false" customHeight="false" outlineLevel="0" collapsed="false">
      <c r="B20" s="19" t="s">
        <v>595</v>
      </c>
      <c r="C20" s="29" t="n">
        <f aca="false">RawMat!F16+RawMat!F23+Labour!F9+Labour!F28-(CostSold!G20-CostSold!G16)</f>
        <v>0</v>
      </c>
      <c r="D20" s="29" t="n">
        <v>1</v>
      </c>
      <c r="E20" s="27" t="str">
        <f aca="false">IF(ABS(C20)&lt;=D20,"OK","ОШИБКА")</f>
        <v>OK</v>
      </c>
    </row>
    <row r="21" customFormat="false" ht="15" hidden="false" customHeight="false" outlineLevel="0" collapsed="false">
      <c r="B21" s="19" t="s">
        <v>596</v>
      </c>
      <c r="C21" s="29" t="n">
        <f aca="false">Labour!F41-Исх_данные!$I$69</f>
        <v>0</v>
      </c>
      <c r="D21" s="29" t="n">
        <v>1</v>
      </c>
      <c r="E21" s="27" t="str">
        <f aca="false">IF(ABS(C21)&lt;=D21,"OK","ОШИБКА")</f>
        <v>OK</v>
      </c>
    </row>
    <row r="22" customFormat="false" ht="23.85" hidden="false" customHeight="false" outlineLevel="0" collapsed="false">
      <c r="B22" s="19" t="s">
        <v>597</v>
      </c>
      <c r="C22" s="29" t="n">
        <f aca="false">CashFlow!D27-ProjCost!E20</f>
        <v>13194823.4989418</v>
      </c>
      <c r="D22" s="29" t="n">
        <v>0</v>
      </c>
      <c r="E22" s="27" t="str">
        <f aca="false">IF(C22&gt;=-0.01,"OK","ОШИБКА")</f>
        <v>OK</v>
      </c>
    </row>
    <row r="24" customFormat="false" ht="15" hidden="false" customHeight="false" outlineLevel="0" collapsed="false">
      <c r="B24" s="14" t="s">
        <v>598</v>
      </c>
      <c r="E24" s="79" t="str">
        <f aca="false">IF(COUNTIF(E5:E22,"OK")=18,"ВСЕ OK","ЕСТЬ ОШИБКИ")</f>
        <v>ВСЕ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L1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12" min="5" style="0" width="15"/>
  </cols>
  <sheetData>
    <row r="2" customFormat="false" ht="15" hidden="false" customHeight="false" outlineLevel="0" collapsed="false">
      <c r="B2" s="2" t="s">
        <v>599</v>
      </c>
    </row>
    <row r="3" customFormat="false" ht="15" hidden="false" customHeight="false" outlineLevel="0" collapsed="false">
      <c r="B3" s="52" t="s">
        <v>600</v>
      </c>
    </row>
    <row r="4" customFormat="false" ht="23.85" hidden="false" customHeight="false" outlineLevel="0" collapsed="false">
      <c r="A4" s="18" t="s">
        <v>601</v>
      </c>
      <c r="B4" s="18" t="s">
        <v>602</v>
      </c>
      <c r="C4" s="18" t="s">
        <v>43</v>
      </c>
      <c r="D4" s="18" t="s">
        <v>603</v>
      </c>
      <c r="E4" s="18" t="s">
        <v>604</v>
      </c>
      <c r="F4" s="18" t="s">
        <v>52</v>
      </c>
      <c r="G4" s="18" t="s">
        <v>53</v>
      </c>
      <c r="H4" s="18" t="s">
        <v>54</v>
      </c>
      <c r="I4" s="18" t="s">
        <v>55</v>
      </c>
      <c r="J4" s="18" t="s">
        <v>56</v>
      </c>
      <c r="K4" s="18" t="s">
        <v>57</v>
      </c>
      <c r="L4" s="18" t="s">
        <v>58</v>
      </c>
    </row>
    <row r="5" customFormat="false" ht="15" hidden="false" customHeight="false" outlineLevel="0" collapsed="false">
      <c r="A5" s="60"/>
      <c r="B5" s="10" t="s">
        <v>605</v>
      </c>
    </row>
    <row r="6" customFormat="false" ht="15" hidden="false" customHeight="false" outlineLevel="0" collapsed="false">
      <c r="A6" s="53" t="s">
        <v>606</v>
      </c>
      <c r="B6" s="19" t="s">
        <v>607</v>
      </c>
      <c r="C6" s="20" t="s">
        <v>262</v>
      </c>
      <c r="D6" s="53" t="s">
        <v>608</v>
      </c>
      <c r="E6" s="30" t="n">
        <v>0.113723926092414</v>
      </c>
    </row>
    <row r="7" customFormat="false" ht="15" hidden="false" customHeight="false" outlineLevel="0" collapsed="false">
      <c r="A7" s="53" t="s">
        <v>609</v>
      </c>
      <c r="B7" s="19" t="s">
        <v>610</v>
      </c>
      <c r="C7" s="20" t="s">
        <v>611</v>
      </c>
      <c r="D7" s="53" t="s">
        <v>612</v>
      </c>
      <c r="E7" s="31" t="n">
        <v>20</v>
      </c>
    </row>
    <row r="8" customFormat="false" ht="15" hidden="false" customHeight="false" outlineLevel="0" collapsed="false">
      <c r="A8" s="53" t="s">
        <v>613</v>
      </c>
      <c r="B8" s="19" t="s">
        <v>614</v>
      </c>
      <c r="C8" s="20" t="s">
        <v>615</v>
      </c>
      <c r="D8" s="53" t="s">
        <v>616</v>
      </c>
      <c r="E8" s="31" t="n">
        <v>4</v>
      </c>
    </row>
    <row r="9" customFormat="false" ht="15" hidden="false" customHeight="false" outlineLevel="0" collapsed="false">
      <c r="A9" s="53" t="s">
        <v>617</v>
      </c>
      <c r="B9" s="19" t="s">
        <v>618</v>
      </c>
      <c r="C9" s="20" t="s">
        <v>449</v>
      </c>
      <c r="D9" s="53" t="s">
        <v>619</v>
      </c>
      <c r="E9" s="31" t="n">
        <v>30</v>
      </c>
    </row>
    <row r="10" customFormat="false" ht="15" hidden="false" customHeight="false" outlineLevel="0" collapsed="false">
      <c r="A10" s="53" t="s">
        <v>620</v>
      </c>
      <c r="B10" s="19" t="s">
        <v>621</v>
      </c>
      <c r="C10" s="20" t="s">
        <v>449</v>
      </c>
      <c r="D10" s="53" t="s">
        <v>622</v>
      </c>
      <c r="E10" s="31" t="n">
        <v>0</v>
      </c>
    </row>
    <row r="11" customFormat="false" ht="15" hidden="false" customHeight="false" outlineLevel="0" collapsed="false">
      <c r="A11" s="53" t="s">
        <v>623</v>
      </c>
      <c r="B11" s="19" t="s">
        <v>624</v>
      </c>
      <c r="C11" s="20" t="s">
        <v>449</v>
      </c>
      <c r="D11" s="53" t="s">
        <v>625</v>
      </c>
      <c r="E11" s="31" t="n">
        <v>5</v>
      </c>
    </row>
    <row r="12" customFormat="false" ht="15" hidden="false" customHeight="false" outlineLevel="0" collapsed="false">
      <c r="A12" s="53" t="s">
        <v>626</v>
      </c>
      <c r="B12" s="19" t="s">
        <v>627</v>
      </c>
      <c r="C12" s="20" t="s">
        <v>449</v>
      </c>
      <c r="D12" s="53" t="s">
        <v>628</v>
      </c>
      <c r="E12" s="31" t="n">
        <v>15</v>
      </c>
    </row>
    <row r="13" customFormat="false" ht="15" hidden="false" customHeight="false" outlineLevel="0" collapsed="false">
      <c r="A13" s="53" t="s">
        <v>629</v>
      </c>
      <c r="B13" s="19" t="s">
        <v>630</v>
      </c>
      <c r="C13" s="20" t="s">
        <v>449</v>
      </c>
      <c r="D13" s="53" t="s">
        <v>631</v>
      </c>
      <c r="E13" s="31" t="n">
        <v>8</v>
      </c>
    </row>
    <row r="14" customFormat="false" ht="15" hidden="false" customHeight="false" outlineLevel="0" collapsed="false">
      <c r="A14" s="53" t="s">
        <v>632</v>
      </c>
      <c r="B14" s="19" t="s">
        <v>633</v>
      </c>
      <c r="C14" s="20" t="s">
        <v>449</v>
      </c>
      <c r="D14" s="53" t="s">
        <v>634</v>
      </c>
      <c r="E14" s="31" t="n">
        <v>15</v>
      </c>
    </row>
    <row r="15" customFormat="false" ht="15" hidden="false" customHeight="false" outlineLevel="0" collapsed="false">
      <c r="A15" s="53" t="s">
        <v>635</v>
      </c>
      <c r="B15" s="19" t="s">
        <v>636</v>
      </c>
      <c r="C15" s="20" t="s">
        <v>449</v>
      </c>
      <c r="D15" s="53" t="s">
        <v>637</v>
      </c>
      <c r="E15" s="31" t="n">
        <v>90</v>
      </c>
    </row>
    <row r="16" customFormat="false" ht="15" hidden="false" customHeight="false" outlineLevel="0" collapsed="false">
      <c r="A16" s="53" t="s">
        <v>638</v>
      </c>
      <c r="B16" s="19" t="s">
        <v>639</v>
      </c>
      <c r="C16" s="20" t="s">
        <v>449</v>
      </c>
      <c r="D16" s="53" t="s">
        <v>640</v>
      </c>
      <c r="E16" s="31" t="n">
        <v>540</v>
      </c>
    </row>
    <row r="17" customFormat="false" ht="15" hidden="false" customHeight="false" outlineLevel="0" collapsed="false">
      <c r="A17" s="53" t="s">
        <v>641</v>
      </c>
      <c r="B17" s="19" t="s">
        <v>642</v>
      </c>
      <c r="C17" s="20" t="s">
        <v>262</v>
      </c>
      <c r="D17" s="53" t="s">
        <v>643</v>
      </c>
      <c r="E17" s="30" t="n">
        <v>0.12</v>
      </c>
    </row>
    <row r="18" customFormat="false" ht="23.85" hidden="false" customHeight="false" outlineLevel="0" collapsed="false">
      <c r="A18" s="53" t="s">
        <v>644</v>
      </c>
      <c r="B18" s="19" t="s">
        <v>645</v>
      </c>
      <c r="C18" s="20"/>
      <c r="D18" s="53" t="s">
        <v>201</v>
      </c>
      <c r="E18" s="43" t="n">
        <v>73295633.3844785</v>
      </c>
    </row>
    <row r="19" customFormat="false" ht="15" hidden="false" customHeight="false" outlineLevel="0" collapsed="false">
      <c r="A19" s="53" t="s">
        <v>646</v>
      </c>
      <c r="B19" s="19" t="s">
        <v>647</v>
      </c>
      <c r="C19" s="20"/>
      <c r="D19" s="53" t="s">
        <v>648</v>
      </c>
      <c r="E19" s="30" t="n">
        <v>0.250494490609116</v>
      </c>
    </row>
    <row r="20" customFormat="false" ht="15" hidden="false" customHeight="false" outlineLevel="0" collapsed="false">
      <c r="A20" s="53" t="s">
        <v>649</v>
      </c>
      <c r="B20" s="19" t="s">
        <v>650</v>
      </c>
      <c r="C20" s="20"/>
      <c r="D20" s="53" t="s">
        <v>651</v>
      </c>
      <c r="E20" s="45" t="n">
        <v>4.97134797991844</v>
      </c>
    </row>
    <row r="21" customFormat="false" ht="15" hidden="false" customHeight="false" outlineLevel="0" collapsed="false">
      <c r="A21" s="53" t="s">
        <v>652</v>
      </c>
      <c r="B21" s="19" t="s">
        <v>653</v>
      </c>
      <c r="C21" s="20"/>
      <c r="D21" s="53" t="s">
        <v>654</v>
      </c>
      <c r="E21" s="45" t="n">
        <v>6.17035967424614</v>
      </c>
    </row>
    <row r="22" customFormat="false" ht="15" hidden="false" customHeight="false" outlineLevel="0" collapsed="false">
      <c r="A22" s="53" t="s">
        <v>655</v>
      </c>
      <c r="B22" s="19" t="s">
        <v>656</v>
      </c>
      <c r="C22" s="20"/>
      <c r="D22" s="53" t="s">
        <v>657</v>
      </c>
      <c r="E22" s="80" t="n">
        <v>1.59028268521464</v>
      </c>
    </row>
    <row r="23" customFormat="false" ht="15" hidden="false" customHeight="false" outlineLevel="0" collapsed="false">
      <c r="A23" s="60"/>
      <c r="B23" s="10" t="s">
        <v>658</v>
      </c>
    </row>
    <row r="24" customFormat="false" ht="15" hidden="false" customHeight="false" outlineLevel="0" collapsed="false">
      <c r="A24" s="53" t="s">
        <v>659</v>
      </c>
      <c r="B24" s="19" t="s">
        <v>660</v>
      </c>
      <c r="C24" s="20" t="s">
        <v>661</v>
      </c>
      <c r="D24" s="53" t="s">
        <v>662</v>
      </c>
      <c r="E24" s="44" t="n">
        <v>11705.2561010604</v>
      </c>
      <c r="F24" s="44" t="n">
        <v>12218.0628881788</v>
      </c>
      <c r="G24" s="44" t="n">
        <v>12629.7660974805</v>
      </c>
      <c r="H24" s="44" t="n">
        <v>12975.3143244923</v>
      </c>
      <c r="I24" s="44" t="n">
        <v>13328.7849928583</v>
      </c>
      <c r="J24" s="44" t="n">
        <v>13691.759630362</v>
      </c>
      <c r="K24" s="44" t="n">
        <v>14064.618933838</v>
      </c>
      <c r="L24" s="44" t="n">
        <v>14447.63208634</v>
      </c>
    </row>
    <row r="25" customFormat="false" ht="15" hidden="false" customHeight="false" outlineLevel="0" collapsed="false">
      <c r="A25" s="53" t="s">
        <v>663</v>
      </c>
      <c r="B25" s="19" t="s">
        <v>664</v>
      </c>
      <c r="C25" s="20" t="s">
        <v>262</v>
      </c>
      <c r="D25" s="53" t="s">
        <v>665</v>
      </c>
      <c r="E25" s="30" t="n">
        <v>0.075</v>
      </c>
      <c r="F25" s="30" t="n">
        <v>0.075</v>
      </c>
      <c r="G25" s="30" t="n">
        <v>0.15</v>
      </c>
      <c r="H25" s="30" t="n">
        <v>0.15</v>
      </c>
      <c r="I25" s="30" t="n">
        <v>0.15</v>
      </c>
      <c r="J25" s="30" t="n">
        <v>0.15</v>
      </c>
      <c r="K25" s="30" t="n">
        <v>0.15</v>
      </c>
      <c r="L25" s="30" t="n">
        <v>0.15</v>
      </c>
    </row>
    <row r="26" customFormat="false" ht="15" hidden="false" customHeight="false" outlineLevel="0" collapsed="false">
      <c r="A26" s="53" t="s">
        <v>666</v>
      </c>
      <c r="B26" s="19" t="s">
        <v>667</v>
      </c>
      <c r="C26" s="20" t="s">
        <v>262</v>
      </c>
      <c r="D26" s="53" t="s">
        <v>668</v>
      </c>
      <c r="E26" s="30" t="n">
        <v>0.12</v>
      </c>
      <c r="F26" s="30" t="n">
        <v>0.12</v>
      </c>
      <c r="G26" s="30" t="n">
        <v>0.12</v>
      </c>
      <c r="H26" s="30" t="n">
        <v>0.12</v>
      </c>
      <c r="I26" s="30" t="n">
        <v>0.12</v>
      </c>
      <c r="J26" s="30" t="n">
        <v>0.12</v>
      </c>
      <c r="K26" s="30" t="n">
        <v>0.12</v>
      </c>
      <c r="L26" s="30" t="n">
        <v>0.12</v>
      </c>
    </row>
    <row r="27" customFormat="false" ht="15" hidden="false" customHeight="false" outlineLevel="0" collapsed="false">
      <c r="A27" s="60"/>
      <c r="B27" s="10" t="s">
        <v>669</v>
      </c>
    </row>
    <row r="28" customFormat="false" ht="15" hidden="false" customHeight="false" outlineLevel="0" collapsed="false">
      <c r="A28" s="53" t="s">
        <v>670</v>
      </c>
      <c r="B28" s="19" t="s">
        <v>671</v>
      </c>
      <c r="C28" s="20" t="s">
        <v>259</v>
      </c>
      <c r="D28" s="53" t="s">
        <v>672</v>
      </c>
      <c r="E28" s="81" t="n">
        <v>4200</v>
      </c>
    </row>
    <row r="29" customFormat="false" ht="15" hidden="false" customHeight="false" outlineLevel="0" collapsed="false">
      <c r="A29" s="53" t="s">
        <v>673</v>
      </c>
      <c r="B29" s="19" t="s">
        <v>674</v>
      </c>
      <c r="C29" s="20" t="s">
        <v>262</v>
      </c>
      <c r="D29" s="53" t="s">
        <v>672</v>
      </c>
      <c r="E29" s="30" t="n">
        <v>0</v>
      </c>
      <c r="F29" s="30" t="n">
        <v>0.157862951062778</v>
      </c>
      <c r="G29" s="30" t="n">
        <v>0.555119953863899</v>
      </c>
      <c r="H29" s="30" t="n">
        <v>0.600342004448838</v>
      </c>
      <c r="I29" s="30" t="n">
        <v>0.762685157103037</v>
      </c>
      <c r="J29" s="30" t="n">
        <v>0.733239707784094</v>
      </c>
      <c r="K29" s="30" t="n">
        <v>0.73275148294612</v>
      </c>
      <c r="L29" s="30" t="n">
        <v>0.73275148294612</v>
      </c>
    </row>
    <row r="30" customFormat="false" ht="15" hidden="false" customHeight="false" outlineLevel="0" collapsed="false">
      <c r="A30" s="53" t="s">
        <v>675</v>
      </c>
      <c r="B30" s="19" t="s">
        <v>676</v>
      </c>
      <c r="C30" s="20" t="s">
        <v>259</v>
      </c>
      <c r="D30" s="53" t="s">
        <v>677</v>
      </c>
      <c r="E30" s="81" t="n">
        <v>0</v>
      </c>
      <c r="F30" s="81" t="n">
        <v>663.024394463668</v>
      </c>
      <c r="G30" s="81" t="n">
        <v>2331.50380622837</v>
      </c>
      <c r="H30" s="81" t="n">
        <v>2521.43641868512</v>
      </c>
      <c r="I30" s="81" t="n">
        <v>3203.27765983275</v>
      </c>
      <c r="J30" s="81" t="n">
        <v>3079.6067726932</v>
      </c>
      <c r="K30" s="81" t="n">
        <v>3077.5562283737</v>
      </c>
      <c r="L30" s="81" t="n">
        <v>3077.5562283737</v>
      </c>
    </row>
    <row r="31" customFormat="false" ht="15" hidden="false" customHeight="false" outlineLevel="0" collapsed="false">
      <c r="A31" s="53" t="s">
        <v>678</v>
      </c>
      <c r="B31" s="19" t="s">
        <v>679</v>
      </c>
      <c r="C31" s="20" t="s">
        <v>259</v>
      </c>
      <c r="D31" s="53" t="s">
        <v>680</v>
      </c>
      <c r="E31" s="81" t="n">
        <v>0</v>
      </c>
      <c r="F31" s="81" t="n">
        <v>0</v>
      </c>
      <c r="G31" s="81" t="n">
        <v>0</v>
      </c>
      <c r="H31" s="81" t="n">
        <v>0</v>
      </c>
      <c r="I31" s="81" t="n">
        <v>0</v>
      </c>
      <c r="J31" s="81" t="n">
        <v>0</v>
      </c>
      <c r="K31" s="81" t="n">
        <v>0</v>
      </c>
      <c r="L31" s="81" t="n">
        <v>0</v>
      </c>
    </row>
    <row r="32" customFormat="false" ht="15" hidden="false" customHeight="false" outlineLevel="0" collapsed="false">
      <c r="A32" s="53" t="s">
        <v>681</v>
      </c>
      <c r="B32" s="19" t="s">
        <v>682</v>
      </c>
      <c r="C32" s="20" t="s">
        <v>259</v>
      </c>
      <c r="D32" s="53" t="s">
        <v>683</v>
      </c>
      <c r="E32" s="81" t="n">
        <v>0</v>
      </c>
      <c r="F32" s="81" t="n">
        <v>663.024394463668</v>
      </c>
      <c r="G32" s="81" t="n">
        <v>2331.50380622837</v>
      </c>
      <c r="H32" s="81" t="n">
        <v>2521.43641868512</v>
      </c>
      <c r="I32" s="81" t="n">
        <v>3203.27765983275</v>
      </c>
      <c r="J32" s="81" t="n">
        <v>3079.6067726932</v>
      </c>
      <c r="K32" s="81" t="n">
        <v>3077.5562283737</v>
      </c>
      <c r="L32" s="81" t="n">
        <v>3077.5562283737</v>
      </c>
    </row>
    <row r="33" customFormat="false" ht="15" hidden="false" customHeight="false" outlineLevel="0" collapsed="false">
      <c r="A33" s="53" t="s">
        <v>684</v>
      </c>
      <c r="B33" s="19" t="s">
        <v>685</v>
      </c>
      <c r="C33" s="20" t="s">
        <v>259</v>
      </c>
      <c r="D33" s="53" t="s">
        <v>686</v>
      </c>
      <c r="E33" s="81" t="n">
        <v>0</v>
      </c>
      <c r="F33" s="81" t="n">
        <v>0</v>
      </c>
      <c r="G33" s="81" t="n">
        <v>0</v>
      </c>
      <c r="H33" s="81" t="n">
        <v>0</v>
      </c>
      <c r="I33" s="81" t="n">
        <v>0</v>
      </c>
      <c r="J33" s="81" t="n">
        <v>0</v>
      </c>
      <c r="K33" s="81" t="n">
        <v>0</v>
      </c>
      <c r="L33" s="81" t="n">
        <v>0</v>
      </c>
    </row>
    <row r="34" customFormat="false" ht="15" hidden="false" customHeight="false" outlineLevel="0" collapsed="false">
      <c r="A34" s="53" t="s">
        <v>687</v>
      </c>
      <c r="B34" s="19" t="s">
        <v>688</v>
      </c>
      <c r="C34" s="20" t="s">
        <v>269</v>
      </c>
      <c r="D34" s="53" t="s">
        <v>689</v>
      </c>
      <c r="E34" s="44" t="n">
        <v>0</v>
      </c>
      <c r="F34" s="44" t="n">
        <v>42389.5686200496</v>
      </c>
      <c r="G34" s="44" t="n">
        <v>42982.9537234516</v>
      </c>
      <c r="H34" s="44" t="n">
        <v>43928.5787053675</v>
      </c>
      <c r="I34" s="44" t="n">
        <v>44895.0074368856</v>
      </c>
      <c r="J34" s="44" t="n">
        <v>45882.6976004971</v>
      </c>
      <c r="K34" s="44" t="n">
        <v>46892.116947708</v>
      </c>
      <c r="L34" s="44" t="n">
        <v>47923.7435205576</v>
      </c>
    </row>
    <row r="35" customFormat="false" ht="15" hidden="false" customHeight="false" outlineLevel="0" collapsed="false">
      <c r="A35" s="53" t="s">
        <v>690</v>
      </c>
      <c r="B35" s="19" t="s">
        <v>691</v>
      </c>
      <c r="C35" s="20" t="s">
        <v>32</v>
      </c>
      <c r="D35" s="53" t="s">
        <v>692</v>
      </c>
      <c r="E35" s="43" t="n">
        <v>0</v>
      </c>
      <c r="F35" s="43" t="n">
        <v>28105318.0658845</v>
      </c>
      <c r="G35" s="43" t="n">
        <v>100214920.209165</v>
      </c>
      <c r="H35" s="43" t="n">
        <v>110763118.168789</v>
      </c>
      <c r="I35" s="43" t="n">
        <v>143811174.360601</v>
      </c>
      <c r="J35" s="43" t="n">
        <v>141300666.279925</v>
      </c>
      <c r="K35" s="43" t="n">
        <v>144313126.574047</v>
      </c>
      <c r="L35" s="43" t="n">
        <v>147488015.358676</v>
      </c>
    </row>
    <row r="36" customFormat="false" ht="15" hidden="false" customHeight="false" outlineLevel="0" collapsed="false">
      <c r="A36" s="60"/>
      <c r="B36" s="10" t="s">
        <v>693</v>
      </c>
    </row>
    <row r="37" customFormat="false" ht="15" hidden="false" customHeight="false" outlineLevel="0" collapsed="false">
      <c r="A37" s="53" t="s">
        <v>694</v>
      </c>
      <c r="B37" s="19" t="s">
        <v>695</v>
      </c>
      <c r="C37" s="20" t="s">
        <v>32</v>
      </c>
      <c r="D37" s="53" t="s">
        <v>696</v>
      </c>
      <c r="E37" s="43" t="n">
        <v>0</v>
      </c>
      <c r="F37" s="43" t="n">
        <v>28105318.0658845</v>
      </c>
      <c r="G37" s="43" t="n">
        <v>100214920.209165</v>
      </c>
      <c r="H37" s="43" t="n">
        <v>110763118.168789</v>
      </c>
      <c r="I37" s="43" t="n">
        <v>143811174.360601</v>
      </c>
      <c r="J37" s="43" t="n">
        <v>141300666.279925</v>
      </c>
      <c r="K37" s="43" t="n">
        <v>144313126.574047</v>
      </c>
      <c r="L37" s="43" t="n">
        <v>147488015.358676</v>
      </c>
    </row>
    <row r="38" customFormat="false" ht="15" hidden="false" customHeight="false" outlineLevel="0" collapsed="false">
      <c r="A38" s="53" t="s">
        <v>697</v>
      </c>
      <c r="B38" s="19" t="s">
        <v>698</v>
      </c>
      <c r="C38" s="20" t="s">
        <v>32</v>
      </c>
      <c r="D38" s="53" t="s">
        <v>699</v>
      </c>
      <c r="E38" s="43" t="n">
        <v>0</v>
      </c>
      <c r="F38" s="43" t="n">
        <v>11443132.117312</v>
      </c>
      <c r="G38" s="43" t="n">
        <v>43837189.9790024</v>
      </c>
      <c r="H38" s="43" t="n">
        <v>49578519.6515773</v>
      </c>
      <c r="I38" s="43" t="n">
        <v>58960451.8992398</v>
      </c>
      <c r="J38" s="43" t="n">
        <v>60350736.8007239</v>
      </c>
      <c r="K38" s="43" t="n">
        <v>61444656.4831629</v>
      </c>
      <c r="L38" s="43" t="n">
        <v>62571717.7540186</v>
      </c>
    </row>
    <row r="39" customFormat="false" ht="15" hidden="false" customHeight="false" outlineLevel="0" collapsed="false">
      <c r="A39" s="53" t="s">
        <v>700</v>
      </c>
      <c r="B39" s="19" t="s">
        <v>701</v>
      </c>
      <c r="C39" s="20" t="s">
        <v>32</v>
      </c>
      <c r="D39" s="53" t="s">
        <v>702</v>
      </c>
      <c r="E39" s="43" t="n">
        <v>0</v>
      </c>
      <c r="F39" s="43" t="n">
        <v>5299823.22070594</v>
      </c>
      <c r="G39" s="43" t="n">
        <v>16058255.3764035</v>
      </c>
      <c r="H39" s="43" t="n">
        <v>16199398.2335464</v>
      </c>
      <c r="I39" s="43" t="n">
        <v>16340541.0906893</v>
      </c>
      <c r="J39" s="43" t="n">
        <v>16481683.9478321</v>
      </c>
      <c r="K39" s="43" t="n">
        <v>16622826.804975</v>
      </c>
      <c r="L39" s="43" t="n">
        <v>16763969.6621178</v>
      </c>
    </row>
    <row r="40" customFormat="false" ht="15" hidden="false" customHeight="false" outlineLevel="0" collapsed="false">
      <c r="A40" s="53" t="s">
        <v>703</v>
      </c>
      <c r="B40" s="19" t="s">
        <v>394</v>
      </c>
      <c r="C40" s="20" t="s">
        <v>32</v>
      </c>
      <c r="D40" s="53" t="s">
        <v>704</v>
      </c>
      <c r="E40" s="43" t="n">
        <v>0</v>
      </c>
      <c r="F40" s="43" t="n">
        <v>0</v>
      </c>
      <c r="G40" s="43" t="n">
        <v>0</v>
      </c>
      <c r="H40" s="43" t="n">
        <v>0</v>
      </c>
      <c r="I40" s="43" t="n">
        <v>0</v>
      </c>
      <c r="J40" s="43" t="n">
        <v>0</v>
      </c>
      <c r="K40" s="43" t="n">
        <v>0</v>
      </c>
      <c r="L40" s="43" t="n">
        <v>0</v>
      </c>
    </row>
    <row r="41" customFormat="false" ht="15" hidden="false" customHeight="false" outlineLevel="0" collapsed="false">
      <c r="A41" s="53" t="s">
        <v>705</v>
      </c>
      <c r="B41" s="19" t="s">
        <v>706</v>
      </c>
      <c r="C41" s="20" t="s">
        <v>32</v>
      </c>
      <c r="D41" s="53" t="s">
        <v>707</v>
      </c>
      <c r="E41" s="43" t="n">
        <v>275340.52</v>
      </c>
      <c r="F41" s="43" t="n">
        <v>1599353.82012</v>
      </c>
      <c r="G41" s="43" t="n">
        <v>1790784.1119504</v>
      </c>
      <c r="H41" s="43" t="n">
        <v>1830181.36241331</v>
      </c>
      <c r="I41" s="43" t="n">
        <v>1870445.3523864</v>
      </c>
      <c r="J41" s="43" t="n">
        <v>1911595.1501389</v>
      </c>
      <c r="K41" s="43" t="n">
        <v>1953650.24344196</v>
      </c>
      <c r="L41" s="43" t="n">
        <v>1996630.54879768</v>
      </c>
    </row>
    <row r="42" customFormat="false" ht="15" hidden="false" customHeight="false" outlineLevel="0" collapsed="false">
      <c r="A42" s="53" t="s">
        <v>708</v>
      </c>
      <c r="B42" s="19" t="s">
        <v>709</v>
      </c>
      <c r="C42" s="20" t="s">
        <v>32</v>
      </c>
      <c r="D42" s="53" t="s">
        <v>710</v>
      </c>
      <c r="E42" s="43" t="n">
        <v>0</v>
      </c>
      <c r="F42" s="43" t="n">
        <v>0</v>
      </c>
      <c r="G42" s="43" t="n">
        <v>0</v>
      </c>
      <c r="H42" s="43" t="n">
        <v>0</v>
      </c>
      <c r="I42" s="43" t="n">
        <v>0</v>
      </c>
      <c r="J42" s="43" t="n">
        <v>0</v>
      </c>
      <c r="K42" s="43" t="n">
        <v>0</v>
      </c>
      <c r="L42" s="43" t="n">
        <v>0</v>
      </c>
    </row>
    <row r="43" customFormat="false" ht="23.85" hidden="false" customHeight="false" outlineLevel="0" collapsed="false">
      <c r="A43" s="53" t="s">
        <v>711</v>
      </c>
      <c r="B43" s="19" t="s">
        <v>712</v>
      </c>
      <c r="C43" s="20" t="s">
        <v>32</v>
      </c>
      <c r="D43" s="53" t="s">
        <v>713</v>
      </c>
      <c r="E43" s="43" t="n">
        <v>798389.60835477</v>
      </c>
      <c r="F43" s="43" t="n">
        <v>5198171.63033659</v>
      </c>
      <c r="G43" s="43" t="n">
        <v>2892314.99840787</v>
      </c>
      <c r="H43" s="43" t="n">
        <v>3527504.58374623</v>
      </c>
      <c r="I43" s="43" t="n">
        <v>28608304.7618179</v>
      </c>
      <c r="J43" s="43" t="n">
        <v>27908902.4107846</v>
      </c>
      <c r="K43" s="43" t="n">
        <v>28565387.2732849</v>
      </c>
      <c r="L43" s="43" t="n">
        <v>29271752.5281289</v>
      </c>
    </row>
    <row r="44" customFormat="false" ht="15" hidden="false" customHeight="false" outlineLevel="0" collapsed="false">
      <c r="A44" s="53" t="s">
        <v>714</v>
      </c>
      <c r="B44" s="19" t="s">
        <v>715</v>
      </c>
      <c r="C44" s="20" t="s">
        <v>32</v>
      </c>
      <c r="D44" s="53" t="s">
        <v>716</v>
      </c>
      <c r="E44" s="43" t="n">
        <v>-1073730.12835477</v>
      </c>
      <c r="F44" s="43" t="n">
        <v>9864660.49811588</v>
      </c>
      <c r="G44" s="43" t="n">
        <v>51694631.1198047</v>
      </c>
      <c r="H44" s="43" t="n">
        <v>55826912.5710525</v>
      </c>
      <c r="I44" s="43" t="n">
        <v>54371972.3471568</v>
      </c>
      <c r="J44" s="43" t="n">
        <v>51129431.9182772</v>
      </c>
      <c r="K44" s="43" t="n">
        <v>52349432.574157</v>
      </c>
      <c r="L44" s="43" t="n">
        <v>53647914.5277307</v>
      </c>
    </row>
    <row r="45" customFormat="false" ht="15" hidden="false" customHeight="false" outlineLevel="0" collapsed="false">
      <c r="A45" s="53" t="s">
        <v>717</v>
      </c>
      <c r="B45" s="19" t="s">
        <v>718</v>
      </c>
      <c r="C45" s="20" t="s">
        <v>32</v>
      </c>
      <c r="D45" s="53" t="s">
        <v>719</v>
      </c>
      <c r="E45" s="43" t="n">
        <v>0</v>
      </c>
      <c r="F45" s="43" t="n">
        <v>2747320.58319722</v>
      </c>
      <c r="G45" s="43" t="n">
        <v>7905877.98412698</v>
      </c>
      <c r="H45" s="43" t="n">
        <v>6874676.50793651</v>
      </c>
      <c r="I45" s="43" t="n">
        <v>5499741.2063492</v>
      </c>
      <c r="J45" s="43" t="n">
        <v>4124805.9047619</v>
      </c>
      <c r="K45" s="43" t="n">
        <v>2749870.6031746</v>
      </c>
      <c r="L45" s="43" t="n">
        <v>1374935.3015873</v>
      </c>
    </row>
    <row r="46" customFormat="false" ht="15" hidden="false" customHeight="false" outlineLevel="0" collapsed="false">
      <c r="A46" s="53" t="s">
        <v>720</v>
      </c>
      <c r="B46" s="19" t="s">
        <v>721</v>
      </c>
      <c r="C46" s="20" t="s">
        <v>32</v>
      </c>
      <c r="D46" s="53" t="s">
        <v>722</v>
      </c>
      <c r="E46" s="43" t="n">
        <v>-1073730.12835477</v>
      </c>
      <c r="F46" s="43" t="n">
        <v>7117339.91491866</v>
      </c>
      <c r="G46" s="43" t="n">
        <v>43788753.1356777</v>
      </c>
      <c r="H46" s="43" t="n">
        <v>48952236.0631159</v>
      </c>
      <c r="I46" s="43" t="n">
        <v>48872231.1408076</v>
      </c>
      <c r="J46" s="43" t="n">
        <v>47004626.0135153</v>
      </c>
      <c r="K46" s="43" t="n">
        <v>49599561.9709825</v>
      </c>
      <c r="L46" s="43" t="n">
        <v>52272979.2261434</v>
      </c>
    </row>
    <row r="47" customFormat="false" ht="15" hidden="false" customHeight="false" outlineLevel="0" collapsed="false">
      <c r="A47" s="53" t="s">
        <v>723</v>
      </c>
      <c r="B47" s="19" t="s">
        <v>724</v>
      </c>
      <c r="C47" s="20" t="s">
        <v>32</v>
      </c>
      <c r="D47" s="53" t="s">
        <v>725</v>
      </c>
      <c r="E47" s="43" t="n">
        <v>-161059.519253216</v>
      </c>
      <c r="F47" s="43" t="n">
        <v>2548689.04268218</v>
      </c>
      <c r="G47" s="43" t="n">
        <v>17908422.3624414</v>
      </c>
      <c r="H47" s="43" t="n">
        <v>19876556.6759357</v>
      </c>
      <c r="I47" s="43" t="n">
        <v>23604204.4013997</v>
      </c>
      <c r="J47" s="43" t="n">
        <v>23039979.8231767</v>
      </c>
      <c r="K47" s="43" t="n">
        <v>23770103.8816579</v>
      </c>
      <c r="L47" s="43" t="n">
        <v>24530380.2008243</v>
      </c>
    </row>
    <row r="48" customFormat="false" ht="15" hidden="false" customHeight="false" outlineLevel="0" collapsed="false">
      <c r="A48" s="53" t="s">
        <v>726</v>
      </c>
      <c r="B48" s="19" t="s">
        <v>62</v>
      </c>
      <c r="C48" s="20" t="s">
        <v>32</v>
      </c>
      <c r="D48" s="53" t="s">
        <v>727</v>
      </c>
      <c r="E48" s="43" t="n">
        <v>-912670.609101554</v>
      </c>
      <c r="F48" s="43" t="n">
        <v>4568650.87223648</v>
      </c>
      <c r="G48" s="43" t="n">
        <v>25880330.7732363</v>
      </c>
      <c r="H48" s="43" t="n">
        <v>29075679.3871803</v>
      </c>
      <c r="I48" s="43" t="n">
        <v>25268026.7394079</v>
      </c>
      <c r="J48" s="43" t="n">
        <v>23964646.1903387</v>
      </c>
      <c r="K48" s="43" t="n">
        <v>25829458.0893245</v>
      </c>
      <c r="L48" s="43" t="n">
        <v>27742599.0253191</v>
      </c>
    </row>
    <row r="49" customFormat="false" ht="15" hidden="false" customHeight="false" outlineLevel="0" collapsed="false">
      <c r="A49" s="53" t="s">
        <v>728</v>
      </c>
      <c r="B49" s="19" t="s">
        <v>729</v>
      </c>
      <c r="C49" s="20" t="s">
        <v>32</v>
      </c>
      <c r="D49" s="53" t="s">
        <v>730</v>
      </c>
      <c r="E49" s="43" t="n">
        <v>0</v>
      </c>
      <c r="F49" s="43" t="n">
        <v>5299823.22070594</v>
      </c>
      <c r="G49" s="43" t="n">
        <v>16058255.3764035</v>
      </c>
      <c r="H49" s="43" t="n">
        <v>16199398.2335464</v>
      </c>
      <c r="I49" s="43" t="n">
        <v>16340541.0906893</v>
      </c>
      <c r="J49" s="43" t="n">
        <v>16481683.9478321</v>
      </c>
      <c r="K49" s="43" t="n">
        <v>16622826.804975</v>
      </c>
      <c r="L49" s="43" t="n">
        <v>16763969.6621178</v>
      </c>
    </row>
    <row r="50" customFormat="false" ht="15" hidden="false" customHeight="false" outlineLevel="0" collapsed="false">
      <c r="A50" s="53" t="s">
        <v>731</v>
      </c>
      <c r="B50" s="19" t="s">
        <v>61</v>
      </c>
      <c r="C50" s="20" t="s">
        <v>32</v>
      </c>
      <c r="D50" s="53" t="s">
        <v>732</v>
      </c>
      <c r="E50" s="43" t="n">
        <v>-1073730.12835477</v>
      </c>
      <c r="F50" s="43" t="n">
        <v>15164483.7188218</v>
      </c>
      <c r="G50" s="43" t="n">
        <v>67752886.4962082</v>
      </c>
      <c r="H50" s="43" t="n">
        <v>72026310.8045988</v>
      </c>
      <c r="I50" s="43" t="n">
        <v>70712513.4378461</v>
      </c>
      <c r="J50" s="43" t="n">
        <v>67611115.8661093</v>
      </c>
      <c r="K50" s="43" t="n">
        <v>68972259.379132</v>
      </c>
      <c r="L50" s="43" t="n">
        <v>70411884.1898485</v>
      </c>
    </row>
    <row r="51" customFormat="false" ht="15" hidden="false" customHeight="false" outlineLevel="0" collapsed="false">
      <c r="A51" s="53" t="s">
        <v>733</v>
      </c>
      <c r="B51" s="19" t="s">
        <v>734</v>
      </c>
      <c r="C51" s="20" t="s">
        <v>32</v>
      </c>
      <c r="D51" s="53" t="s">
        <v>735</v>
      </c>
      <c r="E51" s="43" t="n">
        <v>0</v>
      </c>
      <c r="F51" s="43" t="n">
        <v>62508.4058911252</v>
      </c>
      <c r="G51" s="43" t="n">
        <v>187525.217673376</v>
      </c>
      <c r="H51" s="43" t="n">
        <v>187525.217673376</v>
      </c>
      <c r="I51" s="43" t="n">
        <v>187525.217673376</v>
      </c>
      <c r="J51" s="43" t="n">
        <v>187525.217673376</v>
      </c>
      <c r="K51" s="43" t="n">
        <v>187525.217673376</v>
      </c>
      <c r="L51" s="43" t="n">
        <v>187525.217673376</v>
      </c>
    </row>
    <row r="52" customFormat="false" ht="15" hidden="false" customHeight="false" outlineLevel="0" collapsed="false">
      <c r="A52" s="53" t="s">
        <v>736</v>
      </c>
      <c r="B52" s="19" t="s">
        <v>737</v>
      </c>
      <c r="C52" s="20" t="s">
        <v>32</v>
      </c>
      <c r="D52" s="53" t="s">
        <v>738</v>
      </c>
      <c r="E52" s="43" t="n">
        <v>883300.083333333</v>
      </c>
      <c r="F52" s="43" t="n">
        <v>11596299.2368426</v>
      </c>
      <c r="G52" s="43" t="n">
        <v>28155502.3975405</v>
      </c>
      <c r="H52" s="43" t="n">
        <v>34078059.063915</v>
      </c>
      <c r="I52" s="43" t="n">
        <v>43504881.0821652</v>
      </c>
      <c r="J52" s="43" t="n">
        <v>44287689.8126693</v>
      </c>
      <c r="K52" s="43" t="n">
        <v>45259065.4230132</v>
      </c>
      <c r="L52" s="43" t="n">
        <v>46254764.8623195</v>
      </c>
    </row>
    <row r="53" customFormat="false" ht="15" hidden="false" customHeight="false" outlineLevel="0" collapsed="false">
      <c r="A53" s="53" t="s">
        <v>739</v>
      </c>
      <c r="B53" s="19" t="s">
        <v>740</v>
      </c>
      <c r="C53" s="20" t="s">
        <v>32</v>
      </c>
      <c r="D53" s="53" t="s">
        <v>741</v>
      </c>
      <c r="E53" s="43" t="n">
        <v>0</v>
      </c>
      <c r="F53" s="43" t="n">
        <v>28105318.0658845</v>
      </c>
      <c r="G53" s="43" t="n">
        <v>100214920.209165</v>
      </c>
      <c r="H53" s="43" t="n">
        <v>110763118.168789</v>
      </c>
      <c r="I53" s="43" t="n">
        <v>143811174.360601</v>
      </c>
      <c r="J53" s="43" t="n">
        <v>141300666.279925</v>
      </c>
      <c r="K53" s="43" t="n">
        <v>144313126.574047</v>
      </c>
      <c r="L53" s="43" t="n">
        <v>147488015.358676</v>
      </c>
    </row>
    <row r="54" customFormat="false" ht="15" hidden="false" customHeight="false" outlineLevel="0" collapsed="false">
      <c r="A54" s="60"/>
      <c r="B54" s="10" t="s">
        <v>742</v>
      </c>
    </row>
    <row r="55" customFormat="false" ht="15" hidden="false" customHeight="false" outlineLevel="0" collapsed="false">
      <c r="A55" s="53" t="s">
        <v>743</v>
      </c>
      <c r="B55" s="19" t="s">
        <v>744</v>
      </c>
      <c r="C55" s="20" t="s">
        <v>32</v>
      </c>
      <c r="D55" s="53" t="s">
        <v>745</v>
      </c>
      <c r="E55" s="43" t="n">
        <v>0</v>
      </c>
      <c r="F55" s="43" t="n">
        <v>0</v>
      </c>
      <c r="G55" s="43" t="n">
        <v>0</v>
      </c>
      <c r="H55" s="43" t="n">
        <v>0</v>
      </c>
      <c r="I55" s="43" t="n">
        <v>0</v>
      </c>
      <c r="J55" s="43" t="n">
        <v>0</v>
      </c>
      <c r="K55" s="43" t="n">
        <v>0</v>
      </c>
      <c r="L55" s="43" t="n">
        <v>0</v>
      </c>
    </row>
    <row r="56" customFormat="false" ht="15" hidden="false" customHeight="false" outlineLevel="0" collapsed="false">
      <c r="A56" s="53" t="s">
        <v>746</v>
      </c>
      <c r="B56" s="19" t="s">
        <v>747</v>
      </c>
      <c r="C56" s="20" t="s">
        <v>32</v>
      </c>
      <c r="D56" s="53" t="s">
        <v>748</v>
      </c>
      <c r="E56" s="43" t="n">
        <v>0</v>
      </c>
      <c r="F56" s="43" t="n">
        <v>0</v>
      </c>
      <c r="G56" s="43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</row>
    <row r="57" customFormat="false" ht="15" hidden="false" customHeight="false" outlineLevel="0" collapsed="false">
      <c r="A57" s="53" t="s">
        <v>749</v>
      </c>
      <c r="B57" s="19" t="s">
        <v>750</v>
      </c>
      <c r="C57" s="20" t="s">
        <v>32</v>
      </c>
      <c r="D57" s="53" t="s">
        <v>751</v>
      </c>
      <c r="E57" s="43" t="n">
        <v>0</v>
      </c>
      <c r="F57" s="43" t="n">
        <v>0</v>
      </c>
      <c r="G57" s="43" t="n">
        <v>0</v>
      </c>
      <c r="H57" s="43" t="n">
        <v>0</v>
      </c>
      <c r="I57" s="43" t="n">
        <v>0</v>
      </c>
      <c r="J57" s="43" t="n">
        <v>0</v>
      </c>
      <c r="K57" s="43" t="n">
        <v>0</v>
      </c>
      <c r="L57" s="43" t="n">
        <v>0</v>
      </c>
    </row>
    <row r="58" customFormat="false" ht="15" hidden="false" customHeight="false" outlineLevel="0" collapsed="false">
      <c r="A58" s="53" t="s">
        <v>752</v>
      </c>
      <c r="B58" s="19" t="s">
        <v>753</v>
      </c>
      <c r="C58" s="20" t="s">
        <v>32</v>
      </c>
      <c r="D58" s="53" t="s">
        <v>754</v>
      </c>
      <c r="E58" s="43" t="n">
        <v>0</v>
      </c>
      <c r="F58" s="43" t="n">
        <v>0</v>
      </c>
      <c r="G58" s="43" t="n">
        <v>0</v>
      </c>
      <c r="H58" s="43" t="n">
        <v>0</v>
      </c>
      <c r="I58" s="43" t="n">
        <v>0</v>
      </c>
      <c r="J58" s="43" t="n">
        <v>0</v>
      </c>
      <c r="K58" s="43" t="n">
        <v>0</v>
      </c>
      <c r="L58" s="43" t="n">
        <v>0</v>
      </c>
    </row>
    <row r="59" customFormat="false" ht="15" hidden="false" customHeight="false" outlineLevel="0" collapsed="false">
      <c r="A59" s="53" t="s">
        <v>755</v>
      </c>
      <c r="B59" s="19" t="s">
        <v>756</v>
      </c>
      <c r="C59" s="20" t="s">
        <v>32</v>
      </c>
      <c r="D59" s="53" t="s">
        <v>757</v>
      </c>
      <c r="E59" s="43" t="n">
        <v>0</v>
      </c>
      <c r="F59" s="43" t="n">
        <v>0</v>
      </c>
      <c r="G59" s="43" t="n">
        <v>0</v>
      </c>
      <c r="H59" s="43" t="n">
        <v>0</v>
      </c>
      <c r="I59" s="43" t="n">
        <v>0</v>
      </c>
      <c r="J59" s="43" t="n">
        <v>0</v>
      </c>
      <c r="K59" s="43" t="n">
        <v>0</v>
      </c>
      <c r="L59" s="43" t="n">
        <v>0</v>
      </c>
    </row>
    <row r="60" customFormat="false" ht="15" hidden="false" customHeight="false" outlineLevel="0" collapsed="false">
      <c r="A60" s="53" t="s">
        <v>758</v>
      </c>
      <c r="B60" s="19" t="s">
        <v>759</v>
      </c>
      <c r="C60" s="20" t="s">
        <v>32</v>
      </c>
      <c r="D60" s="53" t="s">
        <v>760</v>
      </c>
      <c r="E60" s="43" t="n">
        <v>637460.333333333</v>
      </c>
      <c r="F60" s="43" t="n">
        <v>4921962.9865</v>
      </c>
      <c r="G60" s="43" t="n">
        <v>6194561.993676</v>
      </c>
      <c r="H60" s="43" t="n">
        <v>6330842.35753687</v>
      </c>
      <c r="I60" s="43" t="n">
        <v>6470120.88940268</v>
      </c>
      <c r="J60" s="43" t="n">
        <v>6612463.54896954</v>
      </c>
      <c r="K60" s="43" t="n">
        <v>6757937.74704687</v>
      </c>
      <c r="L60" s="43" t="n">
        <v>6906612.3774819</v>
      </c>
    </row>
    <row r="61" customFormat="false" ht="15" hidden="false" customHeight="false" outlineLevel="0" collapsed="false">
      <c r="A61" s="53" t="s">
        <v>761</v>
      </c>
      <c r="B61" s="19" t="s">
        <v>762</v>
      </c>
      <c r="C61" s="20" t="s">
        <v>32</v>
      </c>
      <c r="D61" s="53" t="s">
        <v>763</v>
      </c>
      <c r="E61" s="43" t="n">
        <v>76495.24</v>
      </c>
      <c r="F61" s="43" t="n">
        <v>590635.55838</v>
      </c>
      <c r="G61" s="43" t="n">
        <v>743347.43924112</v>
      </c>
      <c r="H61" s="43" t="n">
        <v>759701.082904425</v>
      </c>
      <c r="I61" s="43" t="n">
        <v>776414.506728322</v>
      </c>
      <c r="J61" s="43" t="n">
        <v>793495.625876345</v>
      </c>
      <c r="K61" s="43" t="n">
        <v>810952.529645625</v>
      </c>
      <c r="L61" s="43" t="n">
        <v>828793.485297828</v>
      </c>
    </row>
    <row r="62" customFormat="false" ht="15" hidden="false" customHeight="false" outlineLevel="0" collapsed="false">
      <c r="A62" s="53" t="s">
        <v>764</v>
      </c>
      <c r="B62" s="19" t="s">
        <v>765</v>
      </c>
      <c r="C62" s="20" t="s">
        <v>32</v>
      </c>
      <c r="D62" s="53" t="s">
        <v>766</v>
      </c>
      <c r="E62" s="43" t="n">
        <v>0</v>
      </c>
      <c r="F62" s="43" t="n">
        <v>5237314.81481482</v>
      </c>
      <c r="G62" s="43" t="n">
        <v>15870730.1587302</v>
      </c>
      <c r="H62" s="43" t="n">
        <v>16011873.015873</v>
      </c>
      <c r="I62" s="43" t="n">
        <v>16153015.8730159</v>
      </c>
      <c r="J62" s="43" t="n">
        <v>16294158.7301587</v>
      </c>
      <c r="K62" s="43" t="n">
        <v>16435301.5873016</v>
      </c>
      <c r="L62" s="43" t="n">
        <v>16576444.4444444</v>
      </c>
    </row>
    <row r="63" customFormat="false" ht="15" hidden="false" customHeight="false" outlineLevel="0" collapsed="false">
      <c r="A63" s="53" t="s">
        <v>767</v>
      </c>
      <c r="B63" s="19" t="s">
        <v>768</v>
      </c>
      <c r="C63" s="20" t="s">
        <v>32</v>
      </c>
      <c r="D63" s="53" t="s">
        <v>769</v>
      </c>
      <c r="E63" s="43" t="n">
        <v>0</v>
      </c>
      <c r="F63" s="43" t="n">
        <v>0</v>
      </c>
      <c r="G63" s="43" t="n">
        <v>0</v>
      </c>
      <c r="H63" s="43" t="n">
        <v>0</v>
      </c>
      <c r="I63" s="43" t="n">
        <v>0</v>
      </c>
      <c r="J63" s="43" t="n">
        <v>0</v>
      </c>
      <c r="K63" s="43" t="n">
        <v>0</v>
      </c>
      <c r="L63" s="43" t="n">
        <v>0</v>
      </c>
    </row>
    <row r="64" customFormat="false" ht="15" hidden="false" customHeight="false" outlineLevel="0" collapsed="false">
      <c r="A64" s="53" t="s">
        <v>770</v>
      </c>
      <c r="B64" s="19" t="s">
        <v>288</v>
      </c>
      <c r="C64" s="20" t="s">
        <v>32</v>
      </c>
      <c r="D64" s="53" t="s">
        <v>771</v>
      </c>
      <c r="E64" s="43" t="n">
        <v>33304.0289093042</v>
      </c>
      <c r="F64" s="43" t="n">
        <v>5590541.56347205</v>
      </c>
      <c r="G64" s="43" t="n">
        <v>20842050.8677343</v>
      </c>
      <c r="H64" s="43" t="n">
        <v>26613167.0278725</v>
      </c>
      <c r="I64" s="43" t="n">
        <v>35890256.5915637</v>
      </c>
      <c r="J64" s="43" t="n">
        <v>36505543.5832747</v>
      </c>
      <c r="K64" s="43" t="n">
        <v>37305711.9765719</v>
      </c>
      <c r="L64" s="43" t="n">
        <v>38126437.6400565</v>
      </c>
    </row>
    <row r="65" customFormat="false" ht="15" hidden="false" customHeight="false" outlineLevel="0" collapsed="false">
      <c r="A65" s="53" t="s">
        <v>772</v>
      </c>
      <c r="B65" s="19" t="s">
        <v>773</v>
      </c>
      <c r="C65" s="20" t="s">
        <v>32</v>
      </c>
      <c r="D65" s="53" t="s">
        <v>774</v>
      </c>
      <c r="E65" s="43" t="n">
        <v>747259.602242638</v>
      </c>
      <c r="F65" s="43" t="n">
        <v>16340454.9231669</v>
      </c>
      <c r="G65" s="43" t="n">
        <v>43650690.4593816</v>
      </c>
      <c r="H65" s="43" t="n">
        <v>49715583.4841868</v>
      </c>
      <c r="I65" s="43" t="n">
        <v>59289807.8607106</v>
      </c>
      <c r="J65" s="43" t="n">
        <v>60205661.4882793</v>
      </c>
      <c r="K65" s="43" t="n">
        <v>61309903.840566</v>
      </c>
      <c r="L65" s="43" t="n">
        <v>62438287.9472806</v>
      </c>
    </row>
    <row r="66" customFormat="false" ht="15" hidden="false" customHeight="false" outlineLevel="0" collapsed="false">
      <c r="A66" s="53" t="s">
        <v>775</v>
      </c>
      <c r="B66" s="19" t="s">
        <v>776</v>
      </c>
      <c r="C66" s="20" t="s">
        <v>32</v>
      </c>
      <c r="D66" s="53" t="s">
        <v>777</v>
      </c>
      <c r="E66" s="43" t="n">
        <v>0</v>
      </c>
      <c r="F66" s="43" t="n">
        <v>758843.587778881</v>
      </c>
      <c r="G66" s="43" t="n">
        <v>2705802.84564747</v>
      </c>
      <c r="H66" s="43" t="n">
        <v>2990604.19055731</v>
      </c>
      <c r="I66" s="43" t="n">
        <v>3882901.70773623</v>
      </c>
      <c r="J66" s="43" t="n">
        <v>3815117.98955796</v>
      </c>
      <c r="K66" s="43" t="n">
        <v>3896454.41749927</v>
      </c>
      <c r="L66" s="43" t="n">
        <v>3982176.41468425</v>
      </c>
    </row>
    <row r="67" customFormat="false" ht="15" hidden="false" customHeight="false" outlineLevel="0" collapsed="false">
      <c r="A67" s="53" t="s">
        <v>778</v>
      </c>
      <c r="B67" s="19" t="s">
        <v>779</v>
      </c>
      <c r="C67" s="20" t="s">
        <v>32</v>
      </c>
      <c r="D67" s="53" t="s">
        <v>780</v>
      </c>
      <c r="E67" s="43" t="n">
        <v>0</v>
      </c>
      <c r="F67" s="43" t="n">
        <v>4495709.92654174</v>
      </c>
      <c r="G67" s="43" t="n">
        <v>17688604.7732985</v>
      </c>
      <c r="H67" s="43" t="n">
        <v>23165071.4370535</v>
      </c>
      <c r="I67" s="43" t="n">
        <v>31539798.67276</v>
      </c>
      <c r="J67" s="43" t="n">
        <v>32212583.1460058</v>
      </c>
      <c r="K67" s="43" t="n">
        <v>32920902.577512</v>
      </c>
      <c r="L67" s="43" t="n">
        <v>33645162.4342173</v>
      </c>
    </row>
    <row r="68" customFormat="false" ht="15" hidden="false" customHeight="false" outlineLevel="0" collapsed="false">
      <c r="A68" s="60"/>
      <c r="B68" s="10" t="s">
        <v>781</v>
      </c>
    </row>
    <row r="69" customFormat="false" ht="15" hidden="false" customHeight="false" outlineLevel="0" collapsed="false">
      <c r="A69" s="53" t="s">
        <v>782</v>
      </c>
      <c r="B69" s="19" t="s">
        <v>783</v>
      </c>
      <c r="C69" s="20" t="s">
        <v>32</v>
      </c>
      <c r="D69" s="53" t="s">
        <v>784</v>
      </c>
      <c r="E69" s="43" t="n">
        <v>275340.52</v>
      </c>
      <c r="F69" s="43" t="n">
        <v>1599353.82012</v>
      </c>
      <c r="G69" s="43" t="n">
        <v>1790784.1119504</v>
      </c>
      <c r="H69" s="43" t="n">
        <v>1830181.36241331</v>
      </c>
      <c r="I69" s="43" t="n">
        <v>1870445.3523864</v>
      </c>
      <c r="J69" s="43" t="n">
        <v>1911595.1501389</v>
      </c>
      <c r="K69" s="43" t="n">
        <v>1953650.24344196</v>
      </c>
      <c r="L69" s="43" t="n">
        <v>1996630.54879768</v>
      </c>
    </row>
    <row r="70" customFormat="false" ht="15" hidden="false" customHeight="false" outlineLevel="0" collapsed="false">
      <c r="A70" s="53" t="s">
        <v>785</v>
      </c>
      <c r="B70" s="19" t="s">
        <v>786</v>
      </c>
      <c r="C70" s="20" t="s">
        <v>32</v>
      </c>
      <c r="D70" s="53" t="s">
        <v>787</v>
      </c>
      <c r="E70" s="43" t="n">
        <v>0</v>
      </c>
      <c r="F70" s="43" t="n">
        <v>0</v>
      </c>
      <c r="G70" s="43" t="n">
        <v>0</v>
      </c>
      <c r="H70" s="43" t="n">
        <v>0</v>
      </c>
      <c r="I70" s="43" t="n">
        <v>0</v>
      </c>
      <c r="J70" s="43" t="n">
        <v>0</v>
      </c>
      <c r="K70" s="43" t="n">
        <v>0</v>
      </c>
      <c r="L70" s="43" t="n">
        <v>0</v>
      </c>
    </row>
    <row r="71" customFormat="false" ht="15" hidden="false" customHeight="false" outlineLevel="0" collapsed="false">
      <c r="A71" s="53" t="s">
        <v>788</v>
      </c>
      <c r="B71" s="19" t="s">
        <v>789</v>
      </c>
      <c r="C71" s="20" t="s">
        <v>32</v>
      </c>
      <c r="D71" s="53" t="s">
        <v>790</v>
      </c>
      <c r="E71" s="43" t="n">
        <v>0</v>
      </c>
      <c r="F71" s="43" t="n">
        <v>0</v>
      </c>
      <c r="G71" s="43" t="n">
        <v>0</v>
      </c>
      <c r="H71" s="43" t="n">
        <v>0</v>
      </c>
      <c r="I71" s="43" t="n">
        <v>0</v>
      </c>
      <c r="J71" s="43" t="n">
        <v>0</v>
      </c>
      <c r="K71" s="43" t="n">
        <v>0</v>
      </c>
      <c r="L71" s="43" t="n">
        <v>0</v>
      </c>
    </row>
    <row r="72" customFormat="false" ht="15" hidden="false" customHeight="false" outlineLevel="0" collapsed="false">
      <c r="A72" s="53" t="s">
        <v>791</v>
      </c>
      <c r="B72" s="19" t="s">
        <v>792</v>
      </c>
      <c r="C72" s="20" t="s">
        <v>32</v>
      </c>
      <c r="D72" s="53" t="s">
        <v>793</v>
      </c>
      <c r="E72" s="43" t="n">
        <v>0</v>
      </c>
      <c r="F72" s="43" t="n">
        <v>0</v>
      </c>
      <c r="G72" s="43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</row>
    <row r="73" customFormat="false" ht="15" hidden="false" customHeight="false" outlineLevel="0" collapsed="false">
      <c r="A73" s="53" t="s">
        <v>794</v>
      </c>
      <c r="B73" s="19" t="s">
        <v>795</v>
      </c>
      <c r="C73" s="20" t="s">
        <v>32</v>
      </c>
      <c r="D73" s="53" t="s">
        <v>796</v>
      </c>
      <c r="E73" s="43" t="n">
        <v>51130.0061121319</v>
      </c>
      <c r="F73" s="43" t="n">
        <v>635124.696423603</v>
      </c>
      <c r="G73" s="43" t="n">
        <v>1478537.22063009</v>
      </c>
      <c r="H73" s="43" t="n">
        <v>1776694.59153636</v>
      </c>
      <c r="I73" s="43" t="n">
        <v>2250361.86700406</v>
      </c>
      <c r="J73" s="43" t="n">
        <v>2291154.89541297</v>
      </c>
      <c r="K73" s="43" t="n">
        <v>2341412.62483532</v>
      </c>
      <c r="L73" s="43" t="n">
        <v>2392923.70258169</v>
      </c>
    </row>
    <row r="74" customFormat="false" ht="15" hidden="false" customHeight="false" outlineLevel="0" collapsed="false">
      <c r="A74" s="53" t="s">
        <v>797</v>
      </c>
      <c r="B74" s="19" t="s">
        <v>798</v>
      </c>
      <c r="C74" s="20" t="s">
        <v>32</v>
      </c>
      <c r="D74" s="53" t="s">
        <v>799</v>
      </c>
      <c r="E74" s="43" t="n">
        <v>0</v>
      </c>
      <c r="F74" s="43" t="n">
        <v>68379.6296296296</v>
      </c>
      <c r="G74" s="43" t="n">
        <v>357777.777777778</v>
      </c>
      <c r="H74" s="43" t="n">
        <v>311111.111111111</v>
      </c>
      <c r="I74" s="43" t="n">
        <v>264444.444444444</v>
      </c>
      <c r="J74" s="43" t="n">
        <v>217777.777777778</v>
      </c>
      <c r="K74" s="43" t="n">
        <v>171111.111111111</v>
      </c>
      <c r="L74" s="43" t="n">
        <v>124444.444444444</v>
      </c>
    </row>
    <row r="75" customFormat="false" ht="15" hidden="false" customHeight="false" outlineLevel="0" collapsed="false">
      <c r="A75" s="53" t="s">
        <v>800</v>
      </c>
      <c r="B75" s="19" t="s">
        <v>801</v>
      </c>
      <c r="C75" s="20" t="s">
        <v>32</v>
      </c>
      <c r="D75" s="53" t="s">
        <v>802</v>
      </c>
      <c r="E75" s="43" t="n">
        <v>0</v>
      </c>
      <c r="F75" s="43" t="n">
        <v>1056000</v>
      </c>
      <c r="G75" s="43" t="n">
        <v>1056000</v>
      </c>
      <c r="H75" s="43" t="n">
        <v>1161600</v>
      </c>
      <c r="I75" s="43" t="n">
        <v>1277760</v>
      </c>
      <c r="J75" s="43" t="n">
        <v>1405536</v>
      </c>
      <c r="K75" s="43" t="n">
        <v>1546089.6</v>
      </c>
      <c r="L75" s="43" t="n">
        <v>1700698.56</v>
      </c>
    </row>
    <row r="76" customFormat="false" ht="15" hidden="false" customHeight="false" outlineLevel="0" collapsed="false">
      <c r="A76" s="53" t="s">
        <v>803</v>
      </c>
      <c r="B76" s="19" t="s">
        <v>396</v>
      </c>
      <c r="C76" s="20" t="s">
        <v>32</v>
      </c>
      <c r="D76" s="53" t="s">
        <v>804</v>
      </c>
      <c r="E76" s="43" t="n">
        <v>0</v>
      </c>
      <c r="F76" s="43" t="n">
        <v>0</v>
      </c>
      <c r="G76" s="43" t="n">
        <v>0</v>
      </c>
      <c r="H76" s="43" t="n">
        <v>278098.881098766</v>
      </c>
      <c r="I76" s="43" t="n">
        <v>24815738.4503694</v>
      </c>
      <c r="J76" s="43" t="n">
        <v>23994433.7375939</v>
      </c>
      <c r="K76" s="43" t="n">
        <v>24506773.9373385</v>
      </c>
      <c r="L76" s="43" t="n">
        <v>25053685.8211028</v>
      </c>
    </row>
    <row r="77" customFormat="false" ht="15" hidden="false" customHeight="false" outlineLevel="0" collapsed="false">
      <c r="A77" s="53" t="s">
        <v>805</v>
      </c>
      <c r="B77" s="19" t="s">
        <v>806</v>
      </c>
      <c r="C77" s="20" t="s">
        <v>32</v>
      </c>
      <c r="D77" s="53" t="s">
        <v>807</v>
      </c>
      <c r="E77" s="43" t="n">
        <v>0</v>
      </c>
      <c r="F77" s="43" t="n">
        <v>3372638.16790614</v>
      </c>
      <c r="G77" s="43" t="n">
        <v>12025790.4250999</v>
      </c>
      <c r="H77" s="43" t="n">
        <v>13291574.1802547</v>
      </c>
      <c r="I77" s="43" t="n">
        <v>17257340.9232721</v>
      </c>
      <c r="J77" s="43" t="n">
        <v>16956079.953591</v>
      </c>
      <c r="K77" s="43" t="n">
        <v>17317575.1888856</v>
      </c>
      <c r="L77" s="43" t="n">
        <v>17698561.8430411</v>
      </c>
    </row>
    <row r="78" customFormat="false" ht="15" hidden="false" customHeight="false" outlineLevel="0" collapsed="false">
      <c r="A78" s="53" t="s">
        <v>808</v>
      </c>
      <c r="B78" s="19" t="s">
        <v>809</v>
      </c>
      <c r="C78" s="20" t="s">
        <v>32</v>
      </c>
      <c r="D78" s="53" t="s">
        <v>810</v>
      </c>
      <c r="E78" s="43" t="n">
        <v>3197.18677529321</v>
      </c>
      <c r="F78" s="43" t="n">
        <v>463843.005666544</v>
      </c>
      <c r="G78" s="43" t="n">
        <v>1741079.81012034</v>
      </c>
      <c r="H78" s="43" t="n">
        <v>2267766.03238226</v>
      </c>
      <c r="I78" s="43" t="n">
        <v>3072706.06884744</v>
      </c>
      <c r="J78" s="43" t="n">
        <v>3138280.85699681</v>
      </c>
      <c r="K78" s="43" t="n">
        <v>3207288.72567097</v>
      </c>
      <c r="L78" s="43" t="n">
        <v>3277849.07763573</v>
      </c>
    </row>
    <row r="79" customFormat="false" ht="15" hidden="false" customHeight="false" outlineLevel="0" collapsed="false">
      <c r="A79" s="53" t="s">
        <v>811</v>
      </c>
      <c r="B79" s="19" t="s">
        <v>812</v>
      </c>
      <c r="C79" s="20" t="s">
        <v>32</v>
      </c>
      <c r="D79" s="53" t="s">
        <v>813</v>
      </c>
      <c r="E79" s="43" t="n">
        <v>4942086.85714286</v>
      </c>
      <c r="F79" s="43" t="n">
        <v>12051513.1428571</v>
      </c>
      <c r="G79" s="43" t="n">
        <v>169371.428571429</v>
      </c>
      <c r="H79" s="43" t="n">
        <v>169371.428571429</v>
      </c>
      <c r="I79" s="43" t="n">
        <v>169371.428571429</v>
      </c>
      <c r="J79" s="43" t="n">
        <v>169371.428571429</v>
      </c>
      <c r="K79" s="43" t="n">
        <v>169371.428571429</v>
      </c>
      <c r="L79" s="43" t="n">
        <v>169371.428571429</v>
      </c>
    </row>
    <row r="80" customFormat="false" ht="15" hidden="false" customHeight="false" outlineLevel="0" collapsed="false">
      <c r="A80" s="53" t="s">
        <v>814</v>
      </c>
      <c r="B80" s="19" t="s">
        <v>815</v>
      </c>
      <c r="C80" s="20" t="s">
        <v>32</v>
      </c>
      <c r="D80" s="53" t="s">
        <v>816</v>
      </c>
      <c r="E80" s="43" t="n">
        <v>-4945284.04391815</v>
      </c>
      <c r="F80" s="43" t="n">
        <v>-9142717.98061755</v>
      </c>
      <c r="G80" s="43" t="n">
        <v>10115339.1864081</v>
      </c>
      <c r="H80" s="43" t="n">
        <v>10854436.719301</v>
      </c>
      <c r="I80" s="43" t="n">
        <v>14015263.4258532</v>
      </c>
      <c r="J80" s="43" t="n">
        <v>13648427.6680227</v>
      </c>
      <c r="K80" s="43" t="n">
        <v>13940915.0346432</v>
      </c>
      <c r="L80" s="43" t="n">
        <v>14251341.336834</v>
      </c>
    </row>
    <row r="81" customFormat="false" ht="15" hidden="false" customHeight="false" outlineLevel="0" collapsed="false">
      <c r="A81" s="60"/>
      <c r="B81" s="10" t="s">
        <v>817</v>
      </c>
    </row>
    <row r="82" customFormat="false" ht="23.85" hidden="false" customHeight="false" outlineLevel="0" collapsed="false">
      <c r="A82" s="53" t="s">
        <v>818</v>
      </c>
      <c r="B82" s="19" t="s">
        <v>819</v>
      </c>
      <c r="C82" s="20" t="s">
        <v>32</v>
      </c>
      <c r="D82" s="53" t="s">
        <v>820</v>
      </c>
      <c r="E82" s="43" t="n">
        <v>-5850369.55365598</v>
      </c>
      <c r="F82" s="43" t="n">
        <v>-5938943.43913437</v>
      </c>
      <c r="G82" s="43" t="n">
        <v>81998480.9631284</v>
      </c>
      <c r="H82" s="43" t="n">
        <v>74379364.7235119</v>
      </c>
      <c r="I82" s="43" t="n">
        <v>67893860.3367973</v>
      </c>
      <c r="J82" s="43" t="n">
        <v>67774997.2553647</v>
      </c>
      <c r="K82" s="43" t="n">
        <v>68717151.8555184</v>
      </c>
      <c r="L82" s="43" t="n">
        <v>70143879.8201032</v>
      </c>
    </row>
    <row r="83" customFormat="false" ht="15" hidden="false" customHeight="false" outlineLevel="0" collapsed="false">
      <c r="A83" s="53" t="s">
        <v>821</v>
      </c>
      <c r="B83" s="19" t="s">
        <v>822</v>
      </c>
      <c r="C83" s="20" t="s">
        <v>32</v>
      </c>
      <c r="D83" s="53" t="s">
        <v>823</v>
      </c>
      <c r="E83" s="43" t="n">
        <v>0</v>
      </c>
      <c r="F83" s="43" t="n">
        <v>-1521163.90746261</v>
      </c>
      <c r="G83" s="43" t="n">
        <v>-1025.69805254159</v>
      </c>
      <c r="H83" s="43" t="n">
        <v>-324589.050282869</v>
      </c>
      <c r="I83" s="43" t="n">
        <v>-516881.179144162</v>
      </c>
      <c r="J83" s="43" t="n">
        <v>-42449.9052288127</v>
      </c>
      <c r="K83" s="43" t="n">
        <v>-52772.5750763714</v>
      </c>
      <c r="L83" s="43" t="n">
        <v>-54095.4109354429</v>
      </c>
    </row>
    <row r="84" customFormat="false" ht="15" hidden="false" customHeight="false" outlineLevel="0" collapsed="false">
      <c r="A84" s="53" t="s">
        <v>824</v>
      </c>
      <c r="B84" s="19" t="s">
        <v>825</v>
      </c>
      <c r="C84" s="20" t="s">
        <v>32</v>
      </c>
      <c r="D84" s="53" t="s">
        <v>826</v>
      </c>
      <c r="E84" s="43" t="n">
        <v>0</v>
      </c>
      <c r="F84" s="43" t="n">
        <v>-9085416.3623338</v>
      </c>
      <c r="G84" s="43" t="n">
        <v>848573.6054161</v>
      </c>
      <c r="H84" s="43" t="n">
        <v>-866975.174763612</v>
      </c>
      <c r="I84" s="43" t="n">
        <v>-2716278.5911078</v>
      </c>
      <c r="J84" s="43" t="n">
        <v>206343.129918603</v>
      </c>
      <c r="K84" s="43" t="n">
        <v>-247599.476229226</v>
      </c>
      <c r="L84" s="43" t="n">
        <v>-260949.763120195</v>
      </c>
    </row>
    <row r="85" customFormat="false" ht="15" hidden="false" customHeight="false" outlineLevel="0" collapsed="false">
      <c r="A85" s="53" t="s">
        <v>827</v>
      </c>
      <c r="B85" s="19" t="s">
        <v>828</v>
      </c>
      <c r="C85" s="20" t="s">
        <v>32</v>
      </c>
      <c r="D85" s="53" t="s">
        <v>829</v>
      </c>
      <c r="E85" s="43" t="n">
        <v>-4944669.55977946</v>
      </c>
      <c r="F85" s="43" t="n">
        <v>-11880833.1732341</v>
      </c>
      <c r="G85" s="43" t="n">
        <v>13465692.0211749</v>
      </c>
      <c r="H85" s="43" t="n">
        <v>3359810.71183872</v>
      </c>
      <c r="I85" s="43" t="n">
        <v>0</v>
      </c>
      <c r="J85" s="43" t="n">
        <v>0</v>
      </c>
      <c r="K85" s="43" t="n">
        <v>0</v>
      </c>
      <c r="L85" s="43" t="n">
        <v>0</v>
      </c>
    </row>
    <row r="86" customFormat="false" ht="15" hidden="false" customHeight="false" outlineLevel="0" collapsed="false">
      <c r="A86" s="53" t="s">
        <v>830</v>
      </c>
      <c r="B86" s="19" t="s">
        <v>831</v>
      </c>
      <c r="C86" s="20" t="s">
        <v>32</v>
      </c>
      <c r="D86" s="53" t="s">
        <v>832</v>
      </c>
      <c r="E86" s="43" t="n">
        <v>3075.08609115371</v>
      </c>
      <c r="F86" s="43" t="n">
        <v>393984.918032182</v>
      </c>
      <c r="G86" s="43" t="n">
        <v>446.801840211731</v>
      </c>
      <c r="H86" s="43" t="n">
        <v>120247.99595021</v>
      </c>
      <c r="I86" s="43" t="n">
        <v>183776.264033147</v>
      </c>
      <c r="J86" s="43" t="n">
        <v>14971.4128194896</v>
      </c>
      <c r="K86" s="43" t="n">
        <v>15755.221158485</v>
      </c>
      <c r="L86" s="43" t="n">
        <v>16109.6693983475</v>
      </c>
    </row>
    <row r="87" customFormat="false" ht="15" hidden="false" customHeight="false" outlineLevel="0" collapsed="false">
      <c r="A87" s="53" t="s">
        <v>833</v>
      </c>
      <c r="B87" s="19" t="s">
        <v>834</v>
      </c>
      <c r="C87" s="20" t="s">
        <v>32</v>
      </c>
      <c r="D87" s="53" t="s">
        <v>835</v>
      </c>
      <c r="E87" s="43" t="n">
        <v>164955.048387097</v>
      </c>
      <c r="F87" s="43" t="n">
        <v>204030.955306452</v>
      </c>
      <c r="G87" s="43" t="n">
        <v>15349.8177536517</v>
      </c>
      <c r="H87" s="43" t="n">
        <v>8455.38807183842</v>
      </c>
      <c r="I87" s="43" t="n">
        <v>8641.4066094188</v>
      </c>
      <c r="J87" s="43" t="n">
        <v>8831.51755482599</v>
      </c>
      <c r="K87" s="43" t="n">
        <v>9025.81094103225</v>
      </c>
      <c r="L87" s="43" t="n">
        <v>9224.37878173502</v>
      </c>
    </row>
    <row r="88" customFormat="false" ht="15" hidden="false" customHeight="false" outlineLevel="0" collapsed="false">
      <c r="A88" s="53" t="s">
        <v>836</v>
      </c>
      <c r="B88" s="19" t="s">
        <v>837</v>
      </c>
      <c r="C88" s="20" t="s">
        <v>32</v>
      </c>
      <c r="D88" s="53" t="s">
        <v>838</v>
      </c>
      <c r="E88" s="43" t="n">
        <v>0</v>
      </c>
      <c r="F88" s="43" t="n">
        <v>1521163.90746261</v>
      </c>
      <c r="G88" s="43" t="n">
        <v>1522189.60551515</v>
      </c>
      <c r="H88" s="43" t="n">
        <v>1846778.65579802</v>
      </c>
      <c r="I88" s="43" t="n">
        <v>2363659.83494218</v>
      </c>
      <c r="J88" s="43" t="n">
        <v>2406109.74017099</v>
      </c>
      <c r="K88" s="43" t="n">
        <v>2458882.31524736</v>
      </c>
      <c r="L88" s="43" t="n">
        <v>2512977.72618281</v>
      </c>
    </row>
    <row r="89" customFormat="false" ht="15" hidden="false" customHeight="false" outlineLevel="0" collapsed="false">
      <c r="A89" s="53" t="s">
        <v>839</v>
      </c>
      <c r="B89" s="19" t="s">
        <v>840</v>
      </c>
      <c r="C89" s="20" t="s">
        <v>32</v>
      </c>
      <c r="D89" s="53" t="s">
        <v>841</v>
      </c>
      <c r="E89" s="43" t="n">
        <v>0</v>
      </c>
      <c r="F89" s="43" t="n">
        <v>9085416.3623338</v>
      </c>
      <c r="G89" s="43" t="n">
        <v>8236842.7569177</v>
      </c>
      <c r="H89" s="43" t="n">
        <v>9103817.93168131</v>
      </c>
      <c r="I89" s="43" t="n">
        <v>11820096.5227891</v>
      </c>
      <c r="J89" s="43" t="n">
        <v>11613753.3928705</v>
      </c>
      <c r="K89" s="43" t="n">
        <v>11861352.8690997</v>
      </c>
      <c r="L89" s="43" t="n">
        <v>12122302.6322199</v>
      </c>
    </row>
    <row r="90" customFormat="false" ht="15" hidden="false" customHeight="false" outlineLevel="0" collapsed="false">
      <c r="A90" s="53" t="s">
        <v>842</v>
      </c>
      <c r="B90" s="19" t="s">
        <v>843</v>
      </c>
      <c r="C90" s="20" t="s">
        <v>32</v>
      </c>
      <c r="D90" s="53" t="s">
        <v>844</v>
      </c>
      <c r="E90" s="43" t="n">
        <v>4944669.55977946</v>
      </c>
      <c r="F90" s="43" t="n">
        <v>16825502.7330136</v>
      </c>
      <c r="G90" s="43" t="n">
        <v>3359810.71183872</v>
      </c>
      <c r="H90" s="43" t="n">
        <v>0</v>
      </c>
      <c r="I90" s="43" t="n">
        <v>0</v>
      </c>
      <c r="J90" s="43" t="n">
        <v>0</v>
      </c>
      <c r="K90" s="43" t="n">
        <v>0</v>
      </c>
      <c r="L90" s="43" t="n">
        <v>0</v>
      </c>
    </row>
    <row r="91" customFormat="false" ht="15" hidden="false" customHeight="false" outlineLevel="0" collapsed="false">
      <c r="A91" s="53" t="s">
        <v>845</v>
      </c>
      <c r="B91" s="19" t="s">
        <v>846</v>
      </c>
      <c r="C91" s="20" t="s">
        <v>32</v>
      </c>
      <c r="D91" s="53" t="s">
        <v>847</v>
      </c>
      <c r="E91" s="43" t="n">
        <v>3075.08609115371</v>
      </c>
      <c r="F91" s="43" t="n">
        <v>397060.004123336</v>
      </c>
      <c r="G91" s="43" t="n">
        <v>397506.805963547</v>
      </c>
      <c r="H91" s="43" t="n">
        <v>517754.801913758</v>
      </c>
      <c r="I91" s="43" t="n">
        <v>701531.065946904</v>
      </c>
      <c r="J91" s="43" t="n">
        <v>716502.478766394</v>
      </c>
      <c r="K91" s="43" t="n">
        <v>732257.699924879</v>
      </c>
      <c r="L91" s="43" t="n">
        <v>748367.369323227</v>
      </c>
    </row>
    <row r="92" customFormat="false" ht="15" hidden="false" customHeight="false" outlineLevel="0" collapsed="false">
      <c r="A92" s="53" t="s">
        <v>848</v>
      </c>
      <c r="B92" s="19" t="s">
        <v>849</v>
      </c>
      <c r="C92" s="20" t="s">
        <v>32</v>
      </c>
      <c r="D92" s="53" t="s">
        <v>850</v>
      </c>
      <c r="E92" s="43" t="n">
        <v>164955.048387097</v>
      </c>
      <c r="F92" s="43" t="n">
        <v>368986.003693548</v>
      </c>
      <c r="G92" s="43" t="n">
        <v>384335.8214472</v>
      </c>
      <c r="H92" s="43" t="n">
        <v>392791.209519038</v>
      </c>
      <c r="I92" s="43" t="n">
        <v>401432.616128457</v>
      </c>
      <c r="J92" s="43" t="n">
        <v>410264.133683283</v>
      </c>
      <c r="K92" s="43" t="n">
        <v>419289.944624316</v>
      </c>
      <c r="L92" s="43" t="n">
        <v>428514.323406051</v>
      </c>
    </row>
    <row r="93" customFormat="false" ht="15" hidden="false" customHeight="false" outlineLevel="0" collapsed="false">
      <c r="A93" s="53" t="s">
        <v>851</v>
      </c>
      <c r="B93" s="19" t="s">
        <v>852</v>
      </c>
      <c r="C93" s="20" t="s">
        <v>32</v>
      </c>
      <c r="D93" s="53" t="s">
        <v>853</v>
      </c>
      <c r="E93" s="43" t="n">
        <v>41184057.1428571</v>
      </c>
      <c r="F93" s="43" t="n">
        <v>100429276.190476</v>
      </c>
      <c r="G93" s="43" t="n">
        <v>1411428.57142857</v>
      </c>
      <c r="H93" s="43" t="n">
        <v>1411428.57142857</v>
      </c>
      <c r="I93" s="43" t="n">
        <v>1411428.57142857</v>
      </c>
      <c r="J93" s="43" t="n">
        <v>1411428.57142857</v>
      </c>
      <c r="K93" s="43" t="n">
        <v>1411428.57142857</v>
      </c>
      <c r="L93" s="43" t="n">
        <v>1411428.57142857</v>
      </c>
    </row>
    <row r="94" customFormat="false" ht="15" hidden="false" customHeight="false" outlineLevel="0" collapsed="false">
      <c r="A94" s="60"/>
      <c r="B94" s="10" t="s">
        <v>854</v>
      </c>
    </row>
    <row r="95" customFormat="false" ht="23.85" hidden="false" customHeight="false" outlineLevel="0" collapsed="false">
      <c r="A95" s="53" t="s">
        <v>855</v>
      </c>
      <c r="B95" s="19" t="s">
        <v>856</v>
      </c>
      <c r="C95" s="20" t="s">
        <v>32</v>
      </c>
      <c r="D95" s="53" t="s">
        <v>857</v>
      </c>
      <c r="E95" s="43" t="n">
        <v>2200000</v>
      </c>
      <c r="F95" s="43" t="n">
        <v>7800000</v>
      </c>
      <c r="G95" s="43" t="n">
        <v>0</v>
      </c>
      <c r="H95" s="43" t="n">
        <v>0</v>
      </c>
      <c r="I95" s="43" t="n">
        <v>0</v>
      </c>
      <c r="J95" s="43" t="n">
        <v>0</v>
      </c>
      <c r="K95" s="43" t="n">
        <v>0</v>
      </c>
      <c r="L95" s="43" t="n">
        <v>0</v>
      </c>
    </row>
    <row r="96" customFormat="false" ht="15" hidden="false" customHeight="false" outlineLevel="0" collapsed="false">
      <c r="A96" s="53" t="s">
        <v>858</v>
      </c>
      <c r="B96" s="19" t="s">
        <v>859</v>
      </c>
      <c r="C96" s="20" t="s">
        <v>32</v>
      </c>
      <c r="D96" s="53" t="s">
        <v>857</v>
      </c>
      <c r="E96" s="43" t="n">
        <v>0</v>
      </c>
      <c r="F96" s="43" t="n">
        <v>370370.37037037</v>
      </c>
      <c r="G96" s="43" t="n">
        <v>1111111.11111111</v>
      </c>
      <c r="H96" s="43" t="n">
        <v>1111111.11111111</v>
      </c>
      <c r="I96" s="43" t="n">
        <v>1111111.11111111</v>
      </c>
      <c r="J96" s="43" t="n">
        <v>1111111.11111111</v>
      </c>
      <c r="K96" s="43" t="n">
        <v>1111111.11111111</v>
      </c>
      <c r="L96" s="43" t="n">
        <v>1111111.11111111</v>
      </c>
    </row>
    <row r="97" customFormat="false" ht="23.85" hidden="false" customHeight="false" outlineLevel="0" collapsed="false">
      <c r="A97" s="53" t="s">
        <v>860</v>
      </c>
      <c r="B97" s="19" t="s">
        <v>861</v>
      </c>
      <c r="C97" s="20" t="s">
        <v>32</v>
      </c>
      <c r="D97" s="53" t="s">
        <v>862</v>
      </c>
      <c r="E97" s="43" t="n">
        <v>8000000</v>
      </c>
      <c r="F97" s="43" t="n">
        <v>0</v>
      </c>
      <c r="G97" s="43" t="n">
        <v>0</v>
      </c>
      <c r="H97" s="43" t="n">
        <v>0</v>
      </c>
      <c r="I97" s="43" t="n">
        <v>0</v>
      </c>
      <c r="J97" s="43" t="n">
        <v>0</v>
      </c>
      <c r="K97" s="43" t="n">
        <v>0</v>
      </c>
      <c r="L97" s="43" t="n">
        <v>0</v>
      </c>
    </row>
    <row r="98" customFormat="false" ht="15" hidden="false" customHeight="false" outlineLevel="0" collapsed="false">
      <c r="A98" s="53" t="s">
        <v>863</v>
      </c>
      <c r="B98" s="19" t="s">
        <v>864</v>
      </c>
      <c r="C98" s="20" t="s">
        <v>32</v>
      </c>
      <c r="D98" s="53" t="s">
        <v>862</v>
      </c>
      <c r="E98" s="43" t="n">
        <v>0</v>
      </c>
      <c r="F98" s="43" t="n">
        <v>296296.296296296</v>
      </c>
      <c r="G98" s="43" t="n">
        <v>888888.888888889</v>
      </c>
      <c r="H98" s="43" t="n">
        <v>888888.888888889</v>
      </c>
      <c r="I98" s="43" t="n">
        <v>888888.888888889</v>
      </c>
      <c r="J98" s="43" t="n">
        <v>888888.888888889</v>
      </c>
      <c r="K98" s="43" t="n">
        <v>888888.888888889</v>
      </c>
      <c r="L98" s="43" t="n">
        <v>888888.888888889</v>
      </c>
    </row>
    <row r="99" customFormat="false" ht="23.85" hidden="false" customHeight="false" outlineLevel="0" collapsed="false">
      <c r="A99" s="53" t="s">
        <v>865</v>
      </c>
      <c r="B99" s="19" t="s">
        <v>866</v>
      </c>
      <c r="C99" s="20" t="s">
        <v>32</v>
      </c>
      <c r="D99" s="53" t="s">
        <v>867</v>
      </c>
      <c r="E99" s="43" t="n">
        <v>3700000</v>
      </c>
      <c r="F99" s="43" t="n">
        <v>1300000</v>
      </c>
      <c r="G99" s="43" t="n">
        <v>0</v>
      </c>
      <c r="H99" s="43" t="n">
        <v>0</v>
      </c>
      <c r="I99" s="43" t="n">
        <v>0</v>
      </c>
      <c r="J99" s="43" t="n">
        <v>0</v>
      </c>
      <c r="K99" s="43" t="n">
        <v>0</v>
      </c>
      <c r="L99" s="43" t="n">
        <v>0</v>
      </c>
    </row>
    <row r="100" customFormat="false" ht="15" hidden="false" customHeight="false" outlineLevel="0" collapsed="false">
      <c r="A100" s="53" t="s">
        <v>868</v>
      </c>
      <c r="B100" s="19" t="s">
        <v>869</v>
      </c>
      <c r="C100" s="20" t="s">
        <v>32</v>
      </c>
      <c r="D100" s="53" t="s">
        <v>867</v>
      </c>
      <c r="E100" s="43" t="n">
        <v>0</v>
      </c>
      <c r="F100" s="43" t="n">
        <v>185185.185185185</v>
      </c>
      <c r="G100" s="43" t="n">
        <v>555555.555555556</v>
      </c>
      <c r="H100" s="43" t="n">
        <v>555555.555555556</v>
      </c>
      <c r="I100" s="43" t="n">
        <v>555555.555555556</v>
      </c>
      <c r="J100" s="43" t="n">
        <v>555555.555555556</v>
      </c>
      <c r="K100" s="43" t="n">
        <v>555555.555555556</v>
      </c>
      <c r="L100" s="43" t="n">
        <v>555555.555555556</v>
      </c>
    </row>
    <row r="101" customFormat="false" ht="23.85" hidden="false" customHeight="false" outlineLevel="0" collapsed="false">
      <c r="A101" s="53" t="s">
        <v>870</v>
      </c>
      <c r="B101" s="19" t="s">
        <v>871</v>
      </c>
      <c r="C101" s="20" t="s">
        <v>32</v>
      </c>
      <c r="D101" s="53" t="s">
        <v>872</v>
      </c>
      <c r="E101" s="43" t="n">
        <v>11500000</v>
      </c>
      <c r="F101" s="43" t="n">
        <v>70500000</v>
      </c>
      <c r="G101" s="43" t="n">
        <v>0</v>
      </c>
      <c r="H101" s="43" t="n">
        <v>0</v>
      </c>
      <c r="I101" s="43" t="n">
        <v>0</v>
      </c>
      <c r="J101" s="43" t="n">
        <v>0</v>
      </c>
      <c r="K101" s="43" t="n">
        <v>0</v>
      </c>
      <c r="L101" s="43" t="n">
        <v>0</v>
      </c>
    </row>
    <row r="102" customFormat="false" ht="15" hidden="false" customHeight="false" outlineLevel="0" collapsed="false">
      <c r="A102" s="53" t="s">
        <v>873</v>
      </c>
      <c r="B102" s="19" t="s">
        <v>874</v>
      </c>
      <c r="C102" s="20" t="s">
        <v>32</v>
      </c>
      <c r="D102" s="53" t="s">
        <v>872</v>
      </c>
      <c r="E102" s="43" t="n">
        <v>0</v>
      </c>
      <c r="F102" s="43" t="n">
        <v>3037037.03703704</v>
      </c>
      <c r="G102" s="43" t="n">
        <v>9111111.11111111</v>
      </c>
      <c r="H102" s="43" t="n">
        <v>9111111.11111111</v>
      </c>
      <c r="I102" s="43" t="n">
        <v>9111111.11111111</v>
      </c>
      <c r="J102" s="43" t="n">
        <v>9111111.11111111</v>
      </c>
      <c r="K102" s="43" t="n">
        <v>9111111.11111111</v>
      </c>
      <c r="L102" s="43" t="n">
        <v>9111111.11111111</v>
      </c>
    </row>
    <row r="103" customFormat="false" ht="23.85" hidden="false" customHeight="false" outlineLevel="0" collapsed="false">
      <c r="A103" s="53" t="s">
        <v>875</v>
      </c>
      <c r="B103" s="19" t="s">
        <v>876</v>
      </c>
      <c r="C103" s="20" t="s">
        <v>32</v>
      </c>
      <c r="D103" s="53" t="s">
        <v>877</v>
      </c>
      <c r="E103" s="43" t="n">
        <v>5000000</v>
      </c>
      <c r="F103" s="43" t="n">
        <v>0</v>
      </c>
      <c r="G103" s="43" t="n">
        <v>0</v>
      </c>
      <c r="H103" s="43" t="n">
        <v>0</v>
      </c>
      <c r="I103" s="43" t="n">
        <v>0</v>
      </c>
      <c r="J103" s="43" t="n">
        <v>0</v>
      </c>
      <c r="K103" s="43" t="n">
        <v>0</v>
      </c>
      <c r="L103" s="43" t="n">
        <v>0</v>
      </c>
    </row>
    <row r="104" customFormat="false" ht="15" hidden="false" customHeight="false" outlineLevel="0" collapsed="false">
      <c r="A104" s="53" t="s">
        <v>878</v>
      </c>
      <c r="B104" s="19" t="s">
        <v>879</v>
      </c>
      <c r="C104" s="20" t="s">
        <v>32</v>
      </c>
      <c r="D104" s="53" t="s">
        <v>877</v>
      </c>
      <c r="E104" s="43" t="n">
        <v>0</v>
      </c>
      <c r="F104" s="43" t="n">
        <v>185185.185185185</v>
      </c>
      <c r="G104" s="43" t="n">
        <v>555555.555555556</v>
      </c>
      <c r="H104" s="43" t="n">
        <v>555555.555555556</v>
      </c>
      <c r="I104" s="43" t="n">
        <v>555555.555555556</v>
      </c>
      <c r="J104" s="43" t="n">
        <v>555555.555555556</v>
      </c>
      <c r="K104" s="43" t="n">
        <v>555555.555555556</v>
      </c>
      <c r="L104" s="43" t="n">
        <v>555555.555555556</v>
      </c>
    </row>
    <row r="105" customFormat="false" ht="23.85" hidden="false" customHeight="false" outlineLevel="0" collapsed="false">
      <c r="A105" s="53" t="s">
        <v>880</v>
      </c>
      <c r="B105" s="19" t="s">
        <v>881</v>
      </c>
      <c r="C105" s="20" t="s">
        <v>32</v>
      </c>
      <c r="D105" s="53" t="s">
        <v>882</v>
      </c>
      <c r="E105" s="43" t="n">
        <v>200000</v>
      </c>
      <c r="F105" s="43" t="n">
        <v>4800000</v>
      </c>
      <c r="G105" s="43" t="n">
        <v>0</v>
      </c>
      <c r="H105" s="43" t="n">
        <v>0</v>
      </c>
      <c r="I105" s="43" t="n">
        <v>0</v>
      </c>
      <c r="J105" s="43" t="n">
        <v>0</v>
      </c>
      <c r="K105" s="43" t="n">
        <v>0</v>
      </c>
      <c r="L105" s="43" t="n">
        <v>0</v>
      </c>
    </row>
    <row r="106" customFormat="false" ht="15" hidden="false" customHeight="false" outlineLevel="0" collapsed="false">
      <c r="A106" s="53" t="s">
        <v>883</v>
      </c>
      <c r="B106" s="19" t="s">
        <v>884</v>
      </c>
      <c r="C106" s="20" t="s">
        <v>32</v>
      </c>
      <c r="D106" s="53" t="s">
        <v>882</v>
      </c>
      <c r="E106" s="43" t="n">
        <v>0</v>
      </c>
      <c r="F106" s="43" t="n">
        <v>185185.185185185</v>
      </c>
      <c r="G106" s="43" t="n">
        <v>555555.555555556</v>
      </c>
      <c r="H106" s="43" t="n">
        <v>555555.555555556</v>
      </c>
      <c r="I106" s="43" t="n">
        <v>555555.555555556</v>
      </c>
      <c r="J106" s="43" t="n">
        <v>555555.555555556</v>
      </c>
      <c r="K106" s="43" t="n">
        <v>555555.555555556</v>
      </c>
      <c r="L106" s="43" t="n">
        <v>555555.555555556</v>
      </c>
    </row>
    <row r="107" customFormat="false" ht="23.85" hidden="false" customHeight="false" outlineLevel="0" collapsed="false">
      <c r="A107" s="53" t="s">
        <v>885</v>
      </c>
      <c r="B107" s="19" t="s">
        <v>886</v>
      </c>
      <c r="C107" s="20" t="s">
        <v>32</v>
      </c>
      <c r="D107" s="53" t="s">
        <v>887</v>
      </c>
      <c r="E107" s="43" t="n">
        <v>3000000</v>
      </c>
      <c r="F107" s="43" t="n">
        <v>7000000</v>
      </c>
      <c r="G107" s="43" t="n">
        <v>0</v>
      </c>
      <c r="H107" s="43" t="n">
        <v>0</v>
      </c>
      <c r="I107" s="43" t="n">
        <v>0</v>
      </c>
      <c r="J107" s="43" t="n">
        <v>0</v>
      </c>
      <c r="K107" s="43" t="n">
        <v>0</v>
      </c>
      <c r="L107" s="43" t="n">
        <v>0</v>
      </c>
    </row>
    <row r="108" customFormat="false" ht="15" hidden="false" customHeight="false" outlineLevel="0" collapsed="false">
      <c r="A108" s="53" t="s">
        <v>888</v>
      </c>
      <c r="B108" s="19" t="s">
        <v>889</v>
      </c>
      <c r="C108" s="20" t="s">
        <v>32</v>
      </c>
      <c r="D108" s="53" t="s">
        <v>887</v>
      </c>
      <c r="E108" s="43" t="n">
        <v>0</v>
      </c>
      <c r="F108" s="43" t="n">
        <v>370370.37037037</v>
      </c>
      <c r="G108" s="43" t="n">
        <v>1111111.11111111</v>
      </c>
      <c r="H108" s="43" t="n">
        <v>1111111.11111111</v>
      </c>
      <c r="I108" s="43" t="n">
        <v>1111111.11111111</v>
      </c>
      <c r="J108" s="43" t="n">
        <v>1111111.11111111</v>
      </c>
      <c r="K108" s="43" t="n">
        <v>1111111.11111111</v>
      </c>
      <c r="L108" s="43" t="n">
        <v>1111111.11111111</v>
      </c>
    </row>
    <row r="109" customFormat="false" ht="23.85" hidden="false" customHeight="false" outlineLevel="0" collapsed="false">
      <c r="A109" s="53" t="s">
        <v>890</v>
      </c>
      <c r="B109" s="19" t="s">
        <v>891</v>
      </c>
      <c r="C109" s="20" t="s">
        <v>32</v>
      </c>
      <c r="D109" s="53" t="s">
        <v>892</v>
      </c>
      <c r="E109" s="43" t="n">
        <v>150000</v>
      </c>
      <c r="F109" s="43" t="n">
        <v>4850000</v>
      </c>
      <c r="G109" s="43" t="n">
        <v>0</v>
      </c>
      <c r="H109" s="43" t="n">
        <v>0</v>
      </c>
      <c r="I109" s="43" t="n">
        <v>0</v>
      </c>
      <c r="J109" s="43" t="n">
        <v>0</v>
      </c>
      <c r="K109" s="43" t="n">
        <v>0</v>
      </c>
      <c r="L109" s="43" t="n">
        <v>0</v>
      </c>
    </row>
    <row r="110" customFormat="false" ht="15" hidden="false" customHeight="false" outlineLevel="0" collapsed="false">
      <c r="A110" s="53" t="s">
        <v>893</v>
      </c>
      <c r="B110" s="19" t="s">
        <v>894</v>
      </c>
      <c r="C110" s="20" t="s">
        <v>32</v>
      </c>
      <c r="D110" s="53" t="s">
        <v>892</v>
      </c>
      <c r="E110" s="43" t="n">
        <v>0</v>
      </c>
      <c r="F110" s="43" t="n">
        <v>185185.185185185</v>
      </c>
      <c r="G110" s="43" t="n">
        <v>555555.555555556</v>
      </c>
      <c r="H110" s="43" t="n">
        <v>555555.555555556</v>
      </c>
      <c r="I110" s="43" t="n">
        <v>555555.555555556</v>
      </c>
      <c r="J110" s="43" t="n">
        <v>555555.555555556</v>
      </c>
      <c r="K110" s="43" t="n">
        <v>555555.555555556</v>
      </c>
      <c r="L110" s="43" t="n">
        <v>555555.555555556</v>
      </c>
    </row>
    <row r="111" customFormat="false" ht="23.85" hidden="false" customHeight="false" outlineLevel="0" collapsed="false">
      <c r="A111" s="53" t="s">
        <v>895</v>
      </c>
      <c r="B111" s="19" t="s">
        <v>896</v>
      </c>
      <c r="C111" s="20" t="s">
        <v>32</v>
      </c>
      <c r="D111" s="53" t="s">
        <v>897</v>
      </c>
      <c r="E111" s="43" t="n">
        <v>291200</v>
      </c>
      <c r="F111" s="43" t="n">
        <v>3708800</v>
      </c>
      <c r="G111" s="43" t="n">
        <v>0</v>
      </c>
      <c r="H111" s="43" t="n">
        <v>0</v>
      </c>
      <c r="I111" s="43" t="n">
        <v>0</v>
      </c>
      <c r="J111" s="43" t="n">
        <v>0</v>
      </c>
      <c r="K111" s="43" t="n">
        <v>0</v>
      </c>
      <c r="L111" s="43" t="n">
        <v>0</v>
      </c>
    </row>
    <row r="112" customFormat="false" ht="15" hidden="false" customHeight="false" outlineLevel="0" collapsed="false">
      <c r="A112" s="53" t="s">
        <v>898</v>
      </c>
      <c r="B112" s="19" t="s">
        <v>899</v>
      </c>
      <c r="C112" s="20" t="s">
        <v>32</v>
      </c>
      <c r="D112" s="53" t="s">
        <v>897</v>
      </c>
      <c r="E112" s="43" t="n">
        <v>0</v>
      </c>
      <c r="F112" s="43" t="n">
        <v>148148.148148148</v>
      </c>
      <c r="G112" s="43" t="n">
        <v>444444.444444444</v>
      </c>
      <c r="H112" s="43" t="n">
        <v>444444.444444444</v>
      </c>
      <c r="I112" s="43" t="n">
        <v>444444.444444444</v>
      </c>
      <c r="J112" s="43" t="n">
        <v>444444.444444444</v>
      </c>
      <c r="K112" s="43" t="n">
        <v>444444.444444444</v>
      </c>
      <c r="L112" s="43" t="n">
        <v>444444.444444444</v>
      </c>
    </row>
    <row r="113" customFormat="false" ht="23.85" hidden="false" customHeight="false" outlineLevel="0" collapsed="false">
      <c r="A113" s="53" t="s">
        <v>900</v>
      </c>
      <c r="B113" s="19" t="s">
        <v>901</v>
      </c>
      <c r="C113" s="20" t="s">
        <v>32</v>
      </c>
      <c r="D113" s="53" t="s">
        <v>902</v>
      </c>
      <c r="E113" s="43" t="n">
        <v>7142857.14285714</v>
      </c>
      <c r="F113" s="43" t="n">
        <v>0</v>
      </c>
      <c r="G113" s="43" t="n">
        <v>0</v>
      </c>
      <c r="H113" s="43" t="n">
        <v>0</v>
      </c>
      <c r="I113" s="43" t="n">
        <v>0</v>
      </c>
      <c r="J113" s="43" t="n">
        <v>0</v>
      </c>
      <c r="K113" s="43" t="n">
        <v>0</v>
      </c>
      <c r="L113" s="43" t="n">
        <v>0</v>
      </c>
    </row>
    <row r="114" customFormat="false" ht="23.85" hidden="false" customHeight="false" outlineLevel="0" collapsed="false">
      <c r="A114" s="53" t="s">
        <v>903</v>
      </c>
      <c r="B114" s="19" t="s">
        <v>904</v>
      </c>
      <c r="C114" s="20" t="s">
        <v>32</v>
      </c>
      <c r="D114" s="53" t="s">
        <v>902</v>
      </c>
      <c r="E114" s="43" t="n">
        <v>0</v>
      </c>
      <c r="F114" s="43" t="n">
        <v>264550.264550265</v>
      </c>
      <c r="G114" s="43" t="n">
        <v>793650.793650794</v>
      </c>
      <c r="H114" s="43" t="n">
        <v>793650.793650794</v>
      </c>
      <c r="I114" s="43" t="n">
        <v>793650.793650794</v>
      </c>
      <c r="J114" s="43" t="n">
        <v>793650.793650794</v>
      </c>
      <c r="K114" s="43" t="n">
        <v>793650.793650794</v>
      </c>
      <c r="L114" s="43" t="n">
        <v>793650.793650794</v>
      </c>
    </row>
    <row r="115" customFormat="false" ht="23.85" hidden="false" customHeight="false" outlineLevel="0" collapsed="false">
      <c r="A115" s="53" t="s">
        <v>905</v>
      </c>
      <c r="B115" s="19" t="s">
        <v>906</v>
      </c>
      <c r="C115" s="20" t="s">
        <v>32</v>
      </c>
      <c r="D115" s="53" t="s">
        <v>907</v>
      </c>
      <c r="E115" s="43" t="n">
        <v>0</v>
      </c>
      <c r="F115" s="43" t="n">
        <v>470476.190476191</v>
      </c>
      <c r="G115" s="43" t="n">
        <v>1411428.57142857</v>
      </c>
      <c r="H115" s="43" t="n">
        <v>1411428.57142857</v>
      </c>
      <c r="I115" s="43" t="n">
        <v>1411428.57142857</v>
      </c>
      <c r="J115" s="43" t="n">
        <v>1411428.57142857</v>
      </c>
      <c r="K115" s="43" t="n">
        <v>1411428.57142857</v>
      </c>
      <c r="L115" s="43" t="n">
        <v>1411428.57142857</v>
      </c>
    </row>
    <row r="116" customFormat="false" ht="23.85" hidden="false" customHeight="false" outlineLevel="0" collapsed="false">
      <c r="A116" s="53" t="s">
        <v>908</v>
      </c>
      <c r="B116" s="19" t="s">
        <v>909</v>
      </c>
      <c r="C116" s="20" t="s">
        <v>32</v>
      </c>
      <c r="D116" s="53" t="s">
        <v>907</v>
      </c>
      <c r="E116" s="43" t="n">
        <v>0</v>
      </c>
      <c r="F116" s="43" t="n">
        <v>9801.5873015873</v>
      </c>
      <c r="G116" s="43" t="n">
        <v>188190.476190476</v>
      </c>
      <c r="H116" s="43" t="n">
        <v>329333.333333333</v>
      </c>
      <c r="I116" s="43" t="n">
        <v>470476.190476191</v>
      </c>
      <c r="J116" s="43" t="n">
        <v>611619.047619048</v>
      </c>
      <c r="K116" s="43" t="n">
        <v>752761.904761905</v>
      </c>
      <c r="L116" s="43" t="n">
        <v>893904.761904762</v>
      </c>
    </row>
    <row r="117" customFormat="false" ht="15" hidden="false" customHeight="false" outlineLevel="0" collapsed="false">
      <c r="A117" s="60"/>
      <c r="B117" s="10" t="s">
        <v>910</v>
      </c>
    </row>
    <row r="118" customFormat="false" ht="15" hidden="false" customHeight="false" outlineLevel="0" collapsed="false">
      <c r="A118" s="53" t="s">
        <v>911</v>
      </c>
      <c r="B118" s="19" t="s">
        <v>912</v>
      </c>
      <c r="C118" s="20" t="s">
        <v>259</v>
      </c>
      <c r="D118" s="53" t="s">
        <v>913</v>
      </c>
      <c r="E118" s="81" t="n">
        <v>0</v>
      </c>
      <c r="F118" s="81" t="n">
        <v>90000</v>
      </c>
      <c r="G118" s="81" t="n">
        <v>350000</v>
      </c>
      <c r="H118" s="81" t="n">
        <v>450000</v>
      </c>
      <c r="I118" s="81" t="n">
        <v>600000</v>
      </c>
      <c r="J118" s="81" t="n">
        <v>600000</v>
      </c>
      <c r="K118" s="81" t="n">
        <v>600000</v>
      </c>
      <c r="L118" s="81" t="n">
        <v>600000</v>
      </c>
    </row>
    <row r="119" customFormat="false" ht="23.85" hidden="false" customHeight="false" outlineLevel="0" collapsed="false">
      <c r="A119" s="53" t="s">
        <v>914</v>
      </c>
      <c r="B119" s="19" t="s">
        <v>915</v>
      </c>
      <c r="C119" s="20" t="s">
        <v>32</v>
      </c>
      <c r="D119" s="53" t="s">
        <v>916</v>
      </c>
      <c r="E119" s="43" t="n">
        <v>0</v>
      </c>
      <c r="F119" s="43" t="n">
        <v>2410969.72377004</v>
      </c>
      <c r="G119" s="43" t="n">
        <v>9512989.03441278</v>
      </c>
      <c r="H119" s="43" t="n">
        <v>12500067.5912184</v>
      </c>
      <c r="I119" s="43" t="n">
        <v>17033425.4376336</v>
      </c>
      <c r="J119" s="43" t="n">
        <v>17408160.7972615</v>
      </c>
      <c r="K119" s="43" t="n">
        <v>17791140.3348013</v>
      </c>
      <c r="L119" s="43" t="n">
        <v>18182545.4221669</v>
      </c>
    </row>
    <row r="120" customFormat="false" ht="15" hidden="false" customHeight="false" outlineLevel="0" collapsed="false">
      <c r="A120" s="53" t="s">
        <v>917</v>
      </c>
      <c r="B120" s="19" t="s">
        <v>918</v>
      </c>
      <c r="C120" s="20" t="s">
        <v>259</v>
      </c>
      <c r="D120" s="53" t="s">
        <v>919</v>
      </c>
      <c r="E120" s="81" t="n">
        <v>0</v>
      </c>
      <c r="F120" s="81" t="n">
        <v>90000</v>
      </c>
      <c r="G120" s="81" t="n">
        <v>350000</v>
      </c>
      <c r="H120" s="81" t="n">
        <v>450000</v>
      </c>
      <c r="I120" s="81" t="n">
        <v>600000</v>
      </c>
      <c r="J120" s="81" t="n">
        <v>600000</v>
      </c>
      <c r="K120" s="81" t="n">
        <v>600000</v>
      </c>
      <c r="L120" s="81" t="n">
        <v>600000</v>
      </c>
    </row>
    <row r="121" customFormat="false" ht="23.85" hidden="false" customHeight="false" outlineLevel="0" collapsed="false">
      <c r="A121" s="53" t="s">
        <v>920</v>
      </c>
      <c r="B121" s="19" t="s">
        <v>921</v>
      </c>
      <c r="C121" s="20" t="s">
        <v>32</v>
      </c>
      <c r="D121" s="53" t="s">
        <v>922</v>
      </c>
      <c r="E121" s="43" t="n">
        <v>0</v>
      </c>
      <c r="F121" s="43" t="n">
        <v>1969415.46860118</v>
      </c>
      <c r="G121" s="43" t="n">
        <v>7770743.68553659</v>
      </c>
      <c r="H121" s="43" t="n">
        <v>10210757.2027951</v>
      </c>
      <c r="I121" s="43" t="n">
        <v>13913858.4816754</v>
      </c>
      <c r="J121" s="43" t="n">
        <v>14219963.3682723</v>
      </c>
      <c r="K121" s="43" t="n">
        <v>14532802.5623743</v>
      </c>
      <c r="L121" s="43" t="n">
        <v>14852524.2187465</v>
      </c>
    </row>
    <row r="122" customFormat="false" ht="15" hidden="false" customHeight="false" outlineLevel="0" collapsed="false">
      <c r="A122" s="53" t="s">
        <v>923</v>
      </c>
      <c r="B122" s="19" t="s">
        <v>924</v>
      </c>
      <c r="C122" s="20" t="s">
        <v>259</v>
      </c>
      <c r="D122" s="53" t="s">
        <v>925</v>
      </c>
      <c r="E122" s="81" t="n">
        <v>0</v>
      </c>
      <c r="F122" s="81" t="n">
        <v>663.024394463668</v>
      </c>
      <c r="G122" s="81" t="n">
        <v>2331.50380622837</v>
      </c>
      <c r="H122" s="81" t="n">
        <v>2521.43641868512</v>
      </c>
      <c r="I122" s="81" t="n">
        <v>3203.27765983275</v>
      </c>
      <c r="J122" s="81" t="n">
        <v>3079.6067726932</v>
      </c>
      <c r="K122" s="81" t="n">
        <v>3077.5562283737</v>
      </c>
      <c r="L122" s="81" t="n">
        <v>3077.5562283737</v>
      </c>
    </row>
    <row r="123" customFormat="false" ht="23.85" hidden="false" customHeight="false" outlineLevel="0" collapsed="false">
      <c r="A123" s="53" t="s">
        <v>926</v>
      </c>
      <c r="B123" s="19" t="s">
        <v>927</v>
      </c>
      <c r="C123" s="20" t="s">
        <v>32</v>
      </c>
      <c r="D123" s="53" t="s">
        <v>928</v>
      </c>
      <c r="E123" s="43" t="n">
        <v>0</v>
      </c>
      <c r="F123" s="43" t="n">
        <v>104402.000368876</v>
      </c>
      <c r="G123" s="43" t="n">
        <v>372490.452597637</v>
      </c>
      <c r="H123" s="43" t="n">
        <v>411697.219652573</v>
      </c>
      <c r="I123" s="43" t="n">
        <v>534534.07251507</v>
      </c>
      <c r="J123" s="43" t="n">
        <v>525202.724555411</v>
      </c>
      <c r="K123" s="43" t="n">
        <v>536399.786789737</v>
      </c>
      <c r="L123" s="43" t="n">
        <v>548200.582099111</v>
      </c>
    </row>
    <row r="124" customFormat="false" ht="15" hidden="false" customHeight="false" outlineLevel="0" collapsed="false">
      <c r="A124" s="53" t="s">
        <v>929</v>
      </c>
      <c r="B124" s="19" t="s">
        <v>930</v>
      </c>
      <c r="C124" s="20" t="s">
        <v>294</v>
      </c>
      <c r="D124" s="53" t="s">
        <v>931</v>
      </c>
      <c r="E124" s="81" t="n">
        <v>0</v>
      </c>
      <c r="F124" s="81" t="n">
        <v>90000</v>
      </c>
      <c r="G124" s="81" t="n">
        <v>350000</v>
      </c>
      <c r="H124" s="81" t="n">
        <v>450000</v>
      </c>
      <c r="I124" s="81" t="n">
        <v>600000</v>
      </c>
      <c r="J124" s="81" t="n">
        <v>600000</v>
      </c>
      <c r="K124" s="81" t="n">
        <v>600000</v>
      </c>
      <c r="L124" s="81" t="n">
        <v>600000</v>
      </c>
    </row>
    <row r="125" customFormat="false" ht="23.85" hidden="false" customHeight="false" outlineLevel="0" collapsed="false">
      <c r="A125" s="53" t="s">
        <v>932</v>
      </c>
      <c r="B125" s="19" t="s">
        <v>933</v>
      </c>
      <c r="C125" s="20" t="s">
        <v>32</v>
      </c>
      <c r="D125" s="53" t="s">
        <v>934</v>
      </c>
      <c r="E125" s="43" t="n">
        <v>0</v>
      </c>
      <c r="F125" s="43" t="n">
        <v>8206.78534754882</v>
      </c>
      <c r="G125" s="43" t="n">
        <v>32381.6007514734</v>
      </c>
      <c r="H125" s="43" t="n">
        <v>42549.423387436</v>
      </c>
      <c r="I125" s="43" t="n">
        <v>57980.6809359462</v>
      </c>
      <c r="J125" s="43" t="n">
        <v>59256.255916537</v>
      </c>
      <c r="K125" s="43" t="n">
        <v>60559.8935467008</v>
      </c>
      <c r="L125" s="43" t="n">
        <v>61892.2112047282</v>
      </c>
    </row>
    <row r="126" customFormat="false" ht="15" hidden="false" customHeight="false" outlineLevel="0" collapsed="false">
      <c r="A126" s="60"/>
      <c r="B126" s="10" t="s">
        <v>935</v>
      </c>
    </row>
    <row r="127" customFormat="false" ht="15" hidden="false" customHeight="false" outlineLevel="0" collapsed="false">
      <c r="A127" s="53" t="s">
        <v>936</v>
      </c>
      <c r="B127" s="19" t="s">
        <v>937</v>
      </c>
      <c r="C127" s="20" t="s">
        <v>938</v>
      </c>
      <c r="D127" s="53" t="s">
        <v>939</v>
      </c>
      <c r="E127" s="81" t="n">
        <v>2.6</v>
      </c>
      <c r="F127" s="81" t="n">
        <v>6.25</v>
      </c>
      <c r="G127" s="81" t="n">
        <v>7</v>
      </c>
      <c r="H127" s="81" t="n">
        <v>7</v>
      </c>
      <c r="I127" s="81" t="n">
        <v>7</v>
      </c>
      <c r="J127" s="81" t="n">
        <v>7</v>
      </c>
      <c r="K127" s="81" t="n">
        <v>7</v>
      </c>
      <c r="L127" s="81" t="n">
        <v>7</v>
      </c>
    </row>
    <row r="128" customFormat="false" ht="23.85" hidden="false" customHeight="false" outlineLevel="0" collapsed="false">
      <c r="A128" s="53" t="s">
        <v>940</v>
      </c>
      <c r="B128" s="19" t="s">
        <v>941</v>
      </c>
      <c r="C128" s="20" t="s">
        <v>32</v>
      </c>
      <c r="D128" s="53" t="s">
        <v>939</v>
      </c>
      <c r="E128" s="43" t="n">
        <v>6565.22222222222</v>
      </c>
      <c r="F128" s="43" t="n">
        <v>4421.29117063492</v>
      </c>
      <c r="G128" s="43" t="n">
        <v>4151.96428571429</v>
      </c>
      <c r="H128" s="43" t="n">
        <v>4151.96428571429</v>
      </c>
      <c r="I128" s="43" t="n">
        <v>4151.96428571429</v>
      </c>
      <c r="J128" s="43" t="n">
        <v>4151.96428571429</v>
      </c>
      <c r="K128" s="43" t="n">
        <v>4151.96428571429</v>
      </c>
      <c r="L128" s="43" t="n">
        <v>4151.96428571429</v>
      </c>
    </row>
    <row r="129" customFormat="false" ht="15" hidden="false" customHeight="false" outlineLevel="0" collapsed="false">
      <c r="A129" s="53" t="s">
        <v>942</v>
      </c>
      <c r="B129" s="19" t="s">
        <v>943</v>
      </c>
      <c r="C129" s="20" t="s">
        <v>32</v>
      </c>
      <c r="D129" s="53" t="s">
        <v>939</v>
      </c>
      <c r="E129" s="43" t="n">
        <v>74478.3333333333</v>
      </c>
      <c r="F129" s="43" t="n">
        <v>335827.9225</v>
      </c>
      <c r="G129" s="43" t="n">
        <v>364279.46226</v>
      </c>
      <c r="H129" s="43" t="n">
        <v>372293.61042972</v>
      </c>
      <c r="I129" s="43" t="n">
        <v>380484.069859174</v>
      </c>
      <c r="J129" s="43" t="n">
        <v>388854.719396076</v>
      </c>
      <c r="K129" s="43" t="n">
        <v>397409.523222789</v>
      </c>
      <c r="L129" s="43" t="n">
        <v>406152.532733691</v>
      </c>
    </row>
    <row r="130" customFormat="false" ht="15" hidden="false" customHeight="false" outlineLevel="0" collapsed="false">
      <c r="A130" s="53" t="s">
        <v>944</v>
      </c>
      <c r="B130" s="19" t="s">
        <v>945</v>
      </c>
      <c r="C130" s="20" t="s">
        <v>938</v>
      </c>
      <c r="D130" s="53" t="s">
        <v>946</v>
      </c>
      <c r="E130" s="81" t="n">
        <v>1</v>
      </c>
      <c r="F130" s="81" t="n">
        <v>1.75</v>
      </c>
      <c r="G130" s="81" t="n">
        <v>2</v>
      </c>
      <c r="H130" s="81" t="n">
        <v>2</v>
      </c>
      <c r="I130" s="81" t="n">
        <v>2</v>
      </c>
      <c r="J130" s="81" t="n">
        <v>2</v>
      </c>
      <c r="K130" s="81" t="n">
        <v>2</v>
      </c>
      <c r="L130" s="81" t="n">
        <v>2</v>
      </c>
    </row>
    <row r="131" customFormat="false" ht="23.85" hidden="false" customHeight="false" outlineLevel="0" collapsed="false">
      <c r="A131" s="53" t="s">
        <v>947</v>
      </c>
      <c r="B131" s="19" t="s">
        <v>948</v>
      </c>
      <c r="C131" s="20" t="s">
        <v>32</v>
      </c>
      <c r="D131" s="53" t="s">
        <v>946</v>
      </c>
      <c r="E131" s="43" t="n">
        <v>10548.5</v>
      </c>
      <c r="F131" s="43" t="n">
        <v>9152.375</v>
      </c>
      <c r="G131" s="43" t="n">
        <v>8687</v>
      </c>
      <c r="H131" s="43" t="n">
        <v>8687</v>
      </c>
      <c r="I131" s="43" t="n">
        <v>8687</v>
      </c>
      <c r="J131" s="43" t="n">
        <v>8687</v>
      </c>
      <c r="K131" s="43" t="n">
        <v>8687</v>
      </c>
      <c r="L131" s="43" t="n">
        <v>8687</v>
      </c>
    </row>
    <row r="132" customFormat="false" ht="23.85" hidden="false" customHeight="false" outlineLevel="0" collapsed="false">
      <c r="A132" s="53" t="s">
        <v>949</v>
      </c>
      <c r="B132" s="19" t="s">
        <v>950</v>
      </c>
      <c r="C132" s="20" t="s">
        <v>32</v>
      </c>
      <c r="D132" s="53" t="s">
        <v>946</v>
      </c>
      <c r="E132" s="43" t="n">
        <v>52742.5</v>
      </c>
      <c r="F132" s="43" t="n">
        <v>192147.753</v>
      </c>
      <c r="G132" s="43" t="n">
        <v>217762.380192</v>
      </c>
      <c r="H132" s="43" t="n">
        <v>222553.152556224</v>
      </c>
      <c r="I132" s="43" t="n">
        <v>227449.321912461</v>
      </c>
      <c r="J132" s="43" t="n">
        <v>232453.206994535</v>
      </c>
      <c r="K132" s="43" t="n">
        <v>237567.177548415</v>
      </c>
      <c r="L132" s="43" t="n">
        <v>242793.65545448</v>
      </c>
    </row>
    <row r="133" customFormat="false" ht="15" hidden="false" customHeight="false" outlineLevel="0" collapsed="false">
      <c r="A133" s="53" t="s">
        <v>951</v>
      </c>
      <c r="B133" s="19" t="s">
        <v>952</v>
      </c>
      <c r="C133" s="20" t="s">
        <v>938</v>
      </c>
      <c r="D133" s="53" t="s">
        <v>953</v>
      </c>
      <c r="E133" s="81" t="n">
        <v>5</v>
      </c>
      <c r="F133" s="81" t="n">
        <v>9.5</v>
      </c>
      <c r="G133" s="81" t="n">
        <v>10</v>
      </c>
      <c r="H133" s="81" t="n">
        <v>10</v>
      </c>
      <c r="I133" s="81" t="n">
        <v>10</v>
      </c>
      <c r="J133" s="81" t="n">
        <v>10</v>
      </c>
      <c r="K133" s="81" t="n">
        <v>10</v>
      </c>
      <c r="L133" s="81" t="n">
        <v>10</v>
      </c>
    </row>
    <row r="134" customFormat="false" ht="23.85" hidden="false" customHeight="false" outlineLevel="0" collapsed="false">
      <c r="A134" s="53" t="s">
        <v>954</v>
      </c>
      <c r="B134" s="19" t="s">
        <v>955</v>
      </c>
      <c r="C134" s="20" t="s">
        <v>32</v>
      </c>
      <c r="D134" s="53" t="s">
        <v>953</v>
      </c>
      <c r="E134" s="43" t="n">
        <v>5436.46642857143</v>
      </c>
      <c r="F134" s="43" t="n">
        <v>4739.06875</v>
      </c>
      <c r="G134" s="43" t="n">
        <v>4715.8</v>
      </c>
      <c r="H134" s="43" t="n">
        <v>4715.8</v>
      </c>
      <c r="I134" s="43" t="n">
        <v>4715.8</v>
      </c>
      <c r="J134" s="43" t="n">
        <v>4715.8</v>
      </c>
      <c r="K134" s="43" t="n">
        <v>4715.8</v>
      </c>
      <c r="L134" s="43" t="n">
        <v>4715.8</v>
      </c>
    </row>
    <row r="135" customFormat="false" ht="23.85" hidden="false" customHeight="false" outlineLevel="0" collapsed="false">
      <c r="A135" s="53" t="s">
        <v>956</v>
      </c>
      <c r="B135" s="19" t="s">
        <v>957</v>
      </c>
      <c r="C135" s="20" t="s">
        <v>32</v>
      </c>
      <c r="D135" s="53" t="s">
        <v>953</v>
      </c>
      <c r="E135" s="43" t="n">
        <v>127202.5</v>
      </c>
      <c r="F135" s="43" t="n">
        <v>551711.37</v>
      </c>
      <c r="G135" s="43" t="n">
        <v>591069.317664</v>
      </c>
      <c r="H135" s="43" t="n">
        <v>604072.842652608</v>
      </c>
      <c r="I135" s="43" t="n">
        <v>617362.445190965</v>
      </c>
      <c r="J135" s="43" t="n">
        <v>630944.418985167</v>
      </c>
      <c r="K135" s="43" t="n">
        <v>644825.19620284</v>
      </c>
      <c r="L135" s="43" t="n">
        <v>659011.350519303</v>
      </c>
    </row>
    <row r="136" customFormat="false" ht="15" hidden="false" customHeight="false" outlineLevel="0" collapsed="false">
      <c r="A136" s="53" t="s">
        <v>958</v>
      </c>
      <c r="B136" s="19" t="s">
        <v>959</v>
      </c>
      <c r="C136" s="20" t="s">
        <v>938</v>
      </c>
      <c r="D136" s="53" t="s">
        <v>960</v>
      </c>
      <c r="E136" s="81" t="n">
        <v>4</v>
      </c>
      <c r="F136" s="81" t="n">
        <v>23.5</v>
      </c>
      <c r="G136" s="81" t="n">
        <v>31</v>
      </c>
      <c r="H136" s="81" t="n">
        <v>31</v>
      </c>
      <c r="I136" s="81" t="n">
        <v>31</v>
      </c>
      <c r="J136" s="81" t="n">
        <v>31</v>
      </c>
      <c r="K136" s="81" t="n">
        <v>31</v>
      </c>
      <c r="L136" s="81" t="n">
        <v>31</v>
      </c>
    </row>
    <row r="137" customFormat="false" ht="23.85" hidden="false" customHeight="false" outlineLevel="0" collapsed="false">
      <c r="A137" s="53" t="s">
        <v>961</v>
      </c>
      <c r="B137" s="19" t="s">
        <v>962</v>
      </c>
      <c r="C137" s="20" t="s">
        <v>32</v>
      </c>
      <c r="D137" s="53" t="s">
        <v>960</v>
      </c>
      <c r="E137" s="43" t="n">
        <v>2389.66369047619</v>
      </c>
      <c r="F137" s="43" t="n">
        <v>2448.03904363713</v>
      </c>
      <c r="G137" s="43" t="n">
        <v>2318.53494623656</v>
      </c>
      <c r="H137" s="43" t="n">
        <v>2318.53494623656</v>
      </c>
      <c r="I137" s="43" t="n">
        <v>2318.53494623656</v>
      </c>
      <c r="J137" s="43" t="n">
        <v>2318.53494623656</v>
      </c>
      <c r="K137" s="43" t="n">
        <v>2318.53494623656</v>
      </c>
      <c r="L137" s="43" t="n">
        <v>2318.53494623656</v>
      </c>
    </row>
    <row r="138" customFormat="false" ht="15" hidden="false" customHeight="false" outlineLevel="0" collapsed="false">
      <c r="A138" s="53" t="s">
        <v>963</v>
      </c>
      <c r="B138" s="19" t="s">
        <v>964</v>
      </c>
      <c r="C138" s="20" t="s">
        <v>32</v>
      </c>
      <c r="D138" s="53" t="s">
        <v>960</v>
      </c>
      <c r="E138" s="43" t="n">
        <v>39298.3333333333</v>
      </c>
      <c r="F138" s="43" t="n">
        <v>694289.653166667</v>
      </c>
      <c r="G138" s="43" t="n">
        <v>900862.22758</v>
      </c>
      <c r="H138" s="43" t="n">
        <v>920681.19658676</v>
      </c>
      <c r="I138" s="43" t="n">
        <v>940936.182911669</v>
      </c>
      <c r="J138" s="43" t="n">
        <v>961636.778935726</v>
      </c>
      <c r="K138" s="43" t="n">
        <v>982792.788072311</v>
      </c>
      <c r="L138" s="43" t="n">
        <v>1004414.2294099</v>
      </c>
    </row>
    <row r="139" customFormat="false" ht="15" hidden="false" customHeight="false" outlineLevel="0" collapsed="false">
      <c r="A139" s="53" t="s">
        <v>965</v>
      </c>
      <c r="B139" s="19" t="s">
        <v>966</v>
      </c>
      <c r="C139" s="20" t="s">
        <v>938</v>
      </c>
      <c r="D139" s="53" t="s">
        <v>967</v>
      </c>
      <c r="E139" s="81" t="n">
        <v>4.2</v>
      </c>
      <c r="F139" s="81" t="n">
        <v>8</v>
      </c>
      <c r="G139" s="81" t="n">
        <v>8</v>
      </c>
      <c r="H139" s="81" t="n">
        <v>8</v>
      </c>
      <c r="I139" s="81" t="n">
        <v>8</v>
      </c>
      <c r="J139" s="81" t="n">
        <v>8</v>
      </c>
      <c r="K139" s="81" t="n">
        <v>8</v>
      </c>
      <c r="L139" s="81" t="n">
        <v>8</v>
      </c>
    </row>
    <row r="140" customFormat="false" ht="23.85" hidden="false" customHeight="false" outlineLevel="0" collapsed="false">
      <c r="A140" s="53" t="s">
        <v>968</v>
      </c>
      <c r="B140" s="19" t="s">
        <v>969</v>
      </c>
      <c r="C140" s="20" t="s">
        <v>32</v>
      </c>
      <c r="D140" s="53" t="s">
        <v>967</v>
      </c>
      <c r="E140" s="43" t="n">
        <v>6695.49047619048</v>
      </c>
      <c r="F140" s="43" t="n">
        <v>5584.5</v>
      </c>
      <c r="G140" s="43" t="n">
        <v>5584.5</v>
      </c>
      <c r="H140" s="43" t="n">
        <v>5584.5</v>
      </c>
      <c r="I140" s="43" t="n">
        <v>5584.5</v>
      </c>
      <c r="J140" s="43" t="n">
        <v>5584.5</v>
      </c>
      <c r="K140" s="43" t="n">
        <v>5584.5</v>
      </c>
      <c r="L140" s="43" t="n">
        <v>5584.5</v>
      </c>
    </row>
    <row r="141" customFormat="false" ht="23.85" hidden="false" customHeight="false" outlineLevel="0" collapsed="false">
      <c r="A141" s="53" t="s">
        <v>970</v>
      </c>
      <c r="B141" s="19" t="s">
        <v>971</v>
      </c>
      <c r="C141" s="20" t="s">
        <v>32</v>
      </c>
      <c r="D141" s="53" t="s">
        <v>967</v>
      </c>
      <c r="E141" s="43" t="n">
        <v>125961.5</v>
      </c>
      <c r="F141" s="43" t="n">
        <v>547906.464</v>
      </c>
      <c r="G141" s="43" t="n">
        <v>559960.406208</v>
      </c>
      <c r="H141" s="43" t="n">
        <v>572279.535144576</v>
      </c>
      <c r="I141" s="43" t="n">
        <v>584869.684917757</v>
      </c>
      <c r="J141" s="43" t="n">
        <v>597736.817985947</v>
      </c>
      <c r="K141" s="43" t="n">
        <v>610887.027981638</v>
      </c>
      <c r="L141" s="43" t="n">
        <v>624326.542597234</v>
      </c>
    </row>
    <row r="142" customFormat="false" ht="15" hidden="false" customHeight="false" outlineLevel="0" collapsed="false">
      <c r="A142" s="53" t="s">
        <v>972</v>
      </c>
      <c r="B142" s="19" t="s">
        <v>973</v>
      </c>
      <c r="C142" s="20" t="s">
        <v>938</v>
      </c>
      <c r="D142" s="53" t="s">
        <v>974</v>
      </c>
      <c r="E142" s="81" t="n">
        <v>10</v>
      </c>
      <c r="F142" s="81" t="n">
        <v>29</v>
      </c>
      <c r="G142" s="81" t="n">
        <v>32</v>
      </c>
      <c r="H142" s="81" t="n">
        <v>32</v>
      </c>
      <c r="I142" s="81" t="n">
        <v>32</v>
      </c>
      <c r="J142" s="81" t="n">
        <v>32</v>
      </c>
      <c r="K142" s="81" t="n">
        <v>32</v>
      </c>
      <c r="L142" s="81" t="n">
        <v>32</v>
      </c>
    </row>
    <row r="143" customFormat="false" ht="23.85" hidden="false" customHeight="false" outlineLevel="0" collapsed="false">
      <c r="A143" s="53" t="s">
        <v>975</v>
      </c>
      <c r="B143" s="19" t="s">
        <v>976</v>
      </c>
      <c r="C143" s="20" t="s">
        <v>32</v>
      </c>
      <c r="D143" s="53" t="s">
        <v>974</v>
      </c>
      <c r="E143" s="43" t="n">
        <v>849.019494949495</v>
      </c>
      <c r="F143" s="43" t="n">
        <v>959.189583333334</v>
      </c>
      <c r="G143" s="43" t="n">
        <v>982.458333333334</v>
      </c>
      <c r="H143" s="43" t="n">
        <v>982.458333333334</v>
      </c>
      <c r="I143" s="43" t="n">
        <v>982.458333333334</v>
      </c>
      <c r="J143" s="43" t="n">
        <v>982.458333333334</v>
      </c>
      <c r="K143" s="43" t="n">
        <v>982.458333333334</v>
      </c>
      <c r="L143" s="43" t="n">
        <v>982.458333333334</v>
      </c>
    </row>
    <row r="144" customFormat="false" ht="23.85" hidden="false" customHeight="false" outlineLevel="0" collapsed="false">
      <c r="A144" s="53" t="s">
        <v>977</v>
      </c>
      <c r="B144" s="19" t="s">
        <v>978</v>
      </c>
      <c r="C144" s="20" t="s">
        <v>32</v>
      </c>
      <c r="D144" s="53" t="s">
        <v>974</v>
      </c>
      <c r="E144" s="43" t="n">
        <v>39712</v>
      </c>
      <c r="F144" s="43" t="n">
        <v>343709.842</v>
      </c>
      <c r="G144" s="43" t="n">
        <v>394046.211776</v>
      </c>
      <c r="H144" s="43" t="n">
        <v>402715.228435072</v>
      </c>
      <c r="I144" s="43" t="n">
        <v>411574.963460644</v>
      </c>
      <c r="J144" s="43" t="n">
        <v>420629.612656778</v>
      </c>
      <c r="K144" s="43" t="n">
        <v>429883.464135227</v>
      </c>
      <c r="L144" s="43" t="n">
        <v>439340.900346202</v>
      </c>
    </row>
    <row r="145" customFormat="false" ht="23.85" hidden="false" customHeight="false" outlineLevel="0" collapsed="false">
      <c r="A145" s="53" t="s">
        <v>979</v>
      </c>
      <c r="B145" s="19" t="s">
        <v>980</v>
      </c>
      <c r="C145" s="20" t="s">
        <v>938</v>
      </c>
      <c r="D145" s="53" t="s">
        <v>981</v>
      </c>
      <c r="E145" s="81" t="n">
        <v>1.6</v>
      </c>
      <c r="F145" s="81" t="n">
        <v>7.08333333333333</v>
      </c>
      <c r="G145" s="81" t="n">
        <v>9</v>
      </c>
      <c r="H145" s="81" t="n">
        <v>9</v>
      </c>
      <c r="I145" s="81" t="n">
        <v>9</v>
      </c>
      <c r="J145" s="81" t="n">
        <v>9</v>
      </c>
      <c r="K145" s="81" t="n">
        <v>9</v>
      </c>
      <c r="L145" s="81" t="n">
        <v>9</v>
      </c>
    </row>
    <row r="146" customFormat="false" ht="23.85" hidden="false" customHeight="false" outlineLevel="0" collapsed="false">
      <c r="A146" s="53" t="s">
        <v>982</v>
      </c>
      <c r="B146" s="19" t="s">
        <v>983</v>
      </c>
      <c r="C146" s="20" t="s">
        <v>32</v>
      </c>
      <c r="D146" s="53" t="s">
        <v>981</v>
      </c>
      <c r="E146" s="43" t="n">
        <v>7818.3</v>
      </c>
      <c r="F146" s="43" t="n">
        <v>5044.43518518519</v>
      </c>
      <c r="G146" s="43" t="n">
        <v>4481.38888888889</v>
      </c>
      <c r="H146" s="43" t="n">
        <v>4481.38888888889</v>
      </c>
      <c r="I146" s="43" t="n">
        <v>4481.38888888889</v>
      </c>
      <c r="J146" s="43" t="n">
        <v>4481.38888888889</v>
      </c>
      <c r="K146" s="43" t="n">
        <v>4481.38888888889</v>
      </c>
      <c r="L146" s="43" t="n">
        <v>4481.38888888889</v>
      </c>
    </row>
    <row r="147" customFormat="false" ht="23.85" hidden="false" customHeight="false" outlineLevel="0" collapsed="false">
      <c r="A147" s="53" t="s">
        <v>984</v>
      </c>
      <c r="B147" s="19" t="s">
        <v>985</v>
      </c>
      <c r="C147" s="20" t="s">
        <v>32</v>
      </c>
      <c r="D147" s="53" t="s">
        <v>981</v>
      </c>
      <c r="E147" s="43" t="n">
        <v>59568</v>
      </c>
      <c r="F147" s="43" t="n">
        <v>416637.207</v>
      </c>
      <c r="G147" s="43" t="n">
        <v>505519.81116</v>
      </c>
      <c r="H147" s="43" t="n">
        <v>516641.24700552</v>
      </c>
      <c r="I147" s="43" t="n">
        <v>528007.354439642</v>
      </c>
      <c r="J147" s="43" t="n">
        <v>539623.516237314</v>
      </c>
      <c r="K147" s="43" t="n">
        <v>551495.233594535</v>
      </c>
      <c r="L147" s="43" t="n">
        <v>563628.128733614</v>
      </c>
    </row>
    <row r="148" customFormat="false" ht="15" hidden="false" customHeight="false" outlineLevel="0" collapsed="false">
      <c r="A148" s="53" t="s">
        <v>986</v>
      </c>
      <c r="B148" s="19" t="s">
        <v>987</v>
      </c>
      <c r="C148" s="20" t="s">
        <v>938</v>
      </c>
      <c r="D148" s="53" t="s">
        <v>988</v>
      </c>
      <c r="E148" s="81" t="n">
        <v>1</v>
      </c>
      <c r="F148" s="81" t="n">
        <v>26</v>
      </c>
      <c r="G148" s="81" t="n">
        <v>47</v>
      </c>
      <c r="H148" s="81" t="n">
        <v>47</v>
      </c>
      <c r="I148" s="81" t="n">
        <v>47</v>
      </c>
      <c r="J148" s="81" t="n">
        <v>47</v>
      </c>
      <c r="K148" s="81" t="n">
        <v>47</v>
      </c>
      <c r="L148" s="81" t="n">
        <v>47</v>
      </c>
    </row>
    <row r="149" customFormat="false" ht="23.85" hidden="false" customHeight="false" outlineLevel="0" collapsed="false">
      <c r="A149" s="53" t="s">
        <v>989</v>
      </c>
      <c r="B149" s="19" t="s">
        <v>990</v>
      </c>
      <c r="C149" s="20" t="s">
        <v>32</v>
      </c>
      <c r="D149" s="53" t="s">
        <v>988</v>
      </c>
      <c r="E149" s="43" t="n">
        <v>2585.41666666667</v>
      </c>
      <c r="F149" s="43" t="n">
        <v>1335.61932295771</v>
      </c>
      <c r="G149" s="43" t="n">
        <v>1111.17907801418</v>
      </c>
      <c r="H149" s="43" t="n">
        <v>1111.17907801418</v>
      </c>
      <c r="I149" s="43" t="n">
        <v>1111.17907801418</v>
      </c>
      <c r="J149" s="43" t="n">
        <v>1111.17907801418</v>
      </c>
      <c r="K149" s="43" t="n">
        <v>1111.17907801418</v>
      </c>
      <c r="L149" s="43" t="n">
        <v>1111.17907801418</v>
      </c>
    </row>
    <row r="150" customFormat="false" ht="23.85" hidden="false" customHeight="false" outlineLevel="0" collapsed="false">
      <c r="A150" s="53" t="s">
        <v>991</v>
      </c>
      <c r="B150" s="19" t="s">
        <v>992</v>
      </c>
      <c r="C150" s="20" t="s">
        <v>32</v>
      </c>
      <c r="D150" s="53" t="s">
        <v>988</v>
      </c>
      <c r="E150" s="43" t="n">
        <v>7756.25</v>
      </c>
      <c r="F150" s="43" t="n">
        <v>369921.416666667</v>
      </c>
      <c r="G150" s="43" t="n">
        <v>654583.34522</v>
      </c>
      <c r="H150" s="43" t="n">
        <v>668984.17881484</v>
      </c>
      <c r="I150" s="43" t="n">
        <v>683701.830748767</v>
      </c>
      <c r="J150" s="43" t="n">
        <v>698743.271025239</v>
      </c>
      <c r="K150" s="43" t="n">
        <v>714115.622987795</v>
      </c>
      <c r="L150" s="43" t="n">
        <v>729826.166693526</v>
      </c>
    </row>
    <row r="151" customFormat="false" ht="23.85" hidden="false" customHeight="false" outlineLevel="0" collapsed="false">
      <c r="A151" s="53" t="s">
        <v>993</v>
      </c>
      <c r="B151" s="19" t="s">
        <v>994</v>
      </c>
      <c r="C151" s="20" t="s">
        <v>938</v>
      </c>
      <c r="D151" s="53" t="s">
        <v>995</v>
      </c>
      <c r="E151" s="81" t="n">
        <v>2.75</v>
      </c>
      <c r="F151" s="81" t="n">
        <v>7.41666666666667</v>
      </c>
      <c r="G151" s="81" t="n">
        <v>9</v>
      </c>
      <c r="H151" s="81" t="n">
        <v>9</v>
      </c>
      <c r="I151" s="81" t="n">
        <v>9</v>
      </c>
      <c r="J151" s="81" t="n">
        <v>9</v>
      </c>
      <c r="K151" s="81" t="n">
        <v>9</v>
      </c>
      <c r="L151" s="81" t="n">
        <v>9</v>
      </c>
    </row>
    <row r="152" customFormat="false" ht="23.85" hidden="false" customHeight="false" outlineLevel="0" collapsed="false">
      <c r="A152" s="53" t="s">
        <v>996</v>
      </c>
      <c r="B152" s="19" t="s">
        <v>997</v>
      </c>
      <c r="C152" s="20" t="s">
        <v>32</v>
      </c>
      <c r="D152" s="53" t="s">
        <v>995</v>
      </c>
      <c r="E152" s="43" t="n">
        <v>4808.875</v>
      </c>
      <c r="F152" s="43" t="n">
        <v>4678.88599537037</v>
      </c>
      <c r="G152" s="43" t="n">
        <v>4205.61111111111</v>
      </c>
      <c r="H152" s="43" t="n">
        <v>4205.61111111111</v>
      </c>
      <c r="I152" s="43" t="n">
        <v>4205.61111111111</v>
      </c>
      <c r="J152" s="43" t="n">
        <v>4205.61111111111</v>
      </c>
      <c r="K152" s="43" t="n">
        <v>4205.61111111111</v>
      </c>
      <c r="L152" s="43" t="n">
        <v>4205.61111111111</v>
      </c>
    </row>
    <row r="153" customFormat="false" ht="23.85" hidden="false" customHeight="false" outlineLevel="0" collapsed="false">
      <c r="A153" s="53" t="s">
        <v>998</v>
      </c>
      <c r="B153" s="19" t="s">
        <v>999</v>
      </c>
      <c r="C153" s="20" t="s">
        <v>32</v>
      </c>
      <c r="D153" s="53" t="s">
        <v>995</v>
      </c>
      <c r="E153" s="43" t="n">
        <v>57086</v>
      </c>
      <c r="F153" s="43" t="n">
        <v>408393.244</v>
      </c>
      <c r="G153" s="43" t="n">
        <v>474410.899704</v>
      </c>
      <c r="H153" s="43" t="n">
        <v>484847.939497488</v>
      </c>
      <c r="I153" s="43" t="n">
        <v>495514.594166433</v>
      </c>
      <c r="J153" s="43" t="n">
        <v>506415.915238094</v>
      </c>
      <c r="K153" s="43" t="n">
        <v>517557.065373332</v>
      </c>
      <c r="L153" s="43" t="n">
        <v>528943.320811546</v>
      </c>
    </row>
    <row r="154" customFormat="false" ht="23.85" hidden="false" customHeight="false" outlineLevel="0" collapsed="false">
      <c r="A154" s="53" t="s">
        <v>1000</v>
      </c>
      <c r="B154" s="19" t="s">
        <v>1001</v>
      </c>
      <c r="C154" s="20" t="s">
        <v>938</v>
      </c>
      <c r="D154" s="53" t="s">
        <v>1002</v>
      </c>
      <c r="E154" s="81" t="n">
        <v>1</v>
      </c>
      <c r="F154" s="81" t="n">
        <v>19.3333333333333</v>
      </c>
      <c r="G154" s="81" t="n">
        <v>33</v>
      </c>
      <c r="H154" s="81" t="n">
        <v>33</v>
      </c>
      <c r="I154" s="81" t="n">
        <v>33</v>
      </c>
      <c r="J154" s="81" t="n">
        <v>33</v>
      </c>
      <c r="K154" s="81" t="n">
        <v>33</v>
      </c>
      <c r="L154" s="81" t="n">
        <v>33</v>
      </c>
    </row>
    <row r="155" customFormat="false" ht="23.85" hidden="false" customHeight="false" outlineLevel="0" collapsed="false">
      <c r="A155" s="53" t="s">
        <v>1003</v>
      </c>
      <c r="B155" s="19" t="s">
        <v>1004</v>
      </c>
      <c r="C155" s="20" t="s">
        <v>32</v>
      </c>
      <c r="D155" s="53" t="s">
        <v>1002</v>
      </c>
      <c r="E155" s="43" t="n">
        <v>1034.16666666667</v>
      </c>
      <c r="F155" s="43" t="n">
        <v>1373.30673926768</v>
      </c>
      <c r="G155" s="43" t="n">
        <v>1391.42424242424</v>
      </c>
      <c r="H155" s="43" t="n">
        <v>1391.42424242424</v>
      </c>
      <c r="I155" s="43" t="n">
        <v>1391.42424242424</v>
      </c>
      <c r="J155" s="43" t="n">
        <v>1391.42424242424</v>
      </c>
      <c r="K155" s="43" t="n">
        <v>1391.42424242424</v>
      </c>
      <c r="L155" s="43" t="n">
        <v>1391.42424242424</v>
      </c>
    </row>
    <row r="156" customFormat="false" ht="23.85" hidden="false" customHeight="false" outlineLevel="0" collapsed="false">
      <c r="A156" s="53" t="s">
        <v>1005</v>
      </c>
      <c r="B156" s="19" t="s">
        <v>1006</v>
      </c>
      <c r="C156" s="20" t="s">
        <v>32</v>
      </c>
      <c r="D156" s="53" t="s">
        <v>1002</v>
      </c>
      <c r="E156" s="43" t="n">
        <v>4136.66666666667</v>
      </c>
      <c r="F156" s="43" t="n">
        <v>333669.117833333</v>
      </c>
      <c r="G156" s="43" t="n">
        <v>575514.861936</v>
      </c>
      <c r="H156" s="43" t="n">
        <v>588176.188898592</v>
      </c>
      <c r="I156" s="43" t="n">
        <v>601116.065054361</v>
      </c>
      <c r="J156" s="43" t="n">
        <v>614340.618485557</v>
      </c>
      <c r="K156" s="43" t="n">
        <v>627856.112092239</v>
      </c>
      <c r="L156" s="43" t="n">
        <v>641668.946558269</v>
      </c>
    </row>
    <row r="157" customFormat="false" ht="23.85" hidden="false" customHeight="false" outlineLevel="0" collapsed="false">
      <c r="A157" s="53" t="s">
        <v>1007</v>
      </c>
      <c r="B157" s="19" t="s">
        <v>1008</v>
      </c>
      <c r="C157" s="20" t="s">
        <v>938</v>
      </c>
      <c r="D157" s="53" t="s">
        <v>1009</v>
      </c>
      <c r="E157" s="81" t="n">
        <v>1.5</v>
      </c>
      <c r="F157" s="81" t="n">
        <v>3</v>
      </c>
      <c r="G157" s="81" t="n">
        <v>3</v>
      </c>
      <c r="H157" s="81" t="n">
        <v>3</v>
      </c>
      <c r="I157" s="81" t="n">
        <v>3</v>
      </c>
      <c r="J157" s="81" t="n">
        <v>3</v>
      </c>
      <c r="K157" s="81" t="n">
        <v>3</v>
      </c>
      <c r="L157" s="81" t="n">
        <v>3</v>
      </c>
    </row>
    <row r="158" customFormat="false" ht="23.85" hidden="false" customHeight="false" outlineLevel="0" collapsed="false">
      <c r="A158" s="53" t="s">
        <v>1010</v>
      </c>
      <c r="B158" s="19" t="s">
        <v>1011</v>
      </c>
      <c r="C158" s="20" t="s">
        <v>32</v>
      </c>
      <c r="D158" s="53" t="s">
        <v>1009</v>
      </c>
      <c r="E158" s="43" t="n">
        <v>8583.58333333333</v>
      </c>
      <c r="F158" s="43" t="n">
        <v>6411.83333333333</v>
      </c>
      <c r="G158" s="43" t="n">
        <v>6411.83333333333</v>
      </c>
      <c r="H158" s="43" t="n">
        <v>6411.83333333333</v>
      </c>
      <c r="I158" s="43" t="n">
        <v>6411.83333333333</v>
      </c>
      <c r="J158" s="43" t="n">
        <v>6411.83333333333</v>
      </c>
      <c r="K158" s="43" t="n">
        <v>6411.83333333333</v>
      </c>
      <c r="L158" s="43" t="n">
        <v>6411.83333333333</v>
      </c>
    </row>
    <row r="159" customFormat="false" ht="23.85" hidden="false" customHeight="false" outlineLevel="0" collapsed="false">
      <c r="A159" s="53" t="s">
        <v>1012</v>
      </c>
      <c r="B159" s="19" t="s">
        <v>1013</v>
      </c>
      <c r="C159" s="20" t="s">
        <v>32</v>
      </c>
      <c r="D159" s="53" t="s">
        <v>1009</v>
      </c>
      <c r="E159" s="43" t="n">
        <v>47158</v>
      </c>
      <c r="F159" s="43" t="n">
        <v>235904.172</v>
      </c>
      <c r="G159" s="43" t="n">
        <v>241094.063784</v>
      </c>
      <c r="H159" s="43" t="n">
        <v>246398.133187248</v>
      </c>
      <c r="I159" s="43" t="n">
        <v>251818.892117368</v>
      </c>
      <c r="J159" s="43" t="n">
        <v>257358.90774395</v>
      </c>
      <c r="K159" s="43" t="n">
        <v>263020.803714316</v>
      </c>
      <c r="L159" s="43" t="n">
        <v>268807.261396031</v>
      </c>
    </row>
    <row r="160" customFormat="false" ht="23.85" hidden="false" customHeight="false" outlineLevel="0" collapsed="false">
      <c r="A160" s="53" t="s">
        <v>1014</v>
      </c>
      <c r="B160" s="19" t="s">
        <v>1015</v>
      </c>
      <c r="C160" s="20" t="s">
        <v>938</v>
      </c>
      <c r="D160" s="53" t="s">
        <v>1016</v>
      </c>
      <c r="E160" s="81" t="n">
        <v>5</v>
      </c>
      <c r="F160" s="81" t="n">
        <v>12.75</v>
      </c>
      <c r="G160" s="81" t="n">
        <v>19</v>
      </c>
      <c r="H160" s="81" t="n">
        <v>19</v>
      </c>
      <c r="I160" s="81" t="n">
        <v>19</v>
      </c>
      <c r="J160" s="81" t="n">
        <v>19</v>
      </c>
      <c r="K160" s="81" t="n">
        <v>19</v>
      </c>
      <c r="L160" s="81" t="n">
        <v>19</v>
      </c>
    </row>
    <row r="161" customFormat="false" ht="23.85" hidden="false" customHeight="false" outlineLevel="0" collapsed="false">
      <c r="A161" s="53" t="s">
        <v>1017</v>
      </c>
      <c r="B161" s="19" t="s">
        <v>1018</v>
      </c>
      <c r="C161" s="20" t="s">
        <v>32</v>
      </c>
      <c r="D161" s="53" t="s">
        <v>1016</v>
      </c>
      <c r="E161" s="43" t="n">
        <v>1323.73333333333</v>
      </c>
      <c r="F161" s="43" t="n">
        <v>1379.68913690476</v>
      </c>
      <c r="G161" s="43" t="n">
        <v>1344.41666666667</v>
      </c>
      <c r="H161" s="43" t="n">
        <v>1344.41666666667</v>
      </c>
      <c r="I161" s="43" t="n">
        <v>1344.41666666667</v>
      </c>
      <c r="J161" s="43" t="n">
        <v>1344.41666666667</v>
      </c>
      <c r="K161" s="43" t="n">
        <v>1344.41666666667</v>
      </c>
      <c r="L161" s="43" t="n">
        <v>1344.41666666667</v>
      </c>
    </row>
    <row r="162" customFormat="false" ht="23.85" hidden="false" customHeight="false" outlineLevel="0" collapsed="false">
      <c r="A162" s="53" t="s">
        <v>1019</v>
      </c>
      <c r="B162" s="19" t="s">
        <v>1020</v>
      </c>
      <c r="C162" s="20" t="s">
        <v>32</v>
      </c>
      <c r="D162" s="53" t="s">
        <v>1016</v>
      </c>
      <c r="E162" s="43" t="n">
        <v>6618.66666666667</v>
      </c>
      <c r="F162" s="43" t="n">
        <v>213814.578833333</v>
      </c>
      <c r="G162" s="43" t="n">
        <v>320162.547068</v>
      </c>
      <c r="H162" s="43" t="n">
        <v>327206.123103496</v>
      </c>
      <c r="I162" s="43" t="n">
        <v>334404.657811773</v>
      </c>
      <c r="J162" s="43" t="n">
        <v>341761.560283632</v>
      </c>
      <c r="K162" s="43" t="n">
        <v>349280.314609872</v>
      </c>
      <c r="L162" s="43" t="n">
        <v>356964.481531289</v>
      </c>
    </row>
    <row r="163" customFormat="false" ht="23.85" hidden="false" customHeight="false" outlineLevel="0" collapsed="false">
      <c r="A163" s="53" t="s">
        <v>1021</v>
      </c>
      <c r="B163" s="19" t="s">
        <v>1022</v>
      </c>
      <c r="C163" s="20" t="s">
        <v>938</v>
      </c>
      <c r="D163" s="53" t="s">
        <v>1023</v>
      </c>
      <c r="E163" s="81" t="n">
        <v>1</v>
      </c>
      <c r="F163" s="81" t="n">
        <v>2.58333333333333</v>
      </c>
      <c r="G163" s="81" t="n">
        <v>3</v>
      </c>
      <c r="H163" s="81" t="n">
        <v>3</v>
      </c>
      <c r="I163" s="81" t="n">
        <v>3</v>
      </c>
      <c r="J163" s="81" t="n">
        <v>3</v>
      </c>
      <c r="K163" s="81" t="n">
        <v>3</v>
      </c>
      <c r="L163" s="81" t="n">
        <v>3</v>
      </c>
    </row>
    <row r="164" customFormat="false" ht="23.85" hidden="false" customHeight="false" outlineLevel="0" collapsed="false">
      <c r="A164" s="53" t="s">
        <v>1024</v>
      </c>
      <c r="B164" s="19" t="s">
        <v>1025</v>
      </c>
      <c r="C164" s="20" t="s">
        <v>32</v>
      </c>
      <c r="D164" s="53" t="s">
        <v>1023</v>
      </c>
      <c r="E164" s="43" t="n">
        <v>9307.5</v>
      </c>
      <c r="F164" s="43" t="n">
        <v>7101.27777777778</v>
      </c>
      <c r="G164" s="43" t="n">
        <v>6411.83333333333</v>
      </c>
      <c r="H164" s="43" t="n">
        <v>6411.83333333333</v>
      </c>
      <c r="I164" s="43" t="n">
        <v>6411.83333333333</v>
      </c>
      <c r="J164" s="43" t="n">
        <v>6411.83333333333</v>
      </c>
      <c r="K164" s="43" t="n">
        <v>6411.83333333333</v>
      </c>
      <c r="L164" s="43" t="n">
        <v>6411.83333333333</v>
      </c>
    </row>
    <row r="165" customFormat="false" ht="23.85" hidden="false" customHeight="false" outlineLevel="0" collapsed="false">
      <c r="A165" s="53" t="s">
        <v>1026</v>
      </c>
      <c r="B165" s="19" t="s">
        <v>1027</v>
      </c>
      <c r="C165" s="20" t="s">
        <v>32</v>
      </c>
      <c r="D165" s="53" t="s">
        <v>1023</v>
      </c>
      <c r="E165" s="43" t="n">
        <v>46537.5</v>
      </c>
      <c r="F165" s="43" t="n">
        <v>220050.397</v>
      </c>
      <c r="G165" s="43" t="n">
        <v>241094.063784</v>
      </c>
      <c r="H165" s="43" t="n">
        <v>246398.133187248</v>
      </c>
      <c r="I165" s="43" t="n">
        <v>251818.892117368</v>
      </c>
      <c r="J165" s="43" t="n">
        <v>257358.90774395</v>
      </c>
      <c r="K165" s="43" t="n">
        <v>263020.803714316</v>
      </c>
      <c r="L165" s="43" t="n">
        <v>268807.261396031</v>
      </c>
    </row>
    <row r="166" customFormat="false" ht="23.85" hidden="false" customHeight="false" outlineLevel="0" collapsed="false">
      <c r="A166" s="53" t="s">
        <v>1028</v>
      </c>
      <c r="B166" s="19" t="s">
        <v>1029</v>
      </c>
      <c r="C166" s="20" t="s">
        <v>938</v>
      </c>
      <c r="D166" s="53" t="s">
        <v>1030</v>
      </c>
      <c r="E166" s="81" t="n">
        <v>3.33333333333333</v>
      </c>
      <c r="F166" s="81" t="n">
        <v>13.0833333333333</v>
      </c>
      <c r="G166" s="81" t="n">
        <v>17</v>
      </c>
      <c r="H166" s="81" t="n">
        <v>17</v>
      </c>
      <c r="I166" s="81" t="n">
        <v>17</v>
      </c>
      <c r="J166" s="81" t="n">
        <v>17</v>
      </c>
      <c r="K166" s="81" t="n">
        <v>17</v>
      </c>
      <c r="L166" s="81" t="n">
        <v>17</v>
      </c>
    </row>
    <row r="167" customFormat="false" ht="23.85" hidden="false" customHeight="false" outlineLevel="0" collapsed="false">
      <c r="A167" s="53" t="s">
        <v>1031</v>
      </c>
      <c r="B167" s="19" t="s">
        <v>1032</v>
      </c>
      <c r="C167" s="20" t="s">
        <v>32</v>
      </c>
      <c r="D167" s="53" t="s">
        <v>1030</v>
      </c>
      <c r="E167" s="43" t="n">
        <v>1602.95833333333</v>
      </c>
      <c r="F167" s="43" t="n">
        <v>1263.18244047619</v>
      </c>
      <c r="G167" s="43" t="n">
        <v>1216.66666666667</v>
      </c>
      <c r="H167" s="43" t="n">
        <v>1216.66666666667</v>
      </c>
      <c r="I167" s="43" t="n">
        <v>1216.66666666667</v>
      </c>
      <c r="J167" s="43" t="n">
        <v>1216.66666666667</v>
      </c>
      <c r="K167" s="43" t="n">
        <v>1216.66666666667</v>
      </c>
      <c r="L167" s="43" t="n">
        <v>1216.66666666667</v>
      </c>
    </row>
    <row r="168" customFormat="false" ht="23.85" hidden="false" customHeight="false" outlineLevel="0" collapsed="false">
      <c r="A168" s="53" t="s">
        <v>1033</v>
      </c>
      <c r="B168" s="19" t="s">
        <v>1034</v>
      </c>
      <c r="C168" s="20" t="s">
        <v>32</v>
      </c>
      <c r="D168" s="53" t="s">
        <v>1030</v>
      </c>
      <c r="E168" s="43" t="n">
        <v>15615.9166666667</v>
      </c>
      <c r="F168" s="43" t="n">
        <v>199123.414</v>
      </c>
      <c r="G168" s="43" t="n">
        <v>259240.9288</v>
      </c>
      <c r="H168" s="43" t="n">
        <v>264944.2292336</v>
      </c>
      <c r="I168" s="43" t="n">
        <v>270773.002276739</v>
      </c>
      <c r="J168" s="43" t="n">
        <v>276730.008326828</v>
      </c>
      <c r="K168" s="43" t="n">
        <v>282818.068510018</v>
      </c>
      <c r="L168" s="43" t="n">
        <v>289040.066017238</v>
      </c>
    </row>
    <row r="169" customFormat="false" ht="15" hidden="false" customHeight="false" outlineLevel="0" collapsed="false">
      <c r="A169" s="53" t="s">
        <v>1035</v>
      </c>
      <c r="B169" s="19" t="s">
        <v>1036</v>
      </c>
      <c r="C169" s="20" t="s">
        <v>938</v>
      </c>
      <c r="D169" s="53" t="s">
        <v>1037</v>
      </c>
      <c r="E169" s="81" t="n">
        <v>6.4</v>
      </c>
      <c r="F169" s="81" t="n">
        <v>18.75</v>
      </c>
      <c r="G169" s="81" t="n">
        <v>20</v>
      </c>
      <c r="H169" s="81" t="n">
        <v>20</v>
      </c>
      <c r="I169" s="81" t="n">
        <v>20</v>
      </c>
      <c r="J169" s="81" t="n">
        <v>20</v>
      </c>
      <c r="K169" s="81" t="n">
        <v>20</v>
      </c>
      <c r="L169" s="81" t="n">
        <v>20</v>
      </c>
    </row>
    <row r="170" customFormat="false" ht="23.85" hidden="false" customHeight="false" outlineLevel="0" collapsed="false">
      <c r="A170" s="53" t="s">
        <v>1038</v>
      </c>
      <c r="B170" s="19" t="s">
        <v>1039</v>
      </c>
      <c r="C170" s="20" t="s">
        <v>32</v>
      </c>
      <c r="D170" s="53" t="s">
        <v>1037</v>
      </c>
      <c r="E170" s="43" t="n">
        <v>751.666805555556</v>
      </c>
      <c r="F170" s="43" t="n">
        <v>753.433506944445</v>
      </c>
      <c r="G170" s="43" t="n">
        <v>726.502083333334</v>
      </c>
      <c r="H170" s="43" t="n">
        <v>726.502083333334</v>
      </c>
      <c r="I170" s="43" t="n">
        <v>726.502083333334</v>
      </c>
      <c r="J170" s="43" t="n">
        <v>726.502083333334</v>
      </c>
      <c r="K170" s="43" t="n">
        <v>726.502083333334</v>
      </c>
      <c r="L170" s="43" t="n">
        <v>726.502083333334</v>
      </c>
    </row>
    <row r="171" customFormat="false" ht="23.85" hidden="false" customHeight="false" outlineLevel="0" collapsed="false">
      <c r="A171" s="53" t="s">
        <v>1040</v>
      </c>
      <c r="B171" s="19" t="s">
        <v>1041</v>
      </c>
      <c r="C171" s="20" t="s">
        <v>32</v>
      </c>
      <c r="D171" s="53" t="s">
        <v>1037</v>
      </c>
      <c r="E171" s="43" t="n">
        <v>26474.6666666667</v>
      </c>
      <c r="F171" s="43" t="n">
        <v>172013.45875</v>
      </c>
      <c r="G171" s="43" t="n">
        <v>182116.752482</v>
      </c>
      <c r="H171" s="43" t="n">
        <v>186123.321036604</v>
      </c>
      <c r="I171" s="43" t="n">
        <v>190218.034099409</v>
      </c>
      <c r="J171" s="43" t="n">
        <v>194402.830849596</v>
      </c>
      <c r="K171" s="43" t="n">
        <v>198679.693128288</v>
      </c>
      <c r="L171" s="43" t="n">
        <v>203050.64637711</v>
      </c>
    </row>
    <row r="172" customFormat="false" ht="23.85" hidden="false" customHeight="false" outlineLevel="0" collapsed="false">
      <c r="A172" s="53" t="s">
        <v>1042</v>
      </c>
      <c r="B172" s="19" t="s">
        <v>1043</v>
      </c>
      <c r="C172" s="20" t="s">
        <v>938</v>
      </c>
      <c r="D172" s="53" t="s">
        <v>1044</v>
      </c>
      <c r="E172" s="81" t="n">
        <v>13.8</v>
      </c>
      <c r="F172" s="81" t="n">
        <v>43.75</v>
      </c>
      <c r="G172" s="81" t="n">
        <v>56</v>
      </c>
      <c r="H172" s="81" t="n">
        <v>56</v>
      </c>
      <c r="I172" s="81" t="n">
        <v>56</v>
      </c>
      <c r="J172" s="81" t="n">
        <v>56</v>
      </c>
      <c r="K172" s="81" t="n">
        <v>56</v>
      </c>
      <c r="L172" s="81" t="n">
        <v>56</v>
      </c>
    </row>
    <row r="173" customFormat="false" ht="23.85" hidden="false" customHeight="false" outlineLevel="0" collapsed="false">
      <c r="A173" s="53" t="s">
        <v>1045</v>
      </c>
      <c r="B173" s="19" t="s">
        <v>1046</v>
      </c>
      <c r="C173" s="20" t="s">
        <v>32</v>
      </c>
      <c r="D173" s="53" t="s">
        <v>1044</v>
      </c>
      <c r="E173" s="43" t="n">
        <v>962.307291666666</v>
      </c>
      <c r="F173" s="43" t="n">
        <v>737.274769585254</v>
      </c>
      <c r="G173" s="43" t="n">
        <v>679.595238095238</v>
      </c>
      <c r="H173" s="43" t="n">
        <v>679.595238095238</v>
      </c>
      <c r="I173" s="43" t="n">
        <v>679.595238095238</v>
      </c>
      <c r="J173" s="43" t="n">
        <v>679.595238095238</v>
      </c>
      <c r="K173" s="43" t="n">
        <v>679.595238095238</v>
      </c>
      <c r="L173" s="43" t="n">
        <v>679.595238095238</v>
      </c>
    </row>
    <row r="174" customFormat="false" ht="23.85" hidden="false" customHeight="false" outlineLevel="0" collapsed="false">
      <c r="A174" s="53" t="s">
        <v>1047</v>
      </c>
      <c r="B174" s="19" t="s">
        <v>1048</v>
      </c>
      <c r="C174" s="20" t="s">
        <v>32</v>
      </c>
      <c r="D174" s="53" t="s">
        <v>1044</v>
      </c>
      <c r="E174" s="43" t="n">
        <v>60809</v>
      </c>
      <c r="F174" s="43" t="n">
        <v>386832.11</v>
      </c>
      <c r="G174" s="43" t="n">
        <v>477003.308992</v>
      </c>
      <c r="H174" s="43" t="n">
        <v>487497.381789824</v>
      </c>
      <c r="I174" s="43" t="n">
        <v>498222.3241892</v>
      </c>
      <c r="J174" s="43" t="n">
        <v>509183.215321363</v>
      </c>
      <c r="K174" s="43" t="n">
        <v>520385.246058432</v>
      </c>
      <c r="L174" s="43" t="n">
        <v>531833.721471718</v>
      </c>
    </row>
    <row r="175" customFormat="false" ht="15" hidden="false" customHeight="false" outlineLevel="0" collapsed="false">
      <c r="A175" s="53" t="s">
        <v>1049</v>
      </c>
      <c r="B175" s="19" t="s">
        <v>1050</v>
      </c>
      <c r="C175" s="20" t="s">
        <v>938</v>
      </c>
      <c r="D175" s="53" t="s">
        <v>1051</v>
      </c>
      <c r="E175" s="81" t="n">
        <v>2</v>
      </c>
      <c r="F175" s="81" t="n">
        <v>5.5</v>
      </c>
      <c r="G175" s="81" t="n">
        <v>6</v>
      </c>
      <c r="H175" s="81" t="n">
        <v>6</v>
      </c>
      <c r="I175" s="81" t="n">
        <v>6</v>
      </c>
      <c r="J175" s="81" t="n">
        <v>6</v>
      </c>
      <c r="K175" s="81" t="n">
        <v>6</v>
      </c>
      <c r="L175" s="81" t="n">
        <v>6</v>
      </c>
    </row>
    <row r="176" customFormat="false" ht="23.85" hidden="false" customHeight="false" outlineLevel="0" collapsed="false">
      <c r="A176" s="53" t="s">
        <v>1052</v>
      </c>
      <c r="B176" s="19" t="s">
        <v>1053</v>
      </c>
      <c r="C176" s="20" t="s">
        <v>32</v>
      </c>
      <c r="D176" s="53" t="s">
        <v>1051</v>
      </c>
      <c r="E176" s="43" t="n">
        <v>3810.90416666667</v>
      </c>
      <c r="F176" s="43" t="n">
        <v>2268.703125</v>
      </c>
      <c r="G176" s="43" t="n">
        <v>2188.98611111111</v>
      </c>
      <c r="H176" s="43" t="n">
        <v>2188.98611111111</v>
      </c>
      <c r="I176" s="43" t="n">
        <v>2188.98611111111</v>
      </c>
      <c r="J176" s="43" t="n">
        <v>2188.98611111111</v>
      </c>
      <c r="K176" s="43" t="n">
        <v>2188.98611111111</v>
      </c>
      <c r="L176" s="43" t="n">
        <v>2188.98611111111</v>
      </c>
    </row>
    <row r="177" customFormat="false" ht="15" hidden="false" customHeight="false" outlineLevel="0" collapsed="false">
      <c r="A177" s="53" t="s">
        <v>1054</v>
      </c>
      <c r="B177" s="19" t="s">
        <v>1055</v>
      </c>
      <c r="C177" s="20" t="s">
        <v>32</v>
      </c>
      <c r="D177" s="53" t="s">
        <v>1051</v>
      </c>
      <c r="E177" s="43" t="n">
        <v>33817.25</v>
      </c>
      <c r="F177" s="43" t="n">
        <v>151562.089</v>
      </c>
      <c r="G177" s="43" t="n">
        <v>164617.989788</v>
      </c>
      <c r="H177" s="43" t="n">
        <v>168239.585563336</v>
      </c>
      <c r="I177" s="43" t="n">
        <v>171940.856445729</v>
      </c>
      <c r="J177" s="43" t="n">
        <v>175723.555287535</v>
      </c>
      <c r="K177" s="43" t="n">
        <v>179589.473503861</v>
      </c>
      <c r="L177" s="43" t="n">
        <v>183540.441920946</v>
      </c>
    </row>
    <row r="178" customFormat="false" ht="15" hidden="false" customHeight="false" outlineLevel="0" collapsed="false">
      <c r="A178" s="53" t="s">
        <v>1056</v>
      </c>
      <c r="B178" s="19" t="s">
        <v>1057</v>
      </c>
      <c r="C178" s="20" t="s">
        <v>938</v>
      </c>
      <c r="D178" s="53" t="s">
        <v>1058</v>
      </c>
      <c r="E178" s="81" t="n">
        <v>1.75</v>
      </c>
      <c r="F178" s="81" t="n">
        <v>12.4166666666667</v>
      </c>
      <c r="G178" s="81" t="n">
        <v>15</v>
      </c>
      <c r="H178" s="81" t="n">
        <v>15</v>
      </c>
      <c r="I178" s="81" t="n">
        <v>15</v>
      </c>
      <c r="J178" s="81" t="n">
        <v>15</v>
      </c>
      <c r="K178" s="81" t="n">
        <v>15</v>
      </c>
      <c r="L178" s="81" t="n">
        <v>15</v>
      </c>
    </row>
    <row r="179" customFormat="false" ht="23.85" hidden="false" customHeight="false" outlineLevel="0" collapsed="false">
      <c r="A179" s="53" t="s">
        <v>1059</v>
      </c>
      <c r="B179" s="19" t="s">
        <v>1060</v>
      </c>
      <c r="C179" s="20" t="s">
        <v>32</v>
      </c>
      <c r="D179" s="53" t="s">
        <v>1058</v>
      </c>
      <c r="E179" s="43" t="n">
        <v>2046.78819444445</v>
      </c>
      <c r="F179" s="43" t="n">
        <v>1598.96051311728</v>
      </c>
      <c r="G179" s="43" t="n">
        <v>1489.2</v>
      </c>
      <c r="H179" s="43" t="n">
        <v>1489.2</v>
      </c>
      <c r="I179" s="43" t="n">
        <v>1489.2</v>
      </c>
      <c r="J179" s="43" t="n">
        <v>1489.2</v>
      </c>
      <c r="K179" s="43" t="n">
        <v>1489.2</v>
      </c>
      <c r="L179" s="43" t="n">
        <v>1489.2</v>
      </c>
    </row>
    <row r="180" customFormat="false" ht="15" hidden="false" customHeight="false" outlineLevel="0" collapsed="false">
      <c r="A180" s="53" t="s">
        <v>1061</v>
      </c>
      <c r="B180" s="19" t="s">
        <v>1062</v>
      </c>
      <c r="C180" s="20" t="s">
        <v>32</v>
      </c>
      <c r="D180" s="53" t="s">
        <v>1058</v>
      </c>
      <c r="E180" s="43" t="n">
        <v>14064.6666666667</v>
      </c>
      <c r="F180" s="43" t="n">
        <v>238546.467833333</v>
      </c>
      <c r="G180" s="43" t="n">
        <v>279980.203104</v>
      </c>
      <c r="H180" s="43" t="n">
        <v>286139.767572288</v>
      </c>
      <c r="I180" s="43" t="n">
        <v>292434.842458879</v>
      </c>
      <c r="J180" s="43" t="n">
        <v>298868.408992974</v>
      </c>
      <c r="K180" s="43" t="n">
        <v>305443.513990819</v>
      </c>
      <c r="L180" s="43" t="n">
        <v>312163.271298617</v>
      </c>
    </row>
    <row r="181" customFormat="false" ht="15" hidden="false" customHeight="false" outlineLevel="0" collapsed="false">
      <c r="A181" s="53" t="s">
        <v>1063</v>
      </c>
      <c r="B181" s="19" t="s">
        <v>1064</v>
      </c>
      <c r="C181" s="20" t="s">
        <v>938</v>
      </c>
      <c r="D181" s="53" t="s">
        <v>1065</v>
      </c>
      <c r="E181" s="81" t="n">
        <v>1</v>
      </c>
      <c r="F181" s="81" t="n">
        <v>1</v>
      </c>
      <c r="G181" s="81" t="n">
        <v>1</v>
      </c>
      <c r="H181" s="81" t="n">
        <v>1</v>
      </c>
      <c r="I181" s="81" t="n">
        <v>1</v>
      </c>
      <c r="J181" s="81" t="n">
        <v>1</v>
      </c>
      <c r="K181" s="81" t="n">
        <v>1</v>
      </c>
      <c r="L181" s="81" t="n">
        <v>1</v>
      </c>
    </row>
    <row r="182" customFormat="false" ht="23.85" hidden="false" customHeight="false" outlineLevel="0" collapsed="false">
      <c r="A182" s="53" t="s">
        <v>1066</v>
      </c>
      <c r="B182" s="19" t="s">
        <v>1067</v>
      </c>
      <c r="C182" s="20" t="s">
        <v>32</v>
      </c>
      <c r="D182" s="53" t="s">
        <v>1065</v>
      </c>
      <c r="E182" s="43" t="n">
        <v>6825.5</v>
      </c>
      <c r="F182" s="43" t="n">
        <v>6825.5</v>
      </c>
      <c r="G182" s="43" t="n">
        <v>6825.5</v>
      </c>
      <c r="H182" s="43" t="n">
        <v>6825.5</v>
      </c>
      <c r="I182" s="43" t="n">
        <v>6825.5</v>
      </c>
      <c r="J182" s="43" t="n">
        <v>6825.5</v>
      </c>
      <c r="K182" s="43" t="n">
        <v>6825.5</v>
      </c>
      <c r="L182" s="43" t="n">
        <v>6825.5</v>
      </c>
    </row>
    <row r="183" customFormat="false" ht="23.85" hidden="false" customHeight="false" outlineLevel="0" collapsed="false">
      <c r="A183" s="53" t="s">
        <v>1068</v>
      </c>
      <c r="B183" s="19" t="s">
        <v>1069</v>
      </c>
      <c r="C183" s="20" t="s">
        <v>32</v>
      </c>
      <c r="D183" s="53" t="s">
        <v>1065</v>
      </c>
      <c r="E183" s="43" t="n">
        <v>20476.5</v>
      </c>
      <c r="F183" s="43" t="n">
        <v>83707.932</v>
      </c>
      <c r="G183" s="43" t="n">
        <v>85549.506504</v>
      </c>
      <c r="H183" s="43" t="n">
        <v>87431.595647088</v>
      </c>
      <c r="I183" s="43" t="n">
        <v>89355.0907513239</v>
      </c>
      <c r="J183" s="43" t="n">
        <v>91320.9027478531</v>
      </c>
      <c r="K183" s="43" t="n">
        <v>93329.9626083058</v>
      </c>
      <c r="L183" s="43" t="n">
        <v>95383.2217856886</v>
      </c>
    </row>
    <row r="184" customFormat="false" ht="15" hidden="false" customHeight="false" outlineLevel="0" collapsed="false">
      <c r="A184" s="53" t="s">
        <v>1070</v>
      </c>
      <c r="B184" s="19" t="s">
        <v>1071</v>
      </c>
      <c r="C184" s="20" t="s">
        <v>938</v>
      </c>
      <c r="D184" s="53" t="s">
        <v>1072</v>
      </c>
      <c r="E184" s="81" t="n">
        <v>1.66666666666667</v>
      </c>
      <c r="F184" s="81" t="n">
        <v>3.16666666666667</v>
      </c>
      <c r="G184" s="81" t="n">
        <v>4</v>
      </c>
      <c r="H184" s="81" t="n">
        <v>4</v>
      </c>
      <c r="I184" s="81" t="n">
        <v>4</v>
      </c>
      <c r="J184" s="81" t="n">
        <v>4</v>
      </c>
      <c r="K184" s="81" t="n">
        <v>4</v>
      </c>
      <c r="L184" s="81" t="n">
        <v>4</v>
      </c>
    </row>
    <row r="185" customFormat="false" ht="23.85" hidden="false" customHeight="false" outlineLevel="0" collapsed="false">
      <c r="A185" s="53" t="s">
        <v>1073</v>
      </c>
      <c r="B185" s="19" t="s">
        <v>1074</v>
      </c>
      <c r="C185" s="20" t="s">
        <v>32</v>
      </c>
      <c r="D185" s="53" t="s">
        <v>1072</v>
      </c>
      <c r="E185" s="43" t="n">
        <v>3619.58333333333</v>
      </c>
      <c r="F185" s="43" t="n">
        <v>3210.22569444445</v>
      </c>
      <c r="G185" s="43" t="n">
        <v>3102.5</v>
      </c>
      <c r="H185" s="43" t="n">
        <v>3102.5</v>
      </c>
      <c r="I185" s="43" t="n">
        <v>3102.5</v>
      </c>
      <c r="J185" s="43" t="n">
        <v>3102.5</v>
      </c>
      <c r="K185" s="43" t="n">
        <v>3102.5</v>
      </c>
      <c r="L185" s="43" t="n">
        <v>3102.5</v>
      </c>
    </row>
    <row r="186" customFormat="false" ht="15" hidden="false" customHeight="false" outlineLevel="0" collapsed="false">
      <c r="A186" s="53" t="s">
        <v>1075</v>
      </c>
      <c r="B186" s="19" t="s">
        <v>1076</v>
      </c>
      <c r="C186" s="20" t="s">
        <v>32</v>
      </c>
      <c r="D186" s="53" t="s">
        <v>1072</v>
      </c>
      <c r="E186" s="43" t="n">
        <v>17580.8333333333</v>
      </c>
      <c r="F186" s="43" t="n">
        <v>123130.985833333</v>
      </c>
      <c r="G186" s="43" t="n">
        <v>155544.55728</v>
      </c>
      <c r="H186" s="43" t="n">
        <v>158966.53754016</v>
      </c>
      <c r="I186" s="43" t="n">
        <v>162463.801366044</v>
      </c>
      <c r="J186" s="43" t="n">
        <v>166038.004996097</v>
      </c>
      <c r="K186" s="43" t="n">
        <v>169690.841106011</v>
      </c>
      <c r="L186" s="43" t="n">
        <v>173424.039610343</v>
      </c>
    </row>
    <row r="187" customFormat="false" ht="15" hidden="false" customHeight="false" outlineLevel="0" collapsed="false">
      <c r="A187" s="53" t="s">
        <v>1077</v>
      </c>
      <c r="B187" s="19" t="s">
        <v>1078</v>
      </c>
      <c r="C187" s="20" t="s">
        <v>938</v>
      </c>
      <c r="D187" s="53" t="s">
        <v>1079</v>
      </c>
      <c r="E187" s="81" t="n">
        <v>0</v>
      </c>
      <c r="F187" s="81" t="n">
        <v>1.41666666666667</v>
      </c>
      <c r="G187" s="81" t="n">
        <v>2</v>
      </c>
      <c r="H187" s="81" t="n">
        <v>2</v>
      </c>
      <c r="I187" s="81" t="n">
        <v>2</v>
      </c>
      <c r="J187" s="81" t="n">
        <v>2</v>
      </c>
      <c r="K187" s="81" t="n">
        <v>2</v>
      </c>
      <c r="L187" s="81" t="n">
        <v>2</v>
      </c>
    </row>
    <row r="188" customFormat="false" ht="23.85" hidden="false" customHeight="false" outlineLevel="0" collapsed="false">
      <c r="A188" s="53" t="s">
        <v>1080</v>
      </c>
      <c r="B188" s="19" t="s">
        <v>1081</v>
      </c>
      <c r="C188" s="20" t="s">
        <v>32</v>
      </c>
      <c r="D188" s="53" t="s">
        <v>1079</v>
      </c>
      <c r="E188" s="43" t="n">
        <v>0</v>
      </c>
      <c r="F188" s="43" t="n">
        <v>3705.76388888889</v>
      </c>
      <c r="G188" s="43" t="n">
        <v>3102.5</v>
      </c>
      <c r="H188" s="43" t="n">
        <v>3102.5</v>
      </c>
      <c r="I188" s="43" t="n">
        <v>3102.5</v>
      </c>
      <c r="J188" s="43" t="n">
        <v>3102.5</v>
      </c>
      <c r="K188" s="43" t="n">
        <v>3102.5</v>
      </c>
      <c r="L188" s="43" t="n">
        <v>3102.5</v>
      </c>
    </row>
    <row r="189" customFormat="false" ht="23.85" hidden="false" customHeight="false" outlineLevel="0" collapsed="false">
      <c r="A189" s="53" t="s">
        <v>1082</v>
      </c>
      <c r="B189" s="19" t="s">
        <v>1083</v>
      </c>
      <c r="C189" s="20" t="s">
        <v>32</v>
      </c>
      <c r="D189" s="53" t="s">
        <v>1079</v>
      </c>
      <c r="E189" s="43" t="n">
        <v>0</v>
      </c>
      <c r="F189" s="43" t="n">
        <v>61301.2633333333</v>
      </c>
      <c r="G189" s="43" t="n">
        <v>77772.27864</v>
      </c>
      <c r="H189" s="43" t="n">
        <v>79483.26877008</v>
      </c>
      <c r="I189" s="43" t="n">
        <v>81231.9006830218</v>
      </c>
      <c r="J189" s="43" t="n">
        <v>83019.0024980482</v>
      </c>
      <c r="K189" s="43" t="n">
        <v>84845.4205530053</v>
      </c>
      <c r="L189" s="43" t="n">
        <v>86712.0198051714</v>
      </c>
    </row>
    <row r="190" customFormat="false" ht="23.85" hidden="false" customHeight="false" outlineLevel="0" collapsed="false">
      <c r="A190" s="53" t="s">
        <v>1084</v>
      </c>
      <c r="B190" s="19" t="s">
        <v>1085</v>
      </c>
      <c r="C190" s="20" t="s">
        <v>938</v>
      </c>
      <c r="D190" s="53" t="s">
        <v>1086</v>
      </c>
      <c r="E190" s="81" t="n">
        <v>1</v>
      </c>
      <c r="F190" s="81" t="n">
        <v>2</v>
      </c>
      <c r="G190" s="81" t="n">
        <v>2</v>
      </c>
      <c r="H190" s="81" t="n">
        <v>2</v>
      </c>
      <c r="I190" s="81" t="n">
        <v>2</v>
      </c>
      <c r="J190" s="81" t="n">
        <v>2</v>
      </c>
      <c r="K190" s="81" t="n">
        <v>2</v>
      </c>
      <c r="L190" s="81" t="n">
        <v>2</v>
      </c>
    </row>
    <row r="191" customFormat="false" ht="23.85" hidden="false" customHeight="false" outlineLevel="0" collapsed="false">
      <c r="A191" s="53" t="s">
        <v>1087</v>
      </c>
      <c r="B191" s="19" t="s">
        <v>1088</v>
      </c>
      <c r="C191" s="20" t="s">
        <v>32</v>
      </c>
      <c r="D191" s="53" t="s">
        <v>1086</v>
      </c>
      <c r="E191" s="43" t="n">
        <v>2068.33333333333</v>
      </c>
      <c r="F191" s="43" t="n">
        <v>2843.95833333333</v>
      </c>
      <c r="G191" s="43" t="n">
        <v>2843.95833333333</v>
      </c>
      <c r="H191" s="43" t="n">
        <v>2843.95833333333</v>
      </c>
      <c r="I191" s="43" t="n">
        <v>2843.95833333333</v>
      </c>
      <c r="J191" s="43" t="n">
        <v>2843.95833333333</v>
      </c>
      <c r="K191" s="43" t="n">
        <v>2843.95833333333</v>
      </c>
      <c r="L191" s="43" t="n">
        <v>2843.95833333333</v>
      </c>
    </row>
    <row r="192" customFormat="false" ht="23.85" hidden="false" customHeight="false" outlineLevel="0" collapsed="false">
      <c r="A192" s="53" t="s">
        <v>1089</v>
      </c>
      <c r="B192" s="19" t="s">
        <v>1090</v>
      </c>
      <c r="C192" s="20" t="s">
        <v>32</v>
      </c>
      <c r="D192" s="53" t="s">
        <v>1086</v>
      </c>
      <c r="E192" s="43" t="n">
        <v>6205</v>
      </c>
      <c r="F192" s="43" t="n">
        <v>69756.61</v>
      </c>
      <c r="G192" s="43" t="n">
        <v>71291.25542</v>
      </c>
      <c r="H192" s="43" t="n">
        <v>72859.66303924</v>
      </c>
      <c r="I192" s="43" t="n">
        <v>74462.5756261033</v>
      </c>
      <c r="J192" s="43" t="n">
        <v>76100.7522898776</v>
      </c>
      <c r="K192" s="43" t="n">
        <v>77774.9688402549</v>
      </c>
      <c r="L192" s="43" t="n">
        <v>79486.0181547405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2026-10-27T02:17:25Z</dcterms:created>
  <dc:creator>openpyxl</dc:creator>
  <dc:description/>
  <dc:language>en-US</dc:language>
  <cp:lastModifiedBy/>
  <dcterms:modified xsi:type="dcterms:W3CDTF">2026-10-27T02:17:26Z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