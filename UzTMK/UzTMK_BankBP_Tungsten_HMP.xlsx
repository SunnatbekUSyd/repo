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" sheetId="1" state="visible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  <sheet name="Проверки" sheetId="20" state="visible" r:id="rId22"/>
    <sheet name="Исх_данные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2" authorId="0">
      <text>
        <r>
          <rPr>
            <sz val="10"/>
            <rFont val="Arial"/>
            <family val="2"/>
          </rPr>
          <t xml:space="preserve">Для экспортных проектов (ставка 0%) входящий НДС подлежит возмещению; движение НДС учтено в оборотном капитале (Приложение 14).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1" authorId="0">
      <text>
        <r>
          <rPr>
            <sz val="10"/>
            <rFont val="Arial"/>
            <family val="2"/>
          </rPr>
          <t xml:space="preserve">Разница между себестоимостью продаж и производственной себестоимостью по ТЭО (запасы готовой продукции).</t>
        </r>
      </text>
    </comment>
    <comment ref="B23" authorId="0">
      <text>
        <r>
          <rPr>
            <sz val="10"/>
            <rFont val="Arial"/>
            <family val="2"/>
          </rPr>
          <t xml:space="preserve">Доля затрат, номинированных в USD, в денежной производственной себестоимости (ТЭО, P&amp;L FX.5).</t>
        </r>
      </text>
    </comment>
  </commentList>
</comments>
</file>

<file path=xl/sharedStrings.xml><?xml version="1.0" encoding="utf-8"?>
<sst xmlns="http://schemas.openxmlformats.org/spreadsheetml/2006/main" count="2063" uniqueCount="1316">
  <si>
    <t xml:space="preserve">БИЗНЕС-ПЛАН ИНВЕСТИЦИОННОГО ПРОЕКТА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</si>
  <si>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</si>
  <si>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(Цех по переработке вольфрамового концентрата)</t>
  </si>
  <si>
    <t xml:space="preserve">1. ОБЩИЕ СВЕДЕНИЯ</t>
  </si>
  <si>
    <t xml:space="preserve">Суть проекта</t>
  </si>
  <si>
    <t xml:space="preserve">Строительство нового гидрометаллургического завода по переработке вольфрамового концентрата (1-я очередь). Переработка 5 000 т вольфрамового концентрата в год; выпуск основной продукции — Триоксид вольфрама WO3  2 656.5 t/год при проектной мощности; реализация — экспорт.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</si>
  <si>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</si>
  <si>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</si>
  <si>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</si>
  <si>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Самаркандская обл., Нурабадский р-н, 9,6 га</t>
  </si>
  <si>
    <t xml:space="preserve">Продукция</t>
  </si>
  <si>
    <t xml:space="preserve">Триоксид вольфрама WO3</t>
  </si>
  <si>
    <t xml:space="preserve">Производственная мощность</t>
  </si>
  <si>
    <t xml:space="preserve">Переработка 5 000 т вольфрамового концентрата в год; выпуск основной продукции — 2 656 t/год</t>
  </si>
  <si>
    <t xml:space="preserve">Рынок сбыта</t>
  </si>
  <si>
    <t xml:space="preserve">экспорт (100% выручки в USD)</t>
  </si>
  <si>
    <t xml:space="preserve">Сроки</t>
  </si>
  <si>
    <t xml:space="preserve">начало строительства — 01.10.2026; начало производства — 01.10.2027; выход на проектную мощность — 2029 г.</t>
  </si>
  <si>
    <t xml:space="preserve">Стадия проработки</t>
  </si>
  <si>
    <t xml:space="preserve">ТЭО</t>
  </si>
  <si>
    <t xml:space="preserve">2. ПАРАМЕТРЫ КРЕДИТА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</si>
  <si>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</si>
  <si>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</si>
  <si>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</si>
  <si>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— 12 месяцев (2027 г.), погашение — 72 месяца (2028–2033 гг.)</t>
  </si>
  <si>
    <t xml:space="preserve">Порядок погашения</t>
  </si>
  <si>
    <t xml:space="preserve">основной долг — ежемесячно равными долями; проценты —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</si>
  <si>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</si>
  <si>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</si>
  <si>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— проектирование, P — поставка оборудования, C —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</si>
  <si>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</si>
  <si>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</si>
  <si>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</si>
  <si>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</si>
  <si>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</si>
  <si>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</si>
  <si>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</si>
  <si>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</si>
  <si>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</si>
  <si>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</si>
  <si>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банка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</si>
  <si>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</si>
  <si>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</si>
  <si>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</si>
  <si>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/ инвест.)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</si>
  <si>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</si>
  <si>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</si>
  <si>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</si>
  <si>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</si>
  <si>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</si>
  <si>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</si>
  <si>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Итого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</si>
  <si>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</si>
  <si>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</si>
  <si>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</si>
  <si>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</si>
  <si>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</si>
  <si>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</si>
  <si>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</si>
  <si>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1–7 годы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</si>
  <si>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</si>
  <si>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</si>
  <si>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</si>
  <si>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</si>
  <si>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</si>
  <si>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</si>
  <si>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</si>
  <si>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</si>
  <si>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</si>
  <si>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</si>
  <si>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</si>
  <si>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 (WACC по ТЭО),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</si>
  <si>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</si>
  <si>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</si>
  <si>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</si>
  <si>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</si>
  <si>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(2–7 годы)</t>
  </si>
  <si>
    <t xml:space="preserve">Точка безубыточности (2029 г.), % от выручки</t>
  </si>
  <si>
    <t xml:space="preserve">Справочно: NPV / IRR по ТЭО-модели (12 лет)</t>
  </si>
  <si>
    <t xml:space="preserve">6. ВЫПОЛНЕНИЕ УСЛОВИЙ ФИНАНСИРОВАНИЯ</t>
  </si>
  <si>
    <t xml:space="preserve">Положительный чистый поток наличности в каждом из 1–7 годов</t>
  </si>
  <si>
    <t xml:space="preserve">Прибыльность в каждом из 1–7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</si>
  <si>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</si>
  <si>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 (в стоимости проекта)</t>
  </si>
  <si>
    <t xml:space="preserve">Минимальный DSCR ≥ 1,20</t>
  </si>
  <si>
    <t xml:space="preserve">Итог контрольных проверок модели</t>
  </si>
  <si>
    <t xml:space="preserve">7. ИСТОЧНИКИ ДАННЫХ И ОСНОВНЫЕ ДОПУЩЕНИЯ</t>
  </si>
  <si>
    <t xml:space="preserve">• Все производственные, ценовые, затратные, налоговые и инвестиционные показатели — из финансовой модели ТЭО «UzTMK_BP_Model_v1_9_Tungsten_FS.xlsx» (лист «Исх_данные» содержит ссылку на строку модели для каждого числа).</t>
  </si>
  <si>
    <t xml:space="preserve">• Сумма кредита — из файла заемщика о 30% авансе по EPC-контрактам (распределение 78 млн USD между тремя проектами — лист «ИНФОРМАЦИЯ»).</t>
  </si>
  <si>
    <t xml:space="preserve">• Ставка 7% годовых, срок 84 мес., льготный период 12 мес., ежемесячное погашение равными долями — условия, заданные заемщиком; база начисления — 360 дней (как в форме банка).</t>
  </si>
  <si>
    <t xml:space="preserve">• Структура финансирования ТЭО-модели (кредит ТЭО) заменена: все затраты сверх кредита финансируются собственными средствами заемщика; влияние на налог на прибыль пересчитано (Приложение 9).</t>
  </si>
  <si>
    <t xml:space="preserve">• Кредит выдаётся единовременно 01.01.2027; проценты 2027 г. капитализируются в стоимость основных средств и амортизируются в срок, принятый в ТЭО.</t>
  </si>
  <si>
    <t xml:space="preserve">• Резерв на непредвиденные расходы — 1% суммы кредита, по форме банка; остаётся на счёте заемщика.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</si>
  <si>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</si>
  <si>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</si>
  <si>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</si>
  <si>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</si>
  <si>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</si>
  <si>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Сырьевой риск</t>
  </si>
  <si>
    <t xml:space="preserve">ДАННЫЕ ПО ПРОЕКТУ</t>
  </si>
  <si>
    <t xml:space="preserve">ЗАЕМЩИК</t>
  </si>
  <si>
    <t xml:space="preserve">ИНН</t>
  </si>
  <si>
    <t xml:space="preserve">—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</si>
  <si>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</si>
  <si>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</si>
  <si>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</si>
  <si>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Строительство нового гидрометаллургического завода по переработке вольфрамового концентрата (1-я очередь)
(Цех по переработке вольфрамового концентрата)</t>
  </si>
  <si>
    <t xml:space="preserve">МЕСТО РЕАЛИЗАЦИИ</t>
  </si>
  <si>
    <t xml:space="preserve">ПРОИЗВОДСТВЕННАЯ МОЩНОСТЬ</t>
  </si>
  <si>
    <t xml:space="preserve">Переработка 5 000 т вольфрамового концентрата в год</t>
  </si>
  <si>
    <t xml:space="preserve">ОСНОВНАЯ ПРОДУКЦИЯ</t>
  </si>
  <si>
    <t xml:space="preserve">СТАДИЯ ПРОРАБОТКИ</t>
  </si>
  <si>
    <t xml:space="preserve">ТЭО (технико-экономическое обоснование)</t>
  </si>
  <si>
    <t xml:space="preserve">НАЧАЛО СТРОИТЕЛЬСТВА</t>
  </si>
  <si>
    <t xml:space="preserve">01.10.2026</t>
  </si>
  <si>
    <t xml:space="preserve">НАЧАЛО ПРОИЗВОДСТВА</t>
  </si>
  <si>
    <t xml:space="preserve">01.10.2027</t>
  </si>
  <si>
    <t xml:space="preserve">СРОК РЕАЛИЗАЦИИ (по данным заемщика)</t>
  </si>
  <si>
    <t xml:space="preserve">ноябрь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</si>
  <si>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</si>
  <si>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</si>
  <si>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</si>
  <si>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 (ТЭО, форма F1 §4.01); акционеры заемщика — заполняется заемщиком</t>
  </si>
  <si>
    <t xml:space="preserve">Кредитор №1</t>
  </si>
  <si>
    <t xml:space="preserve">Банк-кредитор (наименование уточняется)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</si>
  <si>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</si>
  <si>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</si>
  <si>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</si>
  <si>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</si>
  <si>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года, ТЭО)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</si>
  <si>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</si>
  <si>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</si>
  <si>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</si>
  <si>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</si>
  <si>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</si>
  <si>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</si>
  <si>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</si>
  <si>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</si>
  <si>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 (72 платежа), с 31.01.2028 по 31.12.2033</t>
  </si>
  <si>
    <t xml:space="preserve">Уплата процентов</t>
  </si>
  <si>
    <t xml:space="preserve">ежемесячно; в льготный период (2027 г.) —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</si>
  <si>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</si>
  <si>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—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</si>
  <si>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</si>
  <si>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</si>
  <si>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</si>
  <si>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</si>
  <si>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</si>
  <si>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</si>
  <si>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</si>
  <si>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</si>
  <si>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</si>
  <si>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</si>
  <si>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</si>
  <si>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</si>
  <si>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</si>
  <si>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</si>
  <si>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</si>
  <si>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Освоение центральной части вольфрамового месторождения Сарикуль (1-я очередь)</t>
  </si>
  <si>
    <t xml:space="preserve">Переработка 600 тыс. т руды в год</t>
  </si>
  <si>
    <t xml:space="preserve">Строительство нового гидрометаллургического завода по переработке промышленного продукта — молибденового огарка</t>
  </si>
  <si>
    <t xml:space="preserve">Переработка 5 000 т молибденового огарка (концентрата) в год</t>
  </si>
  <si>
    <t xml:space="preserve">ЖАМИ / ИТОГО</t>
  </si>
  <si>
    <t xml:space="preserve">Лимит кредита, USD</t>
  </si>
  <si>
    <t xml:space="preserve">Примечание: распределение — пропорционально 30% авансу по EPC-контрактам (файл заемщика), с приведением суммы к лимиту 78,0 млн USD. Курсы пересчёта — как в файле заемщика (12,2 / 12,0 тыс. сум для EPC; 11,838 тыс. сум для аванса).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</si>
  <si>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</si>
  <si>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</si>
  <si>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по 31.12.2027 (1-й год кредита, льготный период).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</si>
  <si>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</si>
  <si>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</si>
  <si>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</si>
  <si>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</si>
  <si>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</si>
  <si>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Основание (источник данных)</t>
  </si>
  <si>
    <t xml:space="preserve">ВСЕГО ФИКСИРОВАННЫЕ АКТИВЫ</t>
  </si>
  <si>
    <t xml:space="preserve">Здания, сооружения и передаточные устройства</t>
  </si>
  <si>
    <t xml:space="preserve">ТЭО F8: T1, T2, T3, T5, T6, T7, T8, T12 (освоение 2026–2027 гг.)</t>
  </si>
  <si>
    <t xml:space="preserve">Машины и оборудование</t>
  </si>
  <si>
    <t xml:space="preserve">ТЭО F8: T4, T10, T25 (освоение 2026–2027 гг.)</t>
  </si>
  <si>
    <t xml:space="preserve">Транспортные средства</t>
  </si>
  <si>
    <t xml:space="preserve">ТЭО F8: T9 (освоение 2026–2027 гг.)</t>
  </si>
  <si>
    <t xml:space="preserve">Мебель, оргтехника и офисное оборудование</t>
  </si>
  <si>
    <t xml:space="preserve">ТЭО F8: T11 (освоение 2026–2027 гг.)</t>
  </si>
  <si>
    <t xml:space="preserve">РАБОЧИЙ КАПИТАЛ (на 31.12.2027), ВКЛЮЧАЯ:</t>
  </si>
  <si>
    <t xml:space="preserve">   Запасы сырья, материалов и готовой продукции</t>
  </si>
  <si>
    <t xml:space="preserve">ТЭО, баланс на 31.12.2027</t>
  </si>
  <si>
    <t xml:space="preserve">   Дебиторская задолженность покупателей</t>
  </si>
  <si>
    <t xml:space="preserve">   НДС к возмещению (в т.ч. по капитальным вложениям)</t>
  </si>
  <si>
    <t xml:space="preserve">   Кредиторская задолженность поставщикам (уменьшает потребность)</t>
  </si>
  <si>
    <t xml:space="preserve">   Задолженность по оплате труда и налогам с ФОТ (уменьшает потребность)</t>
  </si>
  <si>
    <t xml:space="preserve">ПРОЧИЕ ФИНАНСОВЫЕ ИЗДЕРЖКИ, ВКЛЮЧАЯ:</t>
  </si>
  <si>
    <t xml:space="preserve">   Проценты по кредиту за льготный период (2027 г.) — за счёт собственных средств</t>
  </si>
  <si>
    <t xml:space="preserve">Приложение 12 (LOANS), 7% годовых</t>
  </si>
  <si>
    <t xml:space="preserve">   Расходы подготовительного периода 2026 г. (административные и пусковые расходы)</t>
  </si>
  <si>
    <t xml:space="preserve">ТЭО, EBITDA 2026 г. (со знаком «−»)</t>
  </si>
  <si>
    <t xml:space="preserve">НЕПРЕДВИДЕННЫЕ РАСХОДЫ/РЕЗЕРВ (1% от суммы кредита)</t>
  </si>
  <si>
    <t xml:space="preserve">Форма банка («Share of costs», резерв = 1% кредита)</t>
  </si>
  <si>
    <t xml:space="preserve">ВСЕГО ПЕРВОНАЧАЛЬНАЯ СТОИМОСТЬ ПРОЕКТА</t>
  </si>
  <si>
    <t xml:space="preserve">Справочно: стоимость проекта по ТЭО-модели (капвложения с капитализированными процентами по кредиту ТЭО), USD</t>
  </si>
  <si>
    <t xml:space="preserve">Dashboard!стр.5</t>
  </si>
  <si>
    <t xml:space="preserve">Справочно: общая стоимость проекта по данным заемщика (файл аванса), млн USD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</si>
  <si>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</si>
  <si>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</si>
  <si>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</si>
  <si>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</si>
  <si>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</si>
  <si>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</si>
  <si>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</si>
  <si>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Банк (кредит 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</si>
  <si>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</si>
  <si>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</si>
  <si>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</si>
  <si>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</si>
  <si>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</si>
  <si>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</si>
  <si>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</si>
  <si>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РАБОЧИЙ КАПИТАЛ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</si>
  <si>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</si>
  <si>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</si>
  <si>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 2026 г.</t>
  </si>
  <si>
    <t xml:space="preserve">НЕПРЕДВИДЕННЫЕ РАСХОДЫ/РЕЗЕРВ</t>
  </si>
  <si>
    <t xml:space="preserve">Итого по источнику</t>
  </si>
  <si>
    <t xml:space="preserve">Кредит банка направляется на 30% авансовый платёж по EPC-контракту; распределение по группам активов — пропорционально составу EPC-контракта: P (поставка оборудования) — машины и оборудование, E+C (проектирование и строительство) —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</si>
  <si>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</si>
  <si>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</si>
  <si>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метод; сроки полезного использования и график амортизации — по ТЭО (форма F8). Проценты льготного периода капитализированы (МСФО IAS 23) и амортизируются в срок, принятый в ТЭО.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</si>
  <si>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</si>
  <si>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</si>
  <si>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</si>
  <si>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</si>
  <si>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</si>
  <si>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</si>
  <si>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T1. Разработка проектных документов (ТЭО и ЗВОС)</t>
  </si>
  <si>
    <t xml:space="preserve">T2. Разработка PFS проекта</t>
  </si>
  <si>
    <t xml:space="preserve">T3. Проектно-инженерные работы</t>
  </si>
  <si>
    <t xml:space="preserve">T4. Приобретение оборудования</t>
  </si>
  <si>
    <t xml:space="preserve">T5. Строительство</t>
  </si>
  <si>
    <t xml:space="preserve">T6. Земляные работы</t>
  </si>
  <si>
    <t xml:space="preserve">T7. Адаптация проектной документации</t>
  </si>
  <si>
    <t xml:space="preserve">T8. Строительство инфраструктуры (вода, газ, электроэнергия)</t>
  </si>
  <si>
    <t xml:space="preserve">T9. Технологический транспорт</t>
  </si>
  <si>
    <t xml:space="preserve">T10. Солнечные панели</t>
  </si>
  <si>
    <t xml:space="preserve">T11. Камеры наблюдения и вертикальные стойки</t>
  </si>
  <si>
    <t xml:space="preserve">T12. Дополнительные расходы</t>
  </si>
  <si>
    <t xml:space="preserve">T25. Поддерживающие капвложения (% от первоначальной стоимости ОС)</t>
  </si>
  <si>
    <t xml:space="preserve">Капитализированные проценты по кредиту за льготный период (2027 г.)</t>
  </si>
  <si>
    <t xml:space="preserve">Затраты по займам (МСФО IAS 23)</t>
  </si>
  <si>
    <t xml:space="preserve">Х</t>
  </si>
  <si>
    <t xml:space="preserve">в т.ч. в себестоимости продукции</t>
  </si>
  <si>
    <t xml:space="preserve">в т.ч. в административных расходах (ТЭО, F5)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</si>
  <si>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</si>
  <si>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</si>
  <si>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</si>
  <si>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</si>
  <si>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</si>
  <si>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</si>
  <si>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(2029 г.)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</si>
  <si>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</si>
  <si>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</si>
  <si>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t</t>
  </si>
  <si>
    <t xml:space="preserve">экспорт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</si>
  <si>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</si>
  <si>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</si>
  <si>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</si>
  <si>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</si>
  <si>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Триоксид вольфрама WO3 — экспорт</t>
  </si>
  <si>
    <t xml:space="preserve">Триоксид вольфрама WO3 —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</si>
  <si>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</si>
  <si>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</si>
  <si>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</si>
  <si>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</si>
  <si>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</si>
  <si>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</si>
  <si>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Триоксид вольфрама WO3</t>
  </si>
  <si>
    <t xml:space="preserve">ВНУТРЕННИЕ ПРОДАЖИ</t>
  </si>
  <si>
    <t xml:space="preserve">ВСЕГО ПРОДАЖ</t>
  </si>
  <si>
    <t xml:space="preserve">Справочно: доля экспорта в выручке</t>
  </si>
  <si>
    <t xml:space="preserve">СТОИМОСТЬ СЫРЬЯ И МАТЕРИАЛОВ ПРИ ПРОЕКТНОЙ МОЩНОСТИ (в экв. долл. США, 2029 г.)</t>
  </si>
  <si>
    <t xml:space="preserve">Приложение 7</t>
  </si>
  <si>
    <t xml:space="preserve">Базовый год — 2029 г. (освоение мощности 100%); цены — в номинальном выражении ТЭО;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</si>
  <si>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</si>
  <si>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</si>
  <si>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</si>
  <si>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</si>
  <si>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</si>
  <si>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</si>
  <si>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</si>
  <si>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Вольфрамовый концентрат 55%</t>
  </si>
  <si>
    <t xml:space="preserve">Сырьё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</si>
  <si>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</si>
  <si>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</si>
  <si>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Аммиачная вода 25% (на 100%)</t>
  </si>
  <si>
    <t xml:space="preserve">Вспомогательные материалы</t>
  </si>
  <si>
    <t xml:space="preserve">Соляная кислота 30%</t>
  </si>
  <si>
    <t xml:space="preserve">Гидроксид натрия</t>
  </si>
  <si>
    <t xml:space="preserve">Карбонат натрия</t>
  </si>
  <si>
    <t xml:space="preserve">Гидроксид алюминия</t>
  </si>
  <si>
    <t xml:space="preserve">Хлорид аммония</t>
  </si>
  <si>
    <t xml:space="preserve">Ионообменная смола</t>
  </si>
  <si>
    <t xml:space="preserve">Сульфид меди</t>
  </si>
  <si>
    <t xml:space="preserve">Сульфид аммония</t>
  </si>
  <si>
    <t xml:space="preserve">Фильтроткань</t>
  </si>
  <si>
    <t xml:space="preserve">m2</t>
  </si>
  <si>
    <t xml:space="preserve">Мешки 25 кг</t>
  </si>
  <si>
    <t xml:space="preserve">pcs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</si>
  <si>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</si>
  <si>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</si>
  <si>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(постоянные, по ТЭО)</t>
  </si>
  <si>
    <t xml:space="preserve">Статьи затрат</t>
  </si>
  <si>
    <t xml:space="preserve">Состав (строки ТЭО F4 §3)</t>
  </si>
  <si>
    <t xml:space="preserve">Ремонт и техническое обслуживание</t>
  </si>
  <si>
    <t xml:space="preserve">Ремонт СМР (0,5%); Ремонт оборудования (4%)</t>
  </si>
  <si>
    <t xml:space="preserve">Прочие производственные расходы (охрана труда, накладные и др.)</t>
  </si>
  <si>
    <t xml:space="preserve">Охрана труда; Прочие накладные СМР (0,5%); Прочие накладные оборудование (2%)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</si>
  <si>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</si>
  <si>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</si>
  <si>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США, 2029 г.)</t>
  </si>
  <si>
    <t xml:space="preserve">Приложение 8</t>
  </si>
  <si>
    <t xml:space="preserve">СТАТЬИ ЗАТРАТ</t>
  </si>
  <si>
    <t xml:space="preserve">Электроэнергия — переменная часть 80%</t>
  </si>
  <si>
    <t xml:space="preserve">MWh</t>
  </si>
  <si>
    <t xml:space="preserve">Техническая вода — переменная часть 80%</t>
  </si>
  <si>
    <t xml:space="preserve">m3</t>
  </si>
  <si>
    <t xml:space="preserve">Природный газ — переменная часть 80%</t>
  </si>
  <si>
    <t xml:space="preserve">Сброс сточных вод</t>
  </si>
  <si>
    <t xml:space="preserve">Электроэнергия — постоянная часть (по ТЭО)</t>
  </si>
  <si>
    <t xml:space="preserve">Природный газ / топливо — постоянная часть (по ТЭО)</t>
  </si>
  <si>
    <t xml:space="preserve">Вода — постоянная часть (по ТЭО)</t>
  </si>
  <si>
    <t xml:space="preserve">ВСЕГО ЭНЕРГОРЕСУРСЫ</t>
  </si>
  <si>
    <t xml:space="preserve">РАСЧЕТ ЗАРАБОТНОЙ ПЛАТЫ</t>
  </si>
  <si>
    <t xml:space="preserve">Количество, чел.</t>
  </si>
  <si>
    <t xml:space="preserve">Среднемесячная з/плата на 1 чел., сум (ТЭО, цены 2026 г.)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</si>
  <si>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</si>
  <si>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</si>
  <si>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</si>
  <si>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</si>
  <si>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Цех выщелачивания — начальник</t>
  </si>
  <si>
    <t xml:space="preserve">Цех выщелачивания — операторы</t>
  </si>
  <si>
    <t xml:space="preserve">Цех ионного обмена — начальник</t>
  </si>
  <si>
    <t xml:space="preserve">Операторы тонкой фильтрации</t>
  </si>
  <si>
    <t xml:space="preserve">Операторы ионного обмена</t>
  </si>
  <si>
    <t xml:space="preserve">Операторы участка очистки</t>
  </si>
  <si>
    <t xml:space="preserve">Цех APT и WO3 — руководитель</t>
  </si>
  <si>
    <t xml:space="preserve">Выпаривание-кристаллизация</t>
  </si>
  <si>
    <t xml:space="preserve">Фильтр-прессование и дробление</t>
  </si>
  <si>
    <t xml:space="preserve">Пирометаллургия и очистка газов</t>
  </si>
  <si>
    <t xml:space="preserve">Очистка стоков — бригадир</t>
  </si>
  <si>
    <t xml:space="preserve">Очистка стоков — рабочие</t>
  </si>
  <si>
    <t xml:space="preserve">Склад жидкого аммиака</t>
  </si>
  <si>
    <t xml:space="preserve">Котельная</t>
  </si>
  <si>
    <t xml:space="preserve">Механоремонтный цех</t>
  </si>
  <si>
    <t xml:space="preserve">Распределительное устройство</t>
  </si>
  <si>
    <t xml:space="preserve">Персонал по техобслуживанию</t>
  </si>
  <si>
    <t xml:space="preserve">Водители</t>
  </si>
  <si>
    <t xml:space="preserve">Автомобильные весы</t>
  </si>
  <si>
    <t xml:space="preserve">Охрана</t>
  </si>
  <si>
    <t xml:space="preserve">ИТОГО (фонд оплаты труда + социальный налог)</t>
  </si>
  <si>
    <t xml:space="preserve">АДМИНИСТРАЦИЯ</t>
  </si>
  <si>
    <t xml:space="preserve">Генеральный директор</t>
  </si>
  <si>
    <t xml:space="preserve">Заместитель ген. директора</t>
  </si>
  <si>
    <t xml:space="preserve">Офисные служащие</t>
  </si>
  <si>
    <t xml:space="preserve">Руководитель финансового отдела</t>
  </si>
  <si>
    <t xml:space="preserve">Бухгалтер</t>
  </si>
  <si>
    <t xml:space="preserve">Кассир</t>
  </si>
  <si>
    <t xml:space="preserve">Руководитель отдела снабжения и сбыта</t>
  </si>
  <si>
    <t xml:space="preserve">Специалист по закупкам</t>
  </si>
  <si>
    <t xml:space="preserve">Специалист по сбыту</t>
  </si>
  <si>
    <t xml:space="preserve">Руководитель отдела кадров</t>
  </si>
  <si>
    <t xml:space="preserve">Специалист по кадрам</t>
  </si>
  <si>
    <t xml:space="preserve">Специалист по обучению</t>
  </si>
  <si>
    <t xml:space="preserve">Руководитель ПТО</t>
  </si>
  <si>
    <t xml:space="preserve">Инженер-металлург</t>
  </si>
  <si>
    <t xml:space="preserve">Инженер-электрик</t>
  </si>
  <si>
    <t xml:space="preserve">Прочие технические специалисты</t>
  </si>
  <si>
    <t xml:space="preserve">Отдел охраны труда и окружающей среды</t>
  </si>
  <si>
    <t xml:space="preserve">Прочий обслуживающий персонал</t>
  </si>
  <si>
    <t xml:space="preserve">ОБЩАЯ СУММА</t>
  </si>
  <si>
    <t xml:space="preserve">Зарплата установлена в ТЭО в сумах (реальные цены 2026 г.) и пересчитана в USD по курсу и индексации ТЭО.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</si>
  <si>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</si>
  <si>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</si>
  <si>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</si>
  <si>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</si>
  <si>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</si>
  <si>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1.50%</t>
  </si>
  <si>
    <t xml:space="preserve">   Земельный налог</t>
  </si>
  <si>
    <t xml:space="preserve">   Специальный рентный налог</t>
  </si>
  <si>
    <t xml:space="preserve">   Налог за пользование недрами (НДПИ) —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</si>
  <si>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</si>
  <si>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</si>
  <si>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</si>
  <si>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</si>
  <si>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по ТЭО</t>
  </si>
  <si>
    <t xml:space="preserve">   НДС к уплате в бюджет (по ТЭО; при превышении входящего НДС —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</si>
  <si>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</si>
  <si>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</si>
  <si>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— 0%)</t>
  </si>
  <si>
    <t xml:space="preserve">НДС входящий — по операционным затратам</t>
  </si>
  <si>
    <t xml:space="preserve">НДС входящий — по капитальным вложениям (1-й год вкл. 2026 г.)</t>
  </si>
  <si>
    <t xml:space="preserve">НДС к уплате (+) / к возмещению из бюджета (−)</t>
  </si>
  <si>
    <t xml:space="preserve">Расчет налога на прибыль</t>
  </si>
  <si>
    <t xml:space="preserve">Прибыль до налогообложения по ТЭО-модели (при кредите ТЭО)</t>
  </si>
  <si>
    <t xml:space="preserve">Налог на прибыль по ТЭО-модели (с налоговыми корректировками, переносом убытков и отложенным налогом)</t>
  </si>
  <si>
    <t xml:space="preserve">Прибыль до налогообложения по бизнес-плану (Приложение 13)</t>
  </si>
  <si>
    <t xml:space="preserve">Ставка налога на прибыль (ТЭО)</t>
  </si>
  <si>
    <t xml:space="preserve">Налог на прибыль по бизнес-плану = налог ТЭО + ставка × (ПДН бизнес-плана − ПДН ТЭО)</t>
  </si>
  <si>
    <t xml:space="preserve">Структура финансирования влияет на налог только через проценты и амортизацию капитализированных процентов; все прочие налоговые особенности проекта (льготы, вменённый доход, рентный налог, перенос убытков) — по ТЭО.</t>
  </si>
  <si>
    <t xml:space="preserve">СТОИМОСТЬ ПРОДУКЦИИ ПРИ ПРОЕКТНОЙ МОЩНОСТИ (в экв. долл. США, 2029 г.)</t>
  </si>
  <si>
    <t xml:space="preserve">Приложение 10</t>
  </si>
  <si>
    <t xml:space="preserve">Разделение на постоянные и переменные затраты — по классификации ТЭО (формы F4, F5, F6, F10).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</si>
  <si>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</si>
  <si>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</si>
  <si>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</si>
  <si>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</si>
  <si>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</si>
  <si>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</si>
  <si>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 по статьям ТЭО</t>
  </si>
  <si>
    <t xml:space="preserve">   с ценой в твёрдой валюте (USD)</t>
  </si>
  <si>
    <t xml:space="preserve">0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</si>
  <si>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</si>
  <si>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</si>
  <si>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</si>
  <si>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</si>
  <si>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</si>
  <si>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</si>
  <si>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</si>
  <si>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</si>
  <si>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</si>
  <si>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</si>
  <si>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 (ТЭО)</t>
  </si>
  <si>
    <t xml:space="preserve">Прочие операционные расходы / (доходы)</t>
  </si>
  <si>
    <t xml:space="preserve">Амортизация (Приложение 4)</t>
  </si>
  <si>
    <t xml:space="preserve">ИТОГО</t>
  </si>
  <si>
    <t xml:space="preserve">в т.ч. в местной валюте</t>
  </si>
  <si>
    <t xml:space="preserve">в т.ч. в твёрдой валюте (производственные затраты в USD, ТЭО)</t>
  </si>
  <si>
    <t xml:space="preserve">Выручка (2029 г.)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</si>
  <si>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</si>
  <si>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</si>
  <si>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</si>
  <si>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</si>
  <si>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</si>
  <si>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</si>
  <si>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Сырьё</t>
  </si>
  <si>
    <t xml:space="preserve">   Вспомогательные материалы</t>
  </si>
  <si>
    <t xml:space="preserve">   Электроэнергия</t>
  </si>
  <si>
    <t xml:space="preserve">   Природный газ / топливо</t>
  </si>
  <si>
    <t xml:space="preserve">   Вода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</si>
  <si>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</si>
  <si>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</si>
  <si>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</si>
  <si>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</si>
  <si>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</si>
  <si>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</si>
  <si>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</si>
  <si>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(− прирост запаса)</t>
  </si>
  <si>
    <t xml:space="preserve">Себестоимость реализованной продукции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</si>
  <si>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</si>
  <si>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</si>
  <si>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</si>
  <si>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</si>
  <si>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</si>
  <si>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</si>
  <si>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</si>
  <si>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</si>
  <si>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</si>
  <si>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 (ТЭО, F6)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</si>
  <si>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</si>
  <si>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</si>
  <si>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</si>
  <si>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— капитализированы, оплачены за счёт собственных средств)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</si>
  <si>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</si>
  <si>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</si>
  <si>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</si>
  <si>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</si>
  <si>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</si>
  <si>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</si>
  <si>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</si>
  <si>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</si>
  <si>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</si>
  <si>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</si>
  <si>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</si>
  <si>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</si>
  <si>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</si>
  <si>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</si>
  <si>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</si>
  <si>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</si>
  <si>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</si>
  <si>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</si>
  <si>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</si>
  <si>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</si>
  <si>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</si>
  <si>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Год</t>
  </si>
  <si>
    <t xml:space="preserve">№ года</t>
  </si>
  <si>
    <t xml:space="preserve">ГОДОВАЯ СВОДКА ПО КРЕДИТУ</t>
  </si>
  <si>
    <t xml:space="preserve">1 год (2027)</t>
  </si>
  <si>
    <t xml:space="preserve">2 год (2028)</t>
  </si>
  <si>
    <t xml:space="preserve">3 год (2029)</t>
  </si>
  <si>
    <t xml:space="preserve">4 год (2030)</t>
  </si>
  <si>
    <t xml:space="preserve">5 год (2031)</t>
  </si>
  <si>
    <t xml:space="preserve">6 год (2032)</t>
  </si>
  <si>
    <t xml:space="preserve">7 год (2033)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</si>
  <si>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</si>
  <si>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</si>
  <si>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</si>
  <si>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</si>
  <si>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</si>
  <si>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</si>
  <si>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</si>
  <si>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</si>
  <si>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</si>
  <si>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</si>
  <si>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</si>
  <si>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</si>
  <si>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</si>
  <si>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</si>
  <si>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</si>
  <si>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</si>
  <si>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</si>
  <si>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</si>
  <si>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</si>
  <si>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</si>
  <si>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</si>
  <si>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</si>
  <si>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</si>
  <si>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</si>
  <si>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</si>
  <si>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</si>
  <si>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</si>
  <si>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оплачиваются за счёт собственных средств и капитализируются в стоимость основных средств (МСФО IAS 23, Приложения 1 и 4); в отчёт о прибылях и убытках не включаются.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</si>
  <si>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</si>
  <si>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</si>
  <si>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</si>
  <si>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</si>
  <si>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</si>
  <si>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</si>
  <si>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</si>
  <si>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</si>
  <si>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</si>
  <si>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</si>
  <si>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</si>
  <si>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</si>
  <si>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</si>
  <si>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Начало</t>
  </si>
  <si>
    <t xml:space="preserve">01.01.2026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</si>
  <si>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</si>
  <si>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</si>
  <si>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</si>
  <si>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</si>
  <si>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</si>
  <si>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</si>
  <si>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</si>
  <si>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</si>
  <si>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(− рост / + снижение)</t>
  </si>
  <si>
    <t xml:space="preserve">Прочие изменения операционных статей (налоги к уплате и пр., по ТЭО)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</si>
  <si>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</si>
  <si>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 (01.01.2026), т.е. включает 2026 г. Остатки — по балансу ТЭО-модели.</t>
  </si>
  <si>
    <t xml:space="preserve">ПОТОКИ НАЛИЧНОСТИ (в экв. долл. США)</t>
  </si>
  <si>
    <t xml:space="preserve">Приложение 15</t>
  </si>
  <si>
    <t xml:space="preserve">1-й год (2027) — инвестиционный и льготный период; включает также освоение капвложений и расходы подготовительного периода 2026 г.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</si>
  <si>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</si>
  <si>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</si>
  <si>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</si>
  <si>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</si>
  <si>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 2026 г.</t>
  </si>
  <si>
    <t xml:space="preserve">Налог на прибыль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</si>
  <si>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</si>
  <si>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</si>
  <si>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банка</t>
  </si>
  <si>
    <t xml:space="preserve">Инвестиции (капитальные вложения; 1-й год вкл. 2026 г.)</t>
  </si>
  <si>
    <t xml:space="preserve">Проценты за кредит (B)</t>
  </si>
  <si>
    <t xml:space="preserve">Прочие финансовые издержки в инвестиционный период (проценты льготного периода)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</si>
  <si>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</si>
  <si>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</si>
  <si>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</si>
  <si>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− инвестиции)/(B+C)]</t>
  </si>
  <si>
    <t xml:space="preserve">Минимальный DSCR (2–7 годы)</t>
  </si>
  <si>
    <t xml:space="preserve">Средний DSCR (2–7 годы)</t>
  </si>
  <si>
    <t xml:space="preserve">Проценты льготного периода (1-й год) уплачиваются за счёт собственных средств заемщика (включены в стоимость проекта, Приложение 1). Налог на прибыль — в размере начисленного (без учёта отсрочки уплаты).</t>
  </si>
  <si>
    <t xml:space="preserve">ТОЧКА БЕЗУБЫТОЧНОСТИ (в экв. долл. США, 2029 г.)</t>
  </si>
  <si>
    <t xml:space="preserve">Приложение 16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</si>
  <si>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</si>
  <si>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</si>
  <si>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</si>
  <si>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</si>
  <si>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</si>
  <si>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</si>
  <si>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Справочно: снижение цены всех продуктов до безубыточности по ТЭО-модели (12 лет)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</si>
  <si>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</si>
  <si>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− инвестиции; горизонт —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</si>
  <si>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</si>
  <si>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</si>
  <si>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</si>
  <si>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 по ТЭО)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</si>
  <si>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</si>
  <si>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</si>
  <si>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</si>
  <si>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</si>
  <si>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</si>
  <si>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</si>
  <si>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</si>
  <si>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</si>
  <si>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</si>
  <si>
    <t xml:space="preserve">Справочно: показатели ТЭО-модели (горизонт 12 лет, исходная структура финансирования ТЭО)</t>
  </si>
  <si>
    <t xml:space="preserve">NPV проекта (FCFF по WACC), USD</t>
  </si>
  <si>
    <t xml:space="preserve">IRR проекта</t>
  </si>
  <si>
    <t xml:space="preserve">Срок окупаемости, лет от начала модели (01.01.2026)</t>
  </si>
  <si>
    <t xml:space="preserve">Индекс доходности</t>
  </si>
  <si>
    <t xml:space="preserve">КОНТРОЛЬНЫЕ ПРОВЕРКИ МОДЕЛИ</t>
  </si>
  <si>
    <t xml:space="preserve">Проверка</t>
  </si>
  <si>
    <t xml:space="preserve">Значение</t>
  </si>
  <si>
    <t xml:space="preserve">Допуск</t>
  </si>
  <si>
    <t xml:space="preserve">Результат</t>
  </si>
  <si>
    <t xml:space="preserve">Выручка = ТЭО (сумма отклонений за 1–7 годы, USD)</t>
  </si>
  <si>
    <t xml:space="preserve">EBITDA = ТЭО (сумма отклонений, USD)</t>
  </si>
  <si>
    <t xml:space="preserve">Производственная себестоимость по элементам = ТЭО (без амортизации капитализированных процентов)</t>
  </si>
  <si>
    <t xml:space="preserve">Производство = мощность × освоение = ТЭО</t>
  </si>
  <si>
    <t xml:space="preserve">Запас готовой продукции на конец 7-го года = ТЭО</t>
  </si>
  <si>
    <t xml:space="preserve">Стоимость проекта = источники финансирования (USD)</t>
  </si>
  <si>
    <t xml:space="preserve">Кредит в финансовом плане = сумма кредита (USD)</t>
  </si>
  <si>
    <t xml:space="preserve">Кредит полностью погашен к концу 7-го года (остаток, USD)</t>
  </si>
  <si>
    <t xml:space="preserve">Сумма кредитов по трём проектам = 78 000 000 USD</t>
  </si>
  <si>
    <t xml:space="preserve">Минимальный чистый поток наличности за 1–7 годы (должен быть &gt; 0)</t>
  </si>
  <si>
    <t xml:space="preserve">Минимальный кумулятивный поток наличности (должен быть &gt; 0)</t>
  </si>
  <si>
    <t xml:space="preserve">Минимальная чистая прибыль за 1–7 годы (должна быть &gt; 0)</t>
  </si>
  <si>
    <t xml:space="preserve">Минимальный DSCR за 2–7 годы (≥ 1,20)</t>
  </si>
  <si>
    <t xml:space="preserve">Амортизация по объектам = ТЭО (без капитализированных процентов)</t>
  </si>
  <si>
    <t xml:space="preserve">Затраты при проектной мощности (Прил. 10) = себестоимость + расходы периода + прочие (2029 г., Прил. 11)</t>
  </si>
  <si>
    <t xml:space="preserve">Сырьё, материалы, энергоресурсы, ФОТ и прочие (Прил. 7, 8) = производственная себестоимость без амортизации (2029 г.)</t>
  </si>
  <si>
    <t xml:space="preserve">Фонд оплаты труда административного персонала с соц. налогом (Прил. 8) = ТЭО (2029 г.)</t>
  </si>
  <si>
    <t xml:space="preserve">Поток 1-го года: собственные средства покрывают все затраты сверх кредита (остаток на конец 1-го года ≥ резерва)</t>
  </si>
  <si>
    <t xml:space="preserve">ИТОГ ПРОВЕРОК</t>
  </si>
  <si>
    <t xml:space="preserve">ИСХОДНЫЕ ДАННЫЕ ИЗ ТЭО-МОДЕЛИ (в долл. США, если не указано иное)</t>
  </si>
  <si>
    <t xml:space="preserve">Источник: финансовая модель ТЭО «UzTMK_BP_Model_v1_9_Tungsten_FS.xlsx». Значения перенесены без изменений (синий шрифт); столбец «Источник» — лист и строка модели.</t>
  </si>
  <si>
    <t xml:space="preserve">Код</t>
  </si>
  <si>
    <t xml:space="preserve">Показатель</t>
  </si>
  <si>
    <t xml:space="preserve">Источник (лист!строка ТЭО-модели)</t>
  </si>
  <si>
    <t xml:space="preserve">2026</t>
  </si>
  <si>
    <t xml:space="preserve">1. ПАРАМЕТРЫ ТЭО-МОДЕЛИ</t>
  </si>
  <si>
    <t xml:space="preserve">wacc</t>
  </si>
  <si>
    <t xml:space="preserve">Ставка дисконтирования проекта (WACC), номинальная в USD</t>
  </si>
  <si>
    <t xml:space="preserve">F12 Financing!стр.154</t>
  </si>
  <si>
    <t xml:space="preserve">capbc_life</t>
  </si>
  <si>
    <t xml:space="preserve">Срок амортизации капитализированных процентов (IAS 23), лет</t>
  </si>
  <si>
    <t xml:space="preserve">лет</t>
  </si>
  <si>
    <t xml:space="preserve">F12 Financing!стр.127</t>
  </si>
  <si>
    <t xml:space="preserve">months_y1</t>
  </si>
  <si>
    <t xml:space="preserve">Месяцев эксплуатации в 2027 г. (начало производства 01.10.2027)</t>
  </si>
  <si>
    <t xml:space="preserve">мес.</t>
  </si>
  <si>
    <t xml:space="preserve">F1 General §5.04</t>
  </si>
  <si>
    <t xml:space="preserve">dso</t>
  </si>
  <si>
    <t xml:space="preserve">Оборотный капитал / ФОТ: Дебиторская задолженность</t>
  </si>
  <si>
    <t xml:space="preserve">Assumptions!стр.118</t>
  </si>
  <si>
    <t xml:space="preserve">rm_days</t>
  </si>
  <si>
    <t xml:space="preserve">Оборотный капитал / ФОТ: Запасы сырья и материалов</t>
  </si>
  <si>
    <t xml:space="preserve">F11 Working capital!стр.18</t>
  </si>
  <si>
    <t xml:space="preserve">wip_days</t>
  </si>
  <si>
    <t xml:space="preserve">Оборотный капитал / ФОТ: Незавершённое производство</t>
  </si>
  <si>
    <t xml:space="preserve">Assumptions!стр.116</t>
  </si>
  <si>
    <t xml:space="preserve">fg_days</t>
  </si>
  <si>
    <t xml:space="preserve">Оборотный капитал / ФОТ: Готовая продукция (мин. запас)</t>
  </si>
  <si>
    <t xml:space="preserve">Assumptions!стр.117</t>
  </si>
  <si>
    <t xml:space="preserve">dpo</t>
  </si>
  <si>
    <t xml:space="preserve">Оборотный капитал / ФОТ: Кредиторская задолженность</t>
  </si>
  <si>
    <t xml:space="preserve">Assumptions!стр.119</t>
  </si>
  <si>
    <t xml:space="preserve">wage_lag</t>
  </si>
  <si>
    <t xml:space="preserve">Оборотный капитал / ФОТ: Задолженность по зарплате</t>
  </si>
  <si>
    <t xml:space="preserve">Assumptions!стр.104</t>
  </si>
  <si>
    <t xml:space="preserve">vat_refund_lag</t>
  </si>
  <si>
    <t xml:space="preserve">Оборотный капитал / ФОТ: Срок возмещения НДС (операционный)</t>
  </si>
  <si>
    <t xml:space="preserve">Assumptions!стр.109</t>
  </si>
  <si>
    <t xml:space="preserve">capex_vat_lag</t>
  </si>
  <si>
    <t xml:space="preserve">Оборотный капитал / ФОТ: Срок возмещения НДС по капвложениям</t>
  </si>
  <si>
    <t xml:space="preserve">Assumptions!стр.112</t>
  </si>
  <si>
    <t xml:space="preserve">soc_rate</t>
  </si>
  <si>
    <t xml:space="preserve">Ставка социального налога</t>
  </si>
  <si>
    <t xml:space="preserve">Assumptions!стр.67</t>
  </si>
  <si>
    <t xml:space="preserve">npv_model</t>
  </si>
  <si>
    <t xml:space="preserve">NPV проекта по ТЭО-модели (12 лет, исходная структура финансирования)</t>
  </si>
  <si>
    <t xml:space="preserve">irr_model</t>
  </si>
  <si>
    <t xml:space="preserve">IRR проекта по ТЭО-модели</t>
  </si>
  <si>
    <t xml:space="preserve">Dashboard!стр.6</t>
  </si>
  <si>
    <t xml:space="preserve">payback_model</t>
  </si>
  <si>
    <t xml:space="preserve">Срок окупаемости по ТЭО-модели, лет от начала модели</t>
  </si>
  <si>
    <t xml:space="preserve">Dashboard!стр.9</t>
  </si>
  <si>
    <t xml:space="preserve">dpayback_model</t>
  </si>
  <si>
    <t xml:space="preserve">Дисконтированный срок окупаемости по ТЭО-модели, лет</t>
  </si>
  <si>
    <t xml:space="preserve">Dashboard!стр.10</t>
  </si>
  <si>
    <t xml:space="preserve">pi_model</t>
  </si>
  <si>
    <t xml:space="preserve">Индекс доходности по ТЭО-модели</t>
  </si>
  <si>
    <t xml:space="preserve">Dashboard!стр.11</t>
  </si>
  <si>
    <t xml:space="preserve">2. КУРС, НАЛОГОВЫЕ СТАВКИ</t>
  </si>
  <si>
    <t xml:space="preserve">fx</t>
  </si>
  <si>
    <t xml:space="preserve">Средний курс UZS за 1 USD</t>
  </si>
  <si>
    <t xml:space="preserve">сум</t>
  </si>
  <si>
    <t xml:space="preserve">F12 Financing!стр.15</t>
  </si>
  <si>
    <t xml:space="preserve">cit_rate</t>
  </si>
  <si>
    <t xml:space="preserve">Ставка налога на прибыль</t>
  </si>
  <si>
    <t xml:space="preserve">F10 Taxes!стр.13</t>
  </si>
  <si>
    <t xml:space="preserve">vat_rate</t>
  </si>
  <si>
    <t xml:space="preserve">Ставка НДС</t>
  </si>
  <si>
    <t xml:space="preserve">F10 Taxes!стр.40</t>
  </si>
  <si>
    <t xml:space="preserve">3. ПРОИЗВОДСТВО И РЕАЛИЗАЦИЯ</t>
  </si>
  <si>
    <t xml:space="preserve">cap0</t>
  </si>
  <si>
    <t xml:space="preserve">Триоксид вольфрама WO3: проектная мощность в год</t>
  </si>
  <si>
    <t xml:space="preserve">F2 Production!стр.18</t>
  </si>
  <si>
    <t xml:space="preserve">util0</t>
  </si>
  <si>
    <t xml:space="preserve">Триоксид вольфрама WO3: освоение мощности</t>
  </si>
  <si>
    <t xml:space="preserve">prod0</t>
  </si>
  <si>
    <t xml:space="preserve">Триоксид вольфрама WO3: производство</t>
  </si>
  <si>
    <t xml:space="preserve">F2 Production!стр.14</t>
  </si>
  <si>
    <t xml:space="preserve">sexp0</t>
  </si>
  <si>
    <t xml:space="preserve">Триоксид вольфрама WO3: продажи — экспорт</t>
  </si>
  <si>
    <t xml:space="preserve">F3 Prices &amp; Revenue!стр.26</t>
  </si>
  <si>
    <t xml:space="preserve">sdom0</t>
  </si>
  <si>
    <t xml:space="preserve">Триоксид вольфрама WO3: продажи — внутренний рынок</t>
  </si>
  <si>
    <t xml:space="preserve">F3 Prices &amp; Revenue!стр.25</t>
  </si>
  <si>
    <t xml:space="preserve">close0</t>
  </si>
  <si>
    <t xml:space="preserve">Триоксид вольфрама WO3: запас на конец года</t>
  </si>
  <si>
    <t xml:space="preserve">F3 Prices &amp; Revenue!стр.29</t>
  </si>
  <si>
    <t xml:space="preserve">price0</t>
  </si>
  <si>
    <t xml:space="preserve">Триоксид вольфрама WO3: цена реализации</t>
  </si>
  <si>
    <t xml:space="preserve">F3 Prices &amp; Revenue!стр.36</t>
  </si>
  <si>
    <t xml:space="preserve">rev0</t>
  </si>
  <si>
    <t xml:space="preserve">Триоксид вольфрама WO3: выручка (контроль)</t>
  </si>
  <si>
    <t xml:space="preserve">F3 Prices &amp; Revenue!стр.38</t>
  </si>
  <si>
    <t xml:space="preserve">4. ОТЧЁТ О ПРИБЫЛЯХ И УБЫТКАХ ТЭО-МОДЕЛИ (затраты со знаком «+»)</t>
  </si>
  <si>
    <t xml:space="preserve">rev</t>
  </si>
  <si>
    <t xml:space="preserve">Выручка</t>
  </si>
  <si>
    <t xml:space="preserve">P&amp;L!стр.10</t>
  </si>
  <si>
    <t xml:space="preserve">cos</t>
  </si>
  <si>
    <t xml:space="preserve">Себестоимость продаж</t>
  </si>
  <si>
    <t xml:space="preserve">P&amp;L!стр.13</t>
  </si>
  <si>
    <t xml:space="preserve">cos_da</t>
  </si>
  <si>
    <t xml:space="preserve">в т.ч. амортизация в себестоимости</t>
  </si>
  <si>
    <t xml:space="preserve">P&amp;L!стр.12</t>
  </si>
  <si>
    <t xml:space="preserve">sell</t>
  </si>
  <si>
    <t xml:space="preserve">P&amp;L!стр.15</t>
  </si>
  <si>
    <t xml:space="preserve">ga</t>
  </si>
  <si>
    <t xml:space="preserve">Общие и административные расходы</t>
  </si>
  <si>
    <t xml:space="preserve">P&amp;L!стр.16</t>
  </si>
  <si>
    <t xml:space="preserve">ooi</t>
  </si>
  <si>
    <t xml:space="preserve">Прочие операционные доходы</t>
  </si>
  <si>
    <t xml:space="preserve">P&amp;L!стр.17</t>
  </si>
  <si>
    <t xml:space="preserve">ooe</t>
  </si>
  <si>
    <t xml:space="preserve">Прочие операционные расходы (вкл. налог на имущество, земельный, рентный, резерв)</t>
  </si>
  <si>
    <t xml:space="preserve">P&amp;L!стр.18</t>
  </si>
  <si>
    <t xml:space="preserve">ebit</t>
  </si>
  <si>
    <t xml:space="preserve">Операционная прибыль (EBIT)</t>
  </si>
  <si>
    <t xml:space="preserve">P&amp;L!стр.19</t>
  </si>
  <si>
    <t xml:space="preserve">fin</t>
  </si>
  <si>
    <t xml:space="preserve">Финансовые расходы (кредит ТЭО-модели — в бизнес-плане заменён)</t>
  </si>
  <si>
    <t xml:space="preserve">P&amp;L!стр.21</t>
  </si>
  <si>
    <t xml:space="preserve">pbt</t>
  </si>
  <si>
    <t xml:space="preserve">Прибыль до налогообложения</t>
  </si>
  <si>
    <t xml:space="preserve">P&amp;L!стр.23</t>
  </si>
  <si>
    <t xml:space="preserve">tax</t>
  </si>
  <si>
    <t xml:space="preserve">Расход по налогу на прибыль</t>
  </si>
  <si>
    <t xml:space="preserve">P&amp;L!стр.24</t>
  </si>
  <si>
    <t xml:space="preserve">np</t>
  </si>
  <si>
    <t xml:space="preserve">P&amp;L!стр.25</t>
  </si>
  <si>
    <t xml:space="preserve">da</t>
  </si>
  <si>
    <t xml:space="preserve">Амортизация (итого)</t>
  </si>
  <si>
    <t xml:space="preserve">P&amp;L!стр.27</t>
  </si>
  <si>
    <t xml:space="preserve">ebitda</t>
  </si>
  <si>
    <t xml:space="preserve">P&amp;L!стр.28</t>
  </si>
  <si>
    <t xml:space="preserve">capbc_dep</t>
  </si>
  <si>
    <t xml:space="preserve">Амортизация капитализированных процентов кредита ТЭО-модели</t>
  </si>
  <si>
    <t xml:space="preserve">F12 Financing!стр.137</t>
  </si>
  <si>
    <t xml:space="preserve">usd_prod</t>
  </si>
  <si>
    <t xml:space="preserve">Справочно: производственные затраты, номинированные в USD</t>
  </si>
  <si>
    <t xml:space="preserve">P&amp;L!стр.43</t>
  </si>
  <si>
    <t xml:space="preserve">rev_usd</t>
  </si>
  <si>
    <t xml:space="preserve">Справочно: выручка от продукции с ценой в USD</t>
  </si>
  <si>
    <t xml:space="preserve">P&amp;L!стр.40</t>
  </si>
  <si>
    <t xml:space="preserve">5. СЕБЕСТОИМОСТЬ ПО ЭЛЕМЕНТАМ ЗАТРАТ (ТЭО, форма F4, до изменения остатков)</t>
  </si>
  <si>
    <t xml:space="preserve">el_raw</t>
  </si>
  <si>
    <t xml:space="preserve">F4 COGS!стр.151</t>
  </si>
  <si>
    <t xml:space="preserve">el_auxiliary</t>
  </si>
  <si>
    <t xml:space="preserve">F4 COGS!стр.152</t>
  </si>
  <si>
    <t xml:space="preserve">el_electricity</t>
  </si>
  <si>
    <t xml:space="preserve">Электроэнергия</t>
  </si>
  <si>
    <t xml:space="preserve">F4 COGS!стр.153</t>
  </si>
  <si>
    <t xml:space="preserve">el_gas</t>
  </si>
  <si>
    <t xml:space="preserve">Природный газ / топливо</t>
  </si>
  <si>
    <t xml:space="preserve">F4 COGS!стр.154</t>
  </si>
  <si>
    <t xml:space="preserve">el_water</t>
  </si>
  <si>
    <t xml:space="preserve">Вода</t>
  </si>
  <si>
    <t xml:space="preserve">F4 COGS!стр.155</t>
  </si>
  <si>
    <t xml:space="preserve">el_payroll</t>
  </si>
  <si>
    <t xml:space="preserve">Заработная плата</t>
  </si>
  <si>
    <t xml:space="preserve">F4 COGS!стр.156</t>
  </si>
  <si>
    <t xml:space="preserve">el_social</t>
  </si>
  <si>
    <t xml:space="preserve">Социальный налог</t>
  </si>
  <si>
    <t xml:space="preserve">F4 COGS!стр.157</t>
  </si>
  <si>
    <t xml:space="preserve">el_depreciation</t>
  </si>
  <si>
    <t xml:space="preserve">Амортизация</t>
  </si>
  <si>
    <t xml:space="preserve">F4 COGS!стр.158</t>
  </si>
  <si>
    <t xml:space="preserve">el_repairs</t>
  </si>
  <si>
    <t xml:space="preserve">Ремонт и техобслуживание</t>
  </si>
  <si>
    <t xml:space="preserve">F4 COGS!стр.159</t>
  </si>
  <si>
    <t xml:space="preserve">el_other</t>
  </si>
  <si>
    <t xml:space="preserve">Прочие производственные расходы</t>
  </si>
  <si>
    <t xml:space="preserve">F4 COGS!стр.160</t>
  </si>
  <si>
    <t xml:space="preserve">el_total</t>
  </si>
  <si>
    <t xml:space="preserve">Итого производственная себестоимость (с амортизацией)</t>
  </si>
  <si>
    <t xml:space="preserve">F4 COGS!стр.161</t>
  </si>
  <si>
    <t xml:space="preserve">met</t>
  </si>
  <si>
    <t xml:space="preserve">в т.ч. налог за пользование недрами (НДПИ), в составе прочих</t>
  </si>
  <si>
    <t xml:space="preserve">F4 COGS!стр.128</t>
  </si>
  <si>
    <t xml:space="preserve">var_cogs</t>
  </si>
  <si>
    <t xml:space="preserve">Переменная себестоимость (ТЭО)</t>
  </si>
  <si>
    <t xml:space="preserve">F4 COGS!стр.133</t>
  </si>
  <si>
    <t xml:space="preserve">6. ОПЕРАЦИОННЫЕ (ПЕРИОДНЫЕ) РАСХОДЫ И ПРОЧИЕ СТАТЬИ (ТЭО, формы F5, F6, F10)</t>
  </si>
  <si>
    <t xml:space="preserve">pers_ga</t>
  </si>
  <si>
    <t xml:space="preserve">Административный персонал (с соц. налогом)</t>
  </si>
  <si>
    <t xml:space="preserve">F5 Opex!стр.101</t>
  </si>
  <si>
    <t xml:space="preserve">opex_fixed</t>
  </si>
  <si>
    <t xml:space="preserve">Постоянные операционные расходы проекта</t>
  </si>
  <si>
    <t xml:space="preserve">F5 Opex!стр.78</t>
  </si>
  <si>
    <t xml:space="preserve">opex_var</t>
  </si>
  <si>
    <t xml:space="preserve">Переменные операционные расходы (вкл. коммерческие)</t>
  </si>
  <si>
    <t xml:space="preserve">F5 Opex!стр.79</t>
  </si>
  <si>
    <t xml:space="preserve">opex_ga_da</t>
  </si>
  <si>
    <t xml:space="preserve">Амортизация административных активов</t>
  </si>
  <si>
    <t xml:space="preserve">F5 Opex!стр.86</t>
  </si>
  <si>
    <t xml:space="preserve">contingency</t>
  </si>
  <si>
    <t xml:space="preserve">Резерв на непредвиденные операционные расходы</t>
  </si>
  <si>
    <t xml:space="preserve">F6 Other items!стр.41</t>
  </si>
  <si>
    <t xml:space="preserve">prop_tax</t>
  </si>
  <si>
    <t xml:space="preserve">Налог на имущество</t>
  </si>
  <si>
    <t xml:space="preserve">F10 Taxes!стр.22</t>
  </si>
  <si>
    <t xml:space="preserve">land_tax</t>
  </si>
  <si>
    <t xml:space="preserve">Земельный налог</t>
  </si>
  <si>
    <t xml:space="preserve">F10 Taxes!стр.25</t>
  </si>
  <si>
    <t xml:space="preserve">rent_tax</t>
  </si>
  <si>
    <t xml:space="preserve">F10 Taxes: нет строки</t>
  </si>
  <si>
    <t xml:space="preserve">vat_out</t>
  </si>
  <si>
    <t xml:space="preserve">НДС исходящий (с реализации на внутреннем рынке)</t>
  </si>
  <si>
    <t xml:space="preserve">F10 Taxes!стр.47</t>
  </si>
  <si>
    <t xml:space="preserve">vat_in_op</t>
  </si>
  <si>
    <t xml:space="preserve">НДС входящий — операционный</t>
  </si>
  <si>
    <t xml:space="preserve">F10 Taxes!стр.48</t>
  </si>
  <si>
    <t xml:space="preserve">vat_in_capex</t>
  </si>
  <si>
    <t xml:space="preserve">НДС входящий — по капитальным вложениям</t>
  </si>
  <si>
    <t xml:space="preserve">F10 Taxes!стр.49</t>
  </si>
  <si>
    <t xml:space="preserve">vat_net</t>
  </si>
  <si>
    <t xml:space="preserve">Чистый НДС (+ к уплате / − к возмещению)</t>
  </si>
  <si>
    <t xml:space="preserve">F10 Taxes!стр.51</t>
  </si>
  <si>
    <t xml:space="preserve">7. ДЕНЕЖНЫЕ ПОТОКИ И ОБОРОТНЫЙ КАПИТАЛ (ТЭО, отчёт о движении денежных средств и баланс)</t>
  </si>
  <si>
    <t xml:space="preserve">cgo</t>
  </si>
  <si>
    <t xml:space="preserve">Денежные средства от операционной деятельности до налога на прибыль и процентов</t>
  </si>
  <si>
    <t xml:space="preserve">CF!стр.23</t>
  </si>
  <si>
    <t xml:space="preserve">d_inv</t>
  </si>
  <si>
    <t xml:space="preserve">Изменение запасов</t>
  </si>
  <si>
    <t xml:space="preserve">CF!стр.15</t>
  </si>
  <si>
    <t xml:space="preserve">d_rec</t>
  </si>
  <si>
    <t xml:space="preserve">Изменение дебиторской задолженности</t>
  </si>
  <si>
    <t xml:space="preserve">CF!стр.16</t>
  </si>
  <si>
    <t xml:space="preserve">d_vat</t>
  </si>
  <si>
    <t xml:space="preserve">Изменение НДС к возмещению</t>
  </si>
  <si>
    <t xml:space="preserve">CF!стр.18</t>
  </si>
  <si>
    <t xml:space="preserve">d_pay</t>
  </si>
  <si>
    <t xml:space="preserve">Изменение кредиторской задолженности</t>
  </si>
  <si>
    <t xml:space="preserve">CF!стр.19</t>
  </si>
  <si>
    <t xml:space="preserve">d_wag</t>
  </si>
  <si>
    <t xml:space="preserve">Изменение задолженности по зарплате и налогам с ФОТ</t>
  </si>
  <si>
    <t xml:space="preserve">CF!стр.21</t>
  </si>
  <si>
    <t xml:space="preserve">bs_inv</t>
  </si>
  <si>
    <t xml:space="preserve">Запасы (на конец года)</t>
  </si>
  <si>
    <t xml:space="preserve">BS!стр.22</t>
  </si>
  <si>
    <t xml:space="preserve">bs_rec</t>
  </si>
  <si>
    <t xml:space="preserve">Торговая дебиторская задолженность (на конец года)</t>
  </si>
  <si>
    <t xml:space="preserve">BS!стр.23</t>
  </si>
  <si>
    <t xml:space="preserve">bs_vat</t>
  </si>
  <si>
    <t xml:space="preserve">НДС к возмещению (на конец года)</t>
  </si>
  <si>
    <t xml:space="preserve">BS!стр.25</t>
  </si>
  <si>
    <t xml:space="preserve">bs_pay</t>
  </si>
  <si>
    <t xml:space="preserve">Торговая кредиторская задолженность (на конец года)</t>
  </si>
  <si>
    <t xml:space="preserve">BS!стр.42</t>
  </si>
  <si>
    <t xml:space="preserve">bs_wag</t>
  </si>
  <si>
    <t xml:space="preserve">Задолженность по зарплате и налогам с ФОТ (на конец года)</t>
  </si>
  <si>
    <t xml:space="preserve">BS!стр.45</t>
  </si>
  <si>
    <t xml:space="preserve">capex</t>
  </si>
  <si>
    <t xml:space="preserve">Капитальные вложения (с резервом)</t>
  </si>
  <si>
    <t xml:space="preserve">F12 Financing!стр.24</t>
  </si>
  <si>
    <t xml:space="preserve">8. КАПИТАЛЬНЫЕ ВЛОЖЕНИЯ ПО ОБЪЕКТАМ (ТЭО, форма F8): освоение и амортизация</t>
  </si>
  <si>
    <t xml:space="preserve">cx0</t>
  </si>
  <si>
    <t xml:space="preserve">T1 Разработка проектных документов (ТЭО и ЗВОС) — освоение (Здания, сооружения и передаточные устройства; срок 50 лет)</t>
  </si>
  <si>
    <t xml:space="preserve">F8 Capex!стр.23,54,131</t>
  </si>
  <si>
    <t xml:space="preserve">cxd0</t>
  </si>
  <si>
    <t xml:space="preserve">T1 Разработка проектных документов (ТЭО и ЗВОС) — амортизация</t>
  </si>
  <si>
    <t xml:space="preserve">cx1</t>
  </si>
  <si>
    <t xml:space="preserve">T2 Разработка PFS проекта — освоение (Здания, сооружения и передаточные устройства; срок 50 лет)</t>
  </si>
  <si>
    <t xml:space="preserve">F8 Capex!стр.24,55,132</t>
  </si>
  <si>
    <t xml:space="preserve">cxd1</t>
  </si>
  <si>
    <t xml:space="preserve">T2 Разработка PFS проекта — амортизация</t>
  </si>
  <si>
    <t xml:space="preserve">cx2</t>
  </si>
  <si>
    <t xml:space="preserve">T3 Проектно-инженерные работы — освоение (Здания, сооружения и передаточные устройства; срок 50 лет)</t>
  </si>
  <si>
    <t xml:space="preserve">F8 Capex!стр.25,56,133</t>
  </si>
  <si>
    <t xml:space="preserve">cxd2</t>
  </si>
  <si>
    <t xml:space="preserve">T3 Проектно-инженерные работы — амортизация</t>
  </si>
  <si>
    <t xml:space="preserve">cx3</t>
  </si>
  <si>
    <t xml:space="preserve">T4 Приобретение оборудования — освоение (Машины и оборудование; срок 10 лет)</t>
  </si>
  <si>
    <t xml:space="preserve">F8 Capex!стр.26,57,134</t>
  </si>
  <si>
    <t xml:space="preserve">cxd3</t>
  </si>
  <si>
    <t xml:space="preserve">T4 Приобретение оборудования — амортизация</t>
  </si>
  <si>
    <t xml:space="preserve">cx4</t>
  </si>
  <si>
    <t xml:space="preserve">T5 Строительство — освоение (Здания, сооружения и передаточные устройства; срок 50 лет)</t>
  </si>
  <si>
    <t xml:space="preserve">F8 Capex!стр.27,58,135</t>
  </si>
  <si>
    <t xml:space="preserve">cxd4</t>
  </si>
  <si>
    <t xml:space="preserve">T5 Строительство — амортизация</t>
  </si>
  <si>
    <t xml:space="preserve">cx5</t>
  </si>
  <si>
    <t xml:space="preserve">T6 Земляные работы — освоение (Здания, сооружения и передаточные устройства; срок 50 лет)</t>
  </si>
  <si>
    <t xml:space="preserve">F8 Capex!стр.28,59,136</t>
  </si>
  <si>
    <t xml:space="preserve">cxd5</t>
  </si>
  <si>
    <t xml:space="preserve">T6 Земляные работы — амортизация</t>
  </si>
  <si>
    <t xml:space="preserve">cx6</t>
  </si>
  <si>
    <t xml:space="preserve">T7 Адаптация проектной документации — освоение (Здания, сооружения и передаточные устройства; срок 50 лет)</t>
  </si>
  <si>
    <t xml:space="preserve">F8 Capex!стр.29,60,137</t>
  </si>
  <si>
    <t xml:space="preserve">cxd6</t>
  </si>
  <si>
    <t xml:space="preserve">T7 Адаптация проектной документации — амортизация</t>
  </si>
  <si>
    <t xml:space="preserve">cx7</t>
  </si>
  <si>
    <t xml:space="preserve">T8 Строительство инфраструктуры (вода, газ, электроэнергия) — освоение (Здания, сооружения и передаточные устройства; срок 50 лет)</t>
  </si>
  <si>
    <t xml:space="preserve">F8 Capex!стр.30,61,138</t>
  </si>
  <si>
    <t xml:space="preserve">cxd7</t>
  </si>
  <si>
    <t xml:space="preserve">T8 Строительство инфраструктуры (вода, газ, электроэнергия) — амортизация</t>
  </si>
  <si>
    <t xml:space="preserve">cx8</t>
  </si>
  <si>
    <t xml:space="preserve">T9 Технологический транспорт — освоение (Транспортные средства; срок 10 лет)</t>
  </si>
  <si>
    <t xml:space="preserve">F8 Capex!стр.31,62,139</t>
  </si>
  <si>
    <t xml:space="preserve">cxd8</t>
  </si>
  <si>
    <t xml:space="preserve">T9 Технологический транспорт — амортизация</t>
  </si>
  <si>
    <t xml:space="preserve">cx9</t>
  </si>
  <si>
    <t xml:space="preserve">T10 Солнечные панели — освоение (Машины и оборудование; срок 20 лет)</t>
  </si>
  <si>
    <t xml:space="preserve">F8 Capex!стр.32,63,140</t>
  </si>
  <si>
    <t xml:space="preserve">cxd9</t>
  </si>
  <si>
    <t xml:space="preserve">T10 Солнечные панели — амортизация</t>
  </si>
  <si>
    <t xml:space="preserve">cx10</t>
  </si>
  <si>
    <t xml:space="preserve">T11 Камеры наблюдения и вертикальные стойки — освоение (Мебель, оргтехника и офисное оборудование; срок 5 лет)</t>
  </si>
  <si>
    <t xml:space="preserve">F8 Capex!стр.33,64,141</t>
  </si>
  <si>
    <t xml:space="preserve">cxd10</t>
  </si>
  <si>
    <t xml:space="preserve">T11 Камеры наблюдения и вертикальные стойки — амортизация</t>
  </si>
  <si>
    <t xml:space="preserve">cx11</t>
  </si>
  <si>
    <t xml:space="preserve">T12 Дополнительные расходы — освоение (Здания, сооружения и передаточные устройства; срок 50 лет)</t>
  </si>
  <si>
    <t xml:space="preserve">F8 Capex!стр.34,65,142</t>
  </si>
  <si>
    <t xml:space="preserve">cxd11</t>
  </si>
  <si>
    <t xml:space="preserve">T12 Дополнительные расходы — амортизация</t>
  </si>
  <si>
    <t xml:space="preserve">cx12</t>
  </si>
  <si>
    <t xml:space="preserve">T25 Поддерживающие капвложения (% от первоначальной стоимости ОС) — освоение (Машины и оборудование; срок 10 лет)</t>
  </si>
  <si>
    <t xml:space="preserve">F8 Capex!стр.47,78,155</t>
  </si>
  <si>
    <t xml:space="preserve">cxd12</t>
  </si>
  <si>
    <t xml:space="preserve">T25 Поддерживающие капвложения (% от первоначальной стоимости ОС) — амортизация</t>
  </si>
  <si>
    <t xml:space="preserve">9. ПЕРЕМЕННЫЕ ЗАТРАТЫ ПО СТАТЬЯМ (ТЭО, форма F4): потребность и стоимость (стоимость = затраты на ед. × выпуск)</t>
  </si>
  <si>
    <t xml:space="preserve">vq0</t>
  </si>
  <si>
    <t xml:space="preserve">Вольфрамовый концентрат 55% — годовая потребность</t>
  </si>
  <si>
    <t xml:space="preserve">F4 COGS!стр.67</t>
  </si>
  <si>
    <t xml:space="preserve">vc0</t>
  </si>
  <si>
    <t xml:space="preserve">Вольфрамовый концентрат 55% — стоимость (USD; Сырьё)</t>
  </si>
  <si>
    <t xml:space="preserve">F4 COGS!стр.13-15</t>
  </si>
  <si>
    <t xml:space="preserve">vq1</t>
  </si>
  <si>
    <t xml:space="preserve">Аммиачная вода 25% (на 100%) — годовая потребность</t>
  </si>
  <si>
    <t xml:space="preserve">F4 COGS!стр.68</t>
  </si>
  <si>
    <t xml:space="preserve">vc1</t>
  </si>
  <si>
    <t xml:space="preserve">Аммиачная вода 25% (на 100%) — стоимость (UZS; Вспомогательные материалы)</t>
  </si>
  <si>
    <t xml:space="preserve">F4 COGS!стр.16-18</t>
  </si>
  <si>
    <t xml:space="preserve">vq2</t>
  </si>
  <si>
    <t xml:space="preserve">Соляная кислота 30% — годовая потребность</t>
  </si>
  <si>
    <t xml:space="preserve">F4 COGS!стр.69</t>
  </si>
  <si>
    <t xml:space="preserve">vc2</t>
  </si>
  <si>
    <t xml:space="preserve">Соляная кислота 30% — стоимость (UZS; Вспомогательные материалы)</t>
  </si>
  <si>
    <t xml:space="preserve">F4 COGS!стр.19-21</t>
  </si>
  <si>
    <t xml:space="preserve">vq3</t>
  </si>
  <si>
    <t xml:space="preserve">Гидроксид натрия — годовая потребность</t>
  </si>
  <si>
    <t xml:space="preserve">F4 COGS!стр.70</t>
  </si>
  <si>
    <t xml:space="preserve">vc3</t>
  </si>
  <si>
    <t xml:space="preserve">Гидроксид натрия — стоимость (UZS; Вспомогательные материалы)</t>
  </si>
  <si>
    <t xml:space="preserve">F4 COGS!стр.22-24</t>
  </si>
  <si>
    <t xml:space="preserve">vq4</t>
  </si>
  <si>
    <t xml:space="preserve">Карбонат натрия — годовая потребность</t>
  </si>
  <si>
    <t xml:space="preserve">F4 COGS!стр.71</t>
  </si>
  <si>
    <t xml:space="preserve">vc4</t>
  </si>
  <si>
    <t xml:space="preserve">Карбонат натрия — стоимость (UZS; Вспомогательные материалы)</t>
  </si>
  <si>
    <t xml:space="preserve">F4 COGS!стр.25-27</t>
  </si>
  <si>
    <t xml:space="preserve">vq5</t>
  </si>
  <si>
    <t xml:space="preserve">Гидроксид алюминия — годовая потребность</t>
  </si>
  <si>
    <t xml:space="preserve">F4 COGS!стр.72</t>
  </si>
  <si>
    <t xml:space="preserve">vc5</t>
  </si>
  <si>
    <t xml:space="preserve">Гидроксид алюминия — стоимость (UZS; Вспомогательные материалы)</t>
  </si>
  <si>
    <t xml:space="preserve">F4 COGS!стр.28-30</t>
  </si>
  <si>
    <t xml:space="preserve">vq6</t>
  </si>
  <si>
    <t xml:space="preserve">Хлорид аммония — годовая потребность</t>
  </si>
  <si>
    <t xml:space="preserve">F4 COGS!стр.73</t>
  </si>
  <si>
    <t xml:space="preserve">vc6</t>
  </si>
  <si>
    <t xml:space="preserve">Хлорид аммония — стоимость (UZS; Вспомогательные материалы)</t>
  </si>
  <si>
    <t xml:space="preserve">F4 COGS!стр.31-33</t>
  </si>
  <si>
    <t xml:space="preserve">vq7</t>
  </si>
  <si>
    <t xml:space="preserve">Ионообменная смола — годовая потребность</t>
  </si>
  <si>
    <t xml:space="preserve">F4 COGS!стр.74</t>
  </si>
  <si>
    <t xml:space="preserve">vc7</t>
  </si>
  <si>
    <t xml:space="preserve">Ионообменная смола — стоимость (UZS; Вспомогательные материалы)</t>
  </si>
  <si>
    <t xml:space="preserve">F4 COGS!стр.34-36</t>
  </si>
  <si>
    <t xml:space="preserve">vq8</t>
  </si>
  <si>
    <t xml:space="preserve">Сульфид меди — годовая потребность</t>
  </si>
  <si>
    <t xml:space="preserve">F4 COGS!стр.75</t>
  </si>
  <si>
    <t xml:space="preserve">vc8</t>
  </si>
  <si>
    <t xml:space="preserve">Сульфид меди — стоимость (UZS; Вспомогательные материалы)</t>
  </si>
  <si>
    <t xml:space="preserve">F4 COGS!стр.37-39</t>
  </si>
  <si>
    <t xml:space="preserve">vq9</t>
  </si>
  <si>
    <t xml:space="preserve">Сульфид аммония — годовая потребность</t>
  </si>
  <si>
    <t xml:space="preserve">F4 COGS!стр.76</t>
  </si>
  <si>
    <t xml:space="preserve">vc9</t>
  </si>
  <si>
    <t xml:space="preserve">Сульфид аммония — стоимость (UZS; Вспомогательные материалы)</t>
  </si>
  <si>
    <t xml:space="preserve">F4 COGS!стр.40-42</t>
  </si>
  <si>
    <t xml:space="preserve">vq10</t>
  </si>
  <si>
    <t xml:space="preserve">Фильтроткань — годовая потребность</t>
  </si>
  <si>
    <t xml:space="preserve">F4 COGS!стр.77</t>
  </si>
  <si>
    <t xml:space="preserve">vc10</t>
  </si>
  <si>
    <t xml:space="preserve">Фильтроткань — стоимость (UZS; Вспомогательные материалы)</t>
  </si>
  <si>
    <t xml:space="preserve">F4 COGS!стр.43-45</t>
  </si>
  <si>
    <t xml:space="preserve">vq11</t>
  </si>
  <si>
    <t xml:space="preserve">Мешки 25 кг — годовая потребность</t>
  </si>
  <si>
    <t xml:space="preserve">F4 COGS!стр.78</t>
  </si>
  <si>
    <t xml:space="preserve">vc11</t>
  </si>
  <si>
    <t xml:space="preserve">Мешки 25 кг — стоимость (UZS; Вспомогательные материалы)</t>
  </si>
  <si>
    <t xml:space="preserve">F4 COGS!стр.46-48</t>
  </si>
  <si>
    <t xml:space="preserve">vq12</t>
  </si>
  <si>
    <t xml:space="preserve">Электроэнергия — переменная часть 80% — годовая потребность</t>
  </si>
  <si>
    <t xml:space="preserve">F4 COGS!стр.79</t>
  </si>
  <si>
    <t xml:space="preserve">vc12</t>
  </si>
  <si>
    <t xml:space="preserve">Электроэнергия — переменная часть 80% — стоимость (UZS; Электроэнергия)</t>
  </si>
  <si>
    <t xml:space="preserve">F4 COGS!стр.49-51</t>
  </si>
  <si>
    <t xml:space="preserve">vq13</t>
  </si>
  <si>
    <t xml:space="preserve">Техническая вода — переменная часть 80% — годовая потребность</t>
  </si>
  <si>
    <t xml:space="preserve">F4 COGS!стр.80</t>
  </si>
  <si>
    <t xml:space="preserve">vc13</t>
  </si>
  <si>
    <t xml:space="preserve">Техническая вода — переменная часть 80% — стоимость (UZS; Вода)</t>
  </si>
  <si>
    <t xml:space="preserve">F4 COGS!стр.52-54</t>
  </si>
  <si>
    <t xml:space="preserve">vq14</t>
  </si>
  <si>
    <t xml:space="preserve">Природный газ — переменная часть 80% — годовая потребность</t>
  </si>
  <si>
    <t xml:space="preserve">F4 COGS!стр.81</t>
  </si>
  <si>
    <t xml:space="preserve">vc14</t>
  </si>
  <si>
    <t xml:space="preserve">Природный газ — переменная часть 80% — стоимость (UZS; Природный газ / топливо)</t>
  </si>
  <si>
    <t xml:space="preserve">F4 COGS!стр.55-57</t>
  </si>
  <si>
    <t xml:space="preserve">vq15</t>
  </si>
  <si>
    <t xml:space="preserve">Сброс сточных вод — годовая потребность</t>
  </si>
  <si>
    <t xml:space="preserve">F4 COGS!стр.82</t>
  </si>
  <si>
    <t xml:space="preserve">vc15</t>
  </si>
  <si>
    <t xml:space="preserve">Сброс сточных вод — стоимость (USD; Вода)</t>
  </si>
  <si>
    <t xml:space="preserve">F4 COGS!стр.58-60</t>
  </si>
  <si>
    <t xml:space="preserve">10. ПЕРСОНАЛ (ТЭО, форма F9): численность и фонд оплаты труда (брутто)</t>
  </si>
  <si>
    <t xml:space="preserve">hc0</t>
  </si>
  <si>
    <t xml:space="preserve">Генеральный директор — численность</t>
  </si>
  <si>
    <t xml:space="preserve">чел.</t>
  </si>
  <si>
    <t xml:space="preserve">F9 Personnel!стр.21-23</t>
  </si>
  <si>
    <t xml:space="preserve">mc0</t>
  </si>
  <si>
    <t xml:space="preserve">Генеральный директор — месячная зарплата на 1 чел. (UZS)</t>
  </si>
  <si>
    <t xml:space="preserve">UZS</t>
  </si>
  <si>
    <t xml:space="preserve">pc0</t>
  </si>
  <si>
    <t xml:space="preserve">Генеральный директор — годовой фонд оплаты труда</t>
  </si>
  <si>
    <t xml:space="preserve">hc1</t>
  </si>
  <si>
    <t xml:space="preserve">Заместитель ген. директора — численность</t>
  </si>
  <si>
    <t xml:space="preserve">F9 Personnel!стр.24-26</t>
  </si>
  <si>
    <t xml:space="preserve">mc1</t>
  </si>
  <si>
    <t xml:space="preserve">Заместитель ген. директора — месячная зарплата на 1 чел. (UZS)</t>
  </si>
  <si>
    <t xml:space="preserve">pc1</t>
  </si>
  <si>
    <t xml:space="preserve">Заместитель ген. директора — годовой фонд оплаты труда</t>
  </si>
  <si>
    <t xml:space="preserve">hc2</t>
  </si>
  <si>
    <t xml:space="preserve">Офисные служащие — численность</t>
  </si>
  <si>
    <t xml:space="preserve">F9 Personnel!стр.27-29</t>
  </si>
  <si>
    <t xml:space="preserve">mc2</t>
  </si>
  <si>
    <t xml:space="preserve">Офисные служащие — месячная зарплата на 1 чел. (UZS)</t>
  </si>
  <si>
    <t xml:space="preserve">pc2</t>
  </si>
  <si>
    <t xml:space="preserve">Офисные служащие — годовой фонд оплаты труда</t>
  </si>
  <si>
    <t xml:space="preserve">hc3</t>
  </si>
  <si>
    <t xml:space="preserve">Руководитель финансового отдела — численность</t>
  </si>
  <si>
    <t xml:space="preserve">F9 Personnel!стр.30-32</t>
  </si>
  <si>
    <t xml:space="preserve">mc3</t>
  </si>
  <si>
    <t xml:space="preserve">Руководитель финансового отдела — месячная зарплата на 1 чел. (UZS)</t>
  </si>
  <si>
    <t xml:space="preserve">pc3</t>
  </si>
  <si>
    <t xml:space="preserve">Руководитель финансового отдела — годовой фонд оплаты труда</t>
  </si>
  <si>
    <t xml:space="preserve">hc4</t>
  </si>
  <si>
    <t xml:space="preserve">Бухгалтер — численность</t>
  </si>
  <si>
    <t xml:space="preserve">F9 Personnel!стр.33-35</t>
  </si>
  <si>
    <t xml:space="preserve">mc4</t>
  </si>
  <si>
    <t xml:space="preserve">Бухгалтер — месячная зарплата на 1 чел. (UZS)</t>
  </si>
  <si>
    <t xml:space="preserve">pc4</t>
  </si>
  <si>
    <t xml:space="preserve">Бухгалтер — годовой фонд оплаты труда</t>
  </si>
  <si>
    <t xml:space="preserve">hc5</t>
  </si>
  <si>
    <t xml:space="preserve">Кассир — численность</t>
  </si>
  <si>
    <t xml:space="preserve">F9 Personnel!стр.36-38</t>
  </si>
  <si>
    <t xml:space="preserve">mc5</t>
  </si>
  <si>
    <t xml:space="preserve">Кассир — месячная зарплата на 1 чел. (UZS)</t>
  </si>
  <si>
    <t xml:space="preserve">pc5</t>
  </si>
  <si>
    <t xml:space="preserve">Кассир — годовой фонд оплаты труда</t>
  </si>
  <si>
    <t xml:space="preserve">hc6</t>
  </si>
  <si>
    <t xml:space="preserve">Руководитель отдела снабжения и сбыта — численность</t>
  </si>
  <si>
    <t xml:space="preserve">F9 Personnel!стр.39-41</t>
  </si>
  <si>
    <t xml:space="preserve">mc6</t>
  </si>
  <si>
    <t xml:space="preserve">Руководитель отдела снабжения и сбыта — месячная зарплата на 1 чел. (UZS)</t>
  </si>
  <si>
    <t xml:space="preserve">pc6</t>
  </si>
  <si>
    <t xml:space="preserve">Руководитель отдела снабжения и сбыта — годовой фонд оплаты труда</t>
  </si>
  <si>
    <t xml:space="preserve">hc7</t>
  </si>
  <si>
    <t xml:space="preserve">Специалист по закупкам — численность</t>
  </si>
  <si>
    <t xml:space="preserve">F9 Personnel!стр.42-44</t>
  </si>
  <si>
    <t xml:space="preserve">mc7</t>
  </si>
  <si>
    <t xml:space="preserve">Специалист по закупкам — месячная зарплата на 1 чел. (UZS)</t>
  </si>
  <si>
    <t xml:space="preserve">pc7</t>
  </si>
  <si>
    <t xml:space="preserve">Специалист по закупкам — годовой фонд оплаты труда</t>
  </si>
  <si>
    <t xml:space="preserve">hc8</t>
  </si>
  <si>
    <t xml:space="preserve">Специалист по сбыту — численность</t>
  </si>
  <si>
    <t xml:space="preserve">F9 Personnel!стр.45-47</t>
  </si>
  <si>
    <t xml:space="preserve">mc8</t>
  </si>
  <si>
    <t xml:space="preserve">Специалист по сбыту — месячная зарплата на 1 чел. (UZS)</t>
  </si>
  <si>
    <t xml:space="preserve">pc8</t>
  </si>
  <si>
    <t xml:space="preserve">Специалист по сбыту — годовой фонд оплаты труда</t>
  </si>
  <si>
    <t xml:space="preserve">hc9</t>
  </si>
  <si>
    <t xml:space="preserve">Руководитель отдела кадров — численность</t>
  </si>
  <si>
    <t xml:space="preserve">F9 Personnel!стр.48-50</t>
  </si>
  <si>
    <t xml:space="preserve">mc9</t>
  </si>
  <si>
    <t xml:space="preserve">Руководитель отдела кадров — месячная зарплата на 1 чел. (UZS)</t>
  </si>
  <si>
    <t xml:space="preserve">pc9</t>
  </si>
  <si>
    <t xml:space="preserve">Руководитель отдела кадров — годовой фонд оплаты труда</t>
  </si>
  <si>
    <t xml:space="preserve">hc10</t>
  </si>
  <si>
    <t xml:space="preserve">Специалист по кадрам — численность</t>
  </si>
  <si>
    <t xml:space="preserve">F9 Personnel!стр.51-53</t>
  </si>
  <si>
    <t xml:space="preserve">mc10</t>
  </si>
  <si>
    <t xml:space="preserve">Специалист по кадрам — месячная зарплата на 1 чел. (UZS)</t>
  </si>
  <si>
    <t xml:space="preserve">pc10</t>
  </si>
  <si>
    <t xml:space="preserve">Специалист по кадрам — годовой фонд оплаты труда</t>
  </si>
  <si>
    <t xml:space="preserve">hc11</t>
  </si>
  <si>
    <t xml:space="preserve">Специалист по обучению — численность</t>
  </si>
  <si>
    <t xml:space="preserve">F9 Personnel!стр.54-56</t>
  </si>
  <si>
    <t xml:space="preserve">mc11</t>
  </si>
  <si>
    <t xml:space="preserve">Специалист по обучению — месячная зарплата на 1 чел. (UZS)</t>
  </si>
  <si>
    <t xml:space="preserve">pc11</t>
  </si>
  <si>
    <t xml:space="preserve">Специалист по обучению — годовой фонд оплаты труда</t>
  </si>
  <si>
    <t xml:space="preserve">hc12</t>
  </si>
  <si>
    <t xml:space="preserve">Руководитель ПТО — численность</t>
  </si>
  <si>
    <t xml:space="preserve">F9 Personnel!стр.57-59</t>
  </si>
  <si>
    <t xml:space="preserve">mc12</t>
  </si>
  <si>
    <t xml:space="preserve">Руководитель ПТО — месячная зарплата на 1 чел. (UZS)</t>
  </si>
  <si>
    <t xml:space="preserve">pc12</t>
  </si>
  <si>
    <t xml:space="preserve">Руководитель ПТО — годовой фонд оплаты труда</t>
  </si>
  <si>
    <t xml:space="preserve">hc13</t>
  </si>
  <si>
    <t xml:space="preserve">Инженер-металлург — численность</t>
  </si>
  <si>
    <t xml:space="preserve">F9 Personnel!стр.60-62</t>
  </si>
  <si>
    <t xml:space="preserve">mc13</t>
  </si>
  <si>
    <t xml:space="preserve">Инженер-металлург — месячная зарплата на 1 чел. (UZS)</t>
  </si>
  <si>
    <t xml:space="preserve">pc13</t>
  </si>
  <si>
    <t xml:space="preserve">Инженер-металлург — годовой фонд оплаты труда</t>
  </si>
  <si>
    <t xml:space="preserve">hc14</t>
  </si>
  <si>
    <t xml:space="preserve">Инженер-электрик — численность</t>
  </si>
  <si>
    <t xml:space="preserve">F9 Personnel!стр.63-65</t>
  </si>
  <si>
    <t xml:space="preserve">mc14</t>
  </si>
  <si>
    <t xml:space="preserve">Инженер-электрик — месячная зарплата на 1 чел. (UZS)</t>
  </si>
  <si>
    <t xml:space="preserve">pc14</t>
  </si>
  <si>
    <t xml:space="preserve">Инженер-электрик — годовой фонд оплаты труда</t>
  </si>
  <si>
    <t xml:space="preserve">hc15</t>
  </si>
  <si>
    <t xml:space="preserve">Прочие технические специалисты — численность</t>
  </si>
  <si>
    <t xml:space="preserve">F9 Personnel!стр.66-68</t>
  </si>
  <si>
    <t xml:space="preserve">mc15</t>
  </si>
  <si>
    <t xml:space="preserve">Прочие технические специалисты — месячная зарплата на 1 чел. (UZS)</t>
  </si>
  <si>
    <t xml:space="preserve">pc15</t>
  </si>
  <si>
    <t xml:space="preserve">Прочие технические специалисты — годовой фонд оплаты труда</t>
  </si>
  <si>
    <t xml:space="preserve">hc16</t>
  </si>
  <si>
    <t xml:space="preserve">Отдел охраны труда и окружающей среды — численность</t>
  </si>
  <si>
    <t xml:space="preserve">F9 Personnel!стр.69-71</t>
  </si>
  <si>
    <t xml:space="preserve">mc16</t>
  </si>
  <si>
    <t xml:space="preserve">Отдел охраны труда и окружающей среды — месячная зарплата на 1 чел. (UZS)</t>
  </si>
  <si>
    <t xml:space="preserve">pc16</t>
  </si>
  <si>
    <t xml:space="preserve">Отдел охраны труда и окружающей среды — годовой фонд оплаты труда</t>
  </si>
  <si>
    <t xml:space="preserve">hc17</t>
  </si>
  <si>
    <t xml:space="preserve">Прочий обслуживающий персонал — численность</t>
  </si>
  <si>
    <t xml:space="preserve">F9 Personnel!стр.72-74</t>
  </si>
  <si>
    <t xml:space="preserve">mc17</t>
  </si>
  <si>
    <t xml:space="preserve">Прочий обслуживающий персонал — месячная зарплата на 1 чел. (UZS)</t>
  </si>
  <si>
    <t xml:space="preserve">pc17</t>
  </si>
  <si>
    <t xml:space="preserve">Прочий обслуживающий персонал — годовой фонд оплаты труда</t>
  </si>
  <si>
    <t xml:space="preserve">hc18</t>
  </si>
  <si>
    <t xml:space="preserve">Цех выщелачивания — начальник — численность</t>
  </si>
  <si>
    <t xml:space="preserve">F9 Personnel!стр.75-77</t>
  </si>
  <si>
    <t xml:space="preserve">mc18</t>
  </si>
  <si>
    <t xml:space="preserve">Цех выщелачивания — начальник — месячная зарплата на 1 чел. (UZS)</t>
  </si>
  <si>
    <t xml:space="preserve">pc18</t>
  </si>
  <si>
    <t xml:space="preserve">Цех выщелачивания — начальник — годовой фонд оплаты труда</t>
  </si>
  <si>
    <t xml:space="preserve">hc19</t>
  </si>
  <si>
    <t xml:space="preserve">Цех выщелачивания — операторы — численность</t>
  </si>
  <si>
    <t xml:space="preserve">F9 Personnel!стр.78-80</t>
  </si>
  <si>
    <t xml:space="preserve">mc19</t>
  </si>
  <si>
    <t xml:space="preserve">Цех выщелачивания — операторы — месячная зарплата на 1 чел. (UZS)</t>
  </si>
  <si>
    <t xml:space="preserve">pc19</t>
  </si>
  <si>
    <t xml:space="preserve">Цех выщелачивания — операторы — годовой фонд оплаты труда</t>
  </si>
  <si>
    <t xml:space="preserve">hc20</t>
  </si>
  <si>
    <t xml:space="preserve">Цех ионного обмена — начальник — численность</t>
  </si>
  <si>
    <t xml:space="preserve">F9 Personnel!стр.81-83</t>
  </si>
  <si>
    <t xml:space="preserve">mc20</t>
  </si>
  <si>
    <t xml:space="preserve">Цех ионного обмена — начальник — месячная зарплата на 1 чел. (UZS)</t>
  </si>
  <si>
    <t xml:space="preserve">pc20</t>
  </si>
  <si>
    <t xml:space="preserve">Цех ионного обмена — начальник — годовой фонд оплаты труда</t>
  </si>
  <si>
    <t xml:space="preserve">hc21</t>
  </si>
  <si>
    <t xml:space="preserve">Операторы тонкой фильтрации — численность</t>
  </si>
  <si>
    <t xml:space="preserve">F9 Personnel!стр.84-86</t>
  </si>
  <si>
    <t xml:space="preserve">mc21</t>
  </si>
  <si>
    <t xml:space="preserve">Операторы тонкой фильтрации — месячная зарплата на 1 чел. (UZS)</t>
  </si>
  <si>
    <t xml:space="preserve">pc21</t>
  </si>
  <si>
    <t xml:space="preserve">Операторы тонкой фильтрации — годовой фонд оплаты труда</t>
  </si>
  <si>
    <t xml:space="preserve">hc22</t>
  </si>
  <si>
    <t xml:space="preserve">Операторы ионного обмена — численность</t>
  </si>
  <si>
    <t xml:space="preserve">F9 Personnel!стр.87-89</t>
  </si>
  <si>
    <t xml:space="preserve">mc22</t>
  </si>
  <si>
    <t xml:space="preserve">Операторы ионного обмена — месячная зарплата на 1 чел. (UZS)</t>
  </si>
  <si>
    <t xml:space="preserve">pc22</t>
  </si>
  <si>
    <t xml:space="preserve">Операторы ионного обмена — годовой фонд оплаты труда</t>
  </si>
  <si>
    <t xml:space="preserve">hc23</t>
  </si>
  <si>
    <t xml:space="preserve">Операторы участка очистки — численность</t>
  </si>
  <si>
    <t xml:space="preserve">F9 Personnel!стр.90-92</t>
  </si>
  <si>
    <t xml:space="preserve">mc23</t>
  </si>
  <si>
    <t xml:space="preserve">Операторы участка очистки — месячная зарплата на 1 чел. (UZS)</t>
  </si>
  <si>
    <t xml:space="preserve">pc23</t>
  </si>
  <si>
    <t xml:space="preserve">Операторы участка очистки — годовой фонд оплаты труда</t>
  </si>
  <si>
    <t xml:space="preserve">hc24</t>
  </si>
  <si>
    <t xml:space="preserve">Цех APT и WO3 — руководитель — численность</t>
  </si>
  <si>
    <t xml:space="preserve">F9 Personnel!стр.93-95</t>
  </si>
  <si>
    <t xml:space="preserve">mc24</t>
  </si>
  <si>
    <t xml:space="preserve">Цех APT и WO3 — руководитель — месячная зарплата на 1 чел. (UZS)</t>
  </si>
  <si>
    <t xml:space="preserve">pc24</t>
  </si>
  <si>
    <t xml:space="preserve">Цех APT и WO3 — руководитель — годовой фонд оплаты труда</t>
  </si>
  <si>
    <t xml:space="preserve">hc25</t>
  </si>
  <si>
    <t xml:space="preserve">Выпаривание-кристаллизация — численность</t>
  </si>
  <si>
    <t xml:space="preserve">F9 Personnel!стр.96-98</t>
  </si>
  <si>
    <t xml:space="preserve">mc25</t>
  </si>
  <si>
    <t xml:space="preserve">Выпаривание-кристаллизация — месячная зарплата на 1 чел. (UZS)</t>
  </si>
  <si>
    <t xml:space="preserve">pc25</t>
  </si>
  <si>
    <t xml:space="preserve">Выпаривание-кристаллизация — годовой фонд оплаты труда</t>
  </si>
  <si>
    <t xml:space="preserve">hc26</t>
  </si>
  <si>
    <t xml:space="preserve">Фильтр-прессование и дробление — численность</t>
  </si>
  <si>
    <t xml:space="preserve">F9 Personnel!стр.99-101</t>
  </si>
  <si>
    <t xml:space="preserve">mc26</t>
  </si>
  <si>
    <t xml:space="preserve">Фильтр-прессование и дробление — месячная зарплата на 1 чел. (UZS)</t>
  </si>
  <si>
    <t xml:space="preserve">pc26</t>
  </si>
  <si>
    <t xml:space="preserve">Фильтр-прессование и дробление — годовой фонд оплаты труда</t>
  </si>
  <si>
    <t xml:space="preserve">hc27</t>
  </si>
  <si>
    <t xml:space="preserve">Пирометаллургия и очистка газов — численность</t>
  </si>
  <si>
    <t xml:space="preserve">F9 Personnel!стр.102-104</t>
  </si>
  <si>
    <t xml:space="preserve">mc27</t>
  </si>
  <si>
    <t xml:space="preserve">Пирометаллургия и очистка газов — месячная зарплата на 1 чел. (UZS)</t>
  </si>
  <si>
    <t xml:space="preserve">pc27</t>
  </si>
  <si>
    <t xml:space="preserve">Пирометаллургия и очистка газов — годовой фонд оплаты труда</t>
  </si>
  <si>
    <t xml:space="preserve">hc28</t>
  </si>
  <si>
    <t xml:space="preserve">Очистка стоков — бригадир — численность</t>
  </si>
  <si>
    <t xml:space="preserve">F9 Personnel!стр.105-107</t>
  </si>
  <si>
    <t xml:space="preserve">mc28</t>
  </si>
  <si>
    <t xml:space="preserve">Очистка стоков — бригадир — месячная зарплата на 1 чел. (UZS)</t>
  </si>
  <si>
    <t xml:space="preserve">pc28</t>
  </si>
  <si>
    <t xml:space="preserve">Очистка стоков — бригадир — годовой фонд оплаты труда</t>
  </si>
  <si>
    <t xml:space="preserve">hc29</t>
  </si>
  <si>
    <t xml:space="preserve">Очистка стоков — рабочие — численность</t>
  </si>
  <si>
    <t xml:space="preserve">F9 Personnel!стр.108-110</t>
  </si>
  <si>
    <t xml:space="preserve">mc29</t>
  </si>
  <si>
    <t xml:space="preserve">Очистка стоков — рабочие — месячная зарплата на 1 чел. (UZS)</t>
  </si>
  <si>
    <t xml:space="preserve">pc29</t>
  </si>
  <si>
    <t xml:space="preserve">Очистка стоков — рабочие — годовой фонд оплаты труда</t>
  </si>
  <si>
    <t xml:space="preserve">hc30</t>
  </si>
  <si>
    <t xml:space="preserve">Склад жидкого аммиака — численность</t>
  </si>
  <si>
    <t xml:space="preserve">F9 Personnel!стр.111-113</t>
  </si>
  <si>
    <t xml:space="preserve">mc30</t>
  </si>
  <si>
    <t xml:space="preserve">Склад жидкого аммиака — месячная зарплата на 1 чел. (UZS)</t>
  </si>
  <si>
    <t xml:space="preserve">pc30</t>
  </si>
  <si>
    <t xml:space="preserve">Склад жидкого аммиака — годовой фонд оплаты труда</t>
  </si>
  <si>
    <t xml:space="preserve">hc31</t>
  </si>
  <si>
    <t xml:space="preserve">Котельная — численность</t>
  </si>
  <si>
    <t xml:space="preserve">F9 Personnel!стр.114-116</t>
  </si>
  <si>
    <t xml:space="preserve">mc31</t>
  </si>
  <si>
    <t xml:space="preserve">Котельная — месячная зарплата на 1 чел. (UZS)</t>
  </si>
  <si>
    <t xml:space="preserve">pc31</t>
  </si>
  <si>
    <t xml:space="preserve">Котельная — годовой фонд оплаты труда</t>
  </si>
  <si>
    <t xml:space="preserve">hc32</t>
  </si>
  <si>
    <t xml:space="preserve">Механоремонтный цех — численность</t>
  </si>
  <si>
    <t xml:space="preserve">F9 Personnel!стр.117-119</t>
  </si>
  <si>
    <t xml:space="preserve">mc32</t>
  </si>
  <si>
    <t xml:space="preserve">Механоремонтный цех — месячная зарплата на 1 чел. (UZS)</t>
  </si>
  <si>
    <t xml:space="preserve">pc32</t>
  </si>
  <si>
    <t xml:space="preserve">Механоремонтный цех — годовой фонд оплаты труда</t>
  </si>
  <si>
    <t xml:space="preserve">hc33</t>
  </si>
  <si>
    <t xml:space="preserve">Распределительное устройство — численность</t>
  </si>
  <si>
    <t xml:space="preserve">F9 Personnel!стр.120-122</t>
  </si>
  <si>
    <t xml:space="preserve">mc33</t>
  </si>
  <si>
    <t xml:space="preserve">Распределительное устройство — месячная зарплата на 1 чел. (UZS)</t>
  </si>
  <si>
    <t xml:space="preserve">pc33</t>
  </si>
  <si>
    <t xml:space="preserve">Распределительное устройство — годовой фонд оплаты труда</t>
  </si>
  <si>
    <t xml:space="preserve">hc34</t>
  </si>
  <si>
    <t xml:space="preserve">Персонал по техобслуживанию — численность</t>
  </si>
  <si>
    <t xml:space="preserve">F9 Personnel!стр.123-125</t>
  </si>
  <si>
    <t xml:space="preserve">mc34</t>
  </si>
  <si>
    <t xml:space="preserve">Персонал по техобслуживанию — месячная зарплата на 1 чел. (UZS)</t>
  </si>
  <si>
    <t xml:space="preserve">pc34</t>
  </si>
  <si>
    <t xml:space="preserve">Персонал по техобслуживанию — годовой фонд оплаты труда</t>
  </si>
  <si>
    <t xml:space="preserve">hc35</t>
  </si>
  <si>
    <t xml:space="preserve">Водители — численность</t>
  </si>
  <si>
    <t xml:space="preserve">F9 Personnel!стр.126-128</t>
  </si>
  <si>
    <t xml:space="preserve">mc35</t>
  </si>
  <si>
    <t xml:space="preserve">Водители — месячная зарплата на 1 чел. (UZS)</t>
  </si>
  <si>
    <t xml:space="preserve">pc35</t>
  </si>
  <si>
    <t xml:space="preserve">Водители — годовой фонд оплаты труда</t>
  </si>
  <si>
    <t xml:space="preserve">hc36</t>
  </si>
  <si>
    <t xml:space="preserve">Автомобильные весы — численность</t>
  </si>
  <si>
    <t xml:space="preserve">F9 Personnel!стр.129-131</t>
  </si>
  <si>
    <t xml:space="preserve">mc36</t>
  </si>
  <si>
    <t xml:space="preserve">Автомобильные весы — месячная зарплата на 1 чел. (UZS)</t>
  </si>
  <si>
    <t xml:space="preserve">pc36</t>
  </si>
  <si>
    <t xml:space="preserve">Автомобильные весы — годовой фонд оплаты труда</t>
  </si>
  <si>
    <t xml:space="preserve">hc37</t>
  </si>
  <si>
    <t xml:space="preserve">Охрана — численность</t>
  </si>
  <si>
    <t xml:space="preserve">F9 Personnel!стр.132-134</t>
  </si>
  <si>
    <t xml:space="preserve">mc37</t>
  </si>
  <si>
    <t xml:space="preserve">Охрана — месячная зарплата на 1 чел. (UZS)</t>
  </si>
  <si>
    <t xml:space="preserve">pc37</t>
  </si>
  <si>
    <t xml:space="preserve">Охрана — годовой фонд оплаты труда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</si>
</sst>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#,##0.0;\(#,##0.0\);\-"/>
    <numFmt numFmtId="175" formatCode="#,##0.0000"/>
    <numFmt numFmtId="176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11" min="4" style="0" width="1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  <c r="C6" s="5"/>
      <c r="D6" s="5"/>
      <c r="E6" s="5"/>
      <c r="F6" s="5"/>
      <c r="G6" s="5"/>
      <c r="H6" s="5"/>
      <c r="I6" s="5"/>
      <c r="J6" s="5"/>
      <c r="K6" s="5"/>
    </row>
    <row r="7" customFormat="false" ht="30" hidden="false" customHeight="true" outlineLevel="0" collapsed="false">
      <c r="B7" s="6" t="s">
        <v>4</v>
      </c>
      <c r="C7" s="7" t="s">
        <v>5</v>
      </c>
      <c r="D7" s="7"/>
      <c r="E7" s="7"/>
      <c r="F7" s="7"/>
      <c r="G7" s="7"/>
      <c r="H7" s="7"/>
      <c r="I7" s="7"/>
      <c r="J7" s="7"/>
      <c r="K7" s="7"/>
    </row>
    <row r="8" customFormat="false" ht="15" hidden="false" customHeight="true" outlineLevel="0" collapsed="false">
      <c r="B8" s="6" t="s">
        <v>6</v>
      </c>
      <c r="C8" s="7" t="s">
        <v>7</v>
      </c>
      <c r="D8" s="7"/>
      <c r="E8" s="7"/>
      <c r="F8" s="7"/>
      <c r="G8" s="7"/>
      <c r="H8" s="7"/>
      <c r="I8" s="7"/>
      <c r="J8" s="7"/>
      <c r="K8" s="7"/>
    </row>
    <row r="9" customFormat="false" ht="15" hidden="false" customHeight="true" outlineLevel="0" collapsed="false">
      <c r="B9" s="6" t="s">
        <v>8</v>
      </c>
      <c r="C9" s="7" t="s">
        <v>9</v>
      </c>
      <c r="D9" s="7"/>
      <c r="E9" s="7"/>
      <c r="F9" s="7"/>
      <c r="G9" s="7"/>
      <c r="H9" s="7"/>
      <c r="I9" s="7"/>
      <c r="J9" s="7"/>
      <c r="K9" s="7"/>
    </row>
    <row r="10" customFormat="false" ht="15" hidden="false" customHeight="true" outlineLevel="0" collapsed="false">
      <c r="B10" s="6" t="s">
        <v>10</v>
      </c>
      <c r="C10" s="7" t="s">
        <v>11</v>
      </c>
      <c r="D10" s="7"/>
      <c r="E10" s="7"/>
      <c r="F10" s="7"/>
      <c r="G10" s="7"/>
      <c r="H10" s="7"/>
      <c r="I10" s="7"/>
      <c r="J10" s="7"/>
      <c r="K10" s="7"/>
    </row>
    <row r="11" customFormat="false" ht="15" hidden="false" customHeight="true" outlineLevel="0" collapsed="false">
      <c r="B11" s="6" t="s">
        <v>12</v>
      </c>
      <c r="C11" s="7" t="s">
        <v>13</v>
      </c>
      <c r="D11" s="7"/>
      <c r="E11" s="7"/>
      <c r="F11" s="7"/>
      <c r="G11" s="7"/>
      <c r="H11" s="7"/>
      <c r="I11" s="7"/>
      <c r="J11" s="7"/>
      <c r="K11" s="7"/>
    </row>
    <row r="12" customFormat="false" ht="15" hidden="false" customHeight="true" outlineLevel="0" collapsed="false">
      <c r="B12" s="6" t="s">
        <v>14</v>
      </c>
      <c r="C12" s="7" t="s">
        <v>15</v>
      </c>
      <c r="D12" s="7"/>
      <c r="E12" s="7"/>
      <c r="F12" s="7"/>
      <c r="G12" s="7"/>
      <c r="H12" s="7"/>
      <c r="I12" s="7"/>
      <c r="J12" s="7"/>
      <c r="K12" s="7"/>
    </row>
    <row r="13" customFormat="false" ht="15" hidden="false" customHeight="true" outlineLevel="0" collapsed="false">
      <c r="B13" s="6" t="s">
        <v>16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4" customFormat="false" ht="15" hidden="false" customHeight="true" outlineLevel="0" collapsed="false">
      <c r="B14" s="6" t="s">
        <v>18</v>
      </c>
      <c r="C14" s="7" t="s">
        <v>19</v>
      </c>
      <c r="D14" s="7"/>
      <c r="E14" s="7"/>
      <c r="F14" s="7"/>
      <c r="G14" s="7"/>
      <c r="H14" s="7"/>
      <c r="I14" s="7"/>
      <c r="J14" s="7"/>
      <c r="K14" s="7"/>
    </row>
    <row r="16" customFormat="false" ht="15" hidden="false" customHeight="false" outlineLevel="0" collapsed="false">
      <c r="B16" s="4" t="s">
        <v>20</v>
      </c>
      <c r="C16" s="5"/>
      <c r="D16" s="5"/>
      <c r="E16" s="5"/>
      <c r="F16" s="5"/>
      <c r="G16" s="5"/>
      <c r="H16" s="5"/>
      <c r="I16" s="5"/>
      <c r="J16" s="5"/>
      <c r="K16" s="5"/>
    </row>
    <row r="17" customFormat="false" ht="15" hidden="false" customHeight="false" outlineLevel="0" collapsed="false">
      <c r="B17" s="6" t="s">
        <v>21</v>
      </c>
      <c r="C17" s="8" t="n">
        <f aca="false">ИНФОРМАЦИЯ!$C$26</f>
        <v>17024289.695302</v>
      </c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0" collapsed="false">
      <c r="B18" s="6" t="s">
        <v>22</v>
      </c>
      <c r="C18" s="9" t="n">
        <f aca="false">ИНФОРМАЦИЯ!$C$27</f>
        <v>0.07</v>
      </c>
      <c r="D18" s="9"/>
      <c r="E18" s="9"/>
      <c r="F18" s="9"/>
      <c r="G18" s="9"/>
      <c r="H18" s="9"/>
      <c r="I18" s="9"/>
      <c r="J18" s="9"/>
      <c r="K18" s="9"/>
    </row>
    <row r="19" customFormat="false" ht="30" hidden="false" customHeight="true" outlineLevel="0" collapsed="false">
      <c r="B19" s="6" t="s">
        <v>23</v>
      </c>
      <c r="C19" s="7" t="s">
        <v>24</v>
      </c>
      <c r="D19" s="7"/>
      <c r="E19" s="7"/>
      <c r="F19" s="7"/>
      <c r="G19" s="7"/>
      <c r="H19" s="7"/>
      <c r="I19" s="7"/>
      <c r="J19" s="7"/>
      <c r="K19" s="7"/>
    </row>
    <row r="20" customFormat="false" ht="15" hidden="false" customHeight="true" outlineLevel="0" collapsed="false">
      <c r="B20" s="6" t="s">
        <v>25</v>
      </c>
      <c r="C20" s="7" t="s">
        <v>26</v>
      </c>
      <c r="D20" s="7"/>
      <c r="E20" s="7"/>
      <c r="F20" s="7"/>
      <c r="G20" s="7"/>
      <c r="H20" s="7"/>
      <c r="I20" s="7"/>
      <c r="J20" s="7"/>
      <c r="K20" s="7"/>
    </row>
    <row r="21" customFormat="false" ht="30" hidden="false" customHeight="true" outlineLevel="0" collapsed="false">
      <c r="B21" s="6" t="s">
        <v>27</v>
      </c>
      <c r="C21" s="7" t="str">
        <f aca="false">TEXT(LOANS!$C$106,"#,##0") &amp; " USD — уплачиваются за счёт собственных средств заемщика (включены в стоимость проекта)"</f>
        <v>1,208,252 USD — уплачиваются за счёт собственных средств заемщика (включены в стоимость проекта)</v>
      </c>
      <c r="D21" s="7"/>
      <c r="E21" s="7"/>
      <c r="F21" s="7"/>
      <c r="G21" s="7"/>
      <c r="H21" s="7"/>
      <c r="I21" s="7"/>
      <c r="J21" s="7"/>
      <c r="K21" s="7"/>
    </row>
    <row r="22" customFormat="false" ht="15" hidden="false" customHeight="true" outlineLevel="0" collapsed="false">
      <c r="B22" s="6" t="s">
        <v>28</v>
      </c>
      <c r="C22" s="7" t="s">
        <v>29</v>
      </c>
      <c r="D22" s="7"/>
      <c r="E22" s="7"/>
      <c r="F22" s="7"/>
      <c r="G22" s="7"/>
      <c r="H22" s="7"/>
      <c r="I22" s="7"/>
      <c r="J22" s="7"/>
      <c r="K22" s="7"/>
    </row>
    <row r="24" customFormat="false" ht="15" hidden="false" customHeight="false" outlineLevel="0" collapsed="false">
      <c r="B24" s="4" t="s">
        <v>30</v>
      </c>
      <c r="C24" s="5"/>
      <c r="D24" s="5"/>
      <c r="E24" s="5"/>
      <c r="F24" s="5"/>
      <c r="G24" s="5"/>
      <c r="H24" s="5"/>
      <c r="I24" s="5"/>
      <c r="J24" s="5"/>
      <c r="K24" s="5"/>
    </row>
    <row r="25" customFormat="false" ht="15" hidden="false" customHeight="false" outlineLevel="0" collapsed="false">
      <c r="B25" s="10" t="s">
        <v>31</v>
      </c>
      <c r="C25" s="11" t="s">
        <v>32</v>
      </c>
      <c r="D25" s="11" t="s">
        <v>33</v>
      </c>
    </row>
    <row r="26" customFormat="false" ht="15" hidden="false" customHeight="false" outlineLevel="0" collapsed="false">
      <c r="B26" s="6" t="s">
        <v>34</v>
      </c>
      <c r="C26" s="12" t="n">
        <f aca="false">ProjCost!E5</f>
        <v>47761337.7232143</v>
      </c>
      <c r="D26" s="13" t="n">
        <f aca="false">IFERROR(C26/ProjCost!$E$21,0)</f>
        <v>0.609438445690088</v>
      </c>
    </row>
    <row r="27" customFormat="false" ht="15" hidden="false" customHeight="false" outlineLevel="0" collapsed="false">
      <c r="B27" s="6" t="s">
        <v>35</v>
      </c>
      <c r="C27" s="12" t="n">
        <f aca="false">ProjCost!E10</f>
        <v>28527620.8205635</v>
      </c>
      <c r="D27" s="13" t="n">
        <f aca="false">IFERROR(C27/ProjCost!$E$21,0)</f>
        <v>0.364014697261507</v>
      </c>
    </row>
    <row r="28" customFormat="false" ht="15" hidden="false" customHeight="false" outlineLevel="0" collapsed="false">
      <c r="B28" s="6" t="s">
        <v>36</v>
      </c>
      <c r="C28" s="12" t="n">
        <f aca="false">ProjCost!E16</f>
        <v>1910218.90184775</v>
      </c>
      <c r="D28" s="13" t="n">
        <f aca="false">IFERROR(C28/ProjCost!$E$21,0)</f>
        <v>0.0243745442227026</v>
      </c>
    </row>
    <row r="29" customFormat="false" ht="15" hidden="false" customHeight="false" outlineLevel="0" collapsed="false">
      <c r="B29" s="6" t="s">
        <v>37</v>
      </c>
      <c r="C29" s="12" t="n">
        <f aca="false">ProjCost!E19</f>
        <v>170242.89695302</v>
      </c>
      <c r="D29" s="13" t="n">
        <f aca="false">IFERROR(C29/ProjCost!$E$21,0)</f>
        <v>0.00217231282570206</v>
      </c>
    </row>
    <row r="30" customFormat="false" ht="15" hidden="false" customHeight="false" outlineLevel="0" collapsed="false">
      <c r="B30" s="14" t="s">
        <v>38</v>
      </c>
      <c r="C30" s="15" t="n">
        <f aca="false">ProjCost!E21</f>
        <v>78369420.3425786</v>
      </c>
      <c r="D30" s="16" t="n">
        <f aca="false">IFERROR(C30/ProjCost!$E$21,0)</f>
        <v>1</v>
      </c>
    </row>
    <row r="31" customFormat="false" ht="15" hidden="false" customHeight="false" outlineLevel="0" collapsed="false">
      <c r="B31" s="6" t="s">
        <v>39</v>
      </c>
      <c r="C31" s="12" t="n">
        <f aca="false">FinPlan!$E$10</f>
        <v>61345130.6472766</v>
      </c>
      <c r="D31" s="13" t="n">
        <f aca="false">IFERROR(C31/ProjCost!$E$21,0)</f>
        <v>0.782768717429794</v>
      </c>
    </row>
    <row r="32" customFormat="false" ht="15" hidden="false" customHeight="false" outlineLevel="0" collapsed="false">
      <c r="B32" s="6" t="s">
        <v>40</v>
      </c>
      <c r="C32" s="12" t="n">
        <f aca="false">FinPlan!$E$14</f>
        <v>17024289.695302</v>
      </c>
      <c r="D32" s="13" t="n">
        <f aca="false">IFERROR(C32/ProjCost!$E$21,0)</f>
        <v>0.217231282570206</v>
      </c>
    </row>
    <row r="34" customFormat="false" ht="15" hidden="false" customHeight="false" outlineLevel="0" collapsed="false">
      <c r="B34" s="4" t="s">
        <v>41</v>
      </c>
      <c r="C34" s="5"/>
      <c r="D34" s="5"/>
      <c r="E34" s="5"/>
      <c r="F34" s="5"/>
      <c r="G34" s="5"/>
      <c r="H34" s="5"/>
      <c r="I34" s="5"/>
      <c r="J34" s="5"/>
      <c r="K34" s="5"/>
    </row>
    <row r="35" customFormat="false" ht="30" hidden="false" customHeight="true" outlineLevel="0" collapsed="false">
      <c r="B35" s="17" t="s">
        <v>42</v>
      </c>
      <c r="C35" s="18" t="s">
        <v>43</v>
      </c>
      <c r="D35" s="18" t="s">
        <v>44</v>
      </c>
      <c r="E35" s="18" t="s">
        <v>45</v>
      </c>
      <c r="F35" s="18" t="s">
        <v>46</v>
      </c>
      <c r="G35" s="18" t="s">
        <v>47</v>
      </c>
      <c r="H35" s="18" t="s">
        <v>48</v>
      </c>
      <c r="I35" s="18" t="s">
        <v>49</v>
      </c>
      <c r="J35" s="18" t="s">
        <v>50</v>
      </c>
      <c r="K35" s="17" t="s">
        <v>51</v>
      </c>
    </row>
    <row r="36" customFormat="false" ht="15" hidden="false" customHeight="false" outlineLevel="0" collapsed="false">
      <c r="B36" s="5"/>
      <c r="C36" s="5"/>
      <c r="D36" s="17" t="s">
        <v>52</v>
      </c>
      <c r="E36" s="17" t="s">
        <v>53</v>
      </c>
      <c r="F36" s="17" t="s">
        <v>54</v>
      </c>
      <c r="G36" s="17" t="s">
        <v>55</v>
      </c>
      <c r="H36" s="17" t="s">
        <v>56</v>
      </c>
      <c r="I36" s="17" t="s">
        <v>57</v>
      </c>
      <c r="J36" s="17" t="s">
        <v>58</v>
      </c>
      <c r="K36" s="17" t="s">
        <v>59</v>
      </c>
    </row>
    <row r="37" customFormat="false" ht="15" hidden="false" customHeight="false" outlineLevel="0" collapsed="false">
      <c r="B37" s="19" t="s">
        <v>60</v>
      </c>
      <c r="C37" s="20" t="s">
        <v>32</v>
      </c>
      <c r="D37" s="12" t="n">
        <f aca="false">ProfLoss!D10</f>
        <v>28968597.004992</v>
      </c>
      <c r="E37" s="12" t="n">
        <f aca="false">ProfLoss!E10</f>
        <v>252970675.329593</v>
      </c>
      <c r="F37" s="12" t="n">
        <f aca="false">ProfLoss!F10</f>
        <v>314845216.567729</v>
      </c>
      <c r="G37" s="12" t="n">
        <f aca="false">ProfLoss!G10</f>
        <v>325844872.235159</v>
      </c>
      <c r="H37" s="12" t="n">
        <f aca="false">ProfLoss!H10</f>
        <v>333013459.424332</v>
      </c>
      <c r="I37" s="12" t="n">
        <f aca="false">ProfLoss!I10</f>
        <v>340339755.531667</v>
      </c>
      <c r="J37" s="12" t="n">
        <f aca="false">ProfLoss!J10</f>
        <v>347827230.153364</v>
      </c>
      <c r="K37" s="12" t="n">
        <f aca="false">SUM(D37:J37)</f>
        <v>1943809806.24684</v>
      </c>
    </row>
    <row r="38" customFormat="false" ht="15" hidden="false" customHeight="false" outlineLevel="0" collapsed="false">
      <c r="B38" s="19" t="s">
        <v>61</v>
      </c>
      <c r="C38" s="20" t="s">
        <v>32</v>
      </c>
      <c r="D38" s="12" t="n">
        <f aca="false">ProfLoss!D27</f>
        <v>4702026.34508736</v>
      </c>
      <c r="E38" s="12" t="n">
        <f aca="false">ProfLoss!E27</f>
        <v>28216215.9389431</v>
      </c>
      <c r="F38" s="12" t="n">
        <f aca="false">ProfLoss!F27</f>
        <v>35021051.2791401</v>
      </c>
      <c r="G38" s="12" t="n">
        <f aca="false">ProfLoss!G27</f>
        <v>37353005.3136615</v>
      </c>
      <c r="H38" s="12" t="n">
        <f aca="false">ProfLoss!H27</f>
        <v>38192052.081893</v>
      </c>
      <c r="I38" s="12" t="n">
        <f aca="false">ProfLoss!I27</f>
        <v>39049369.5979444</v>
      </c>
      <c r="J38" s="12" t="n">
        <f aca="false">ProfLoss!J27</f>
        <v>39925360.6923493</v>
      </c>
      <c r="K38" s="12" t="n">
        <f aca="false">SUM(D38:J38)</f>
        <v>222459081.249019</v>
      </c>
    </row>
    <row r="39" customFormat="false" ht="15" hidden="false" customHeight="false" outlineLevel="0" collapsed="false">
      <c r="B39" s="19" t="s">
        <v>62</v>
      </c>
      <c r="C39" s="20" t="s">
        <v>32</v>
      </c>
      <c r="D39" s="12" t="n">
        <f aca="false">ProfLoss!D22</f>
        <v>3466668.45448704</v>
      </c>
      <c r="E39" s="12" t="n">
        <f aca="false">ProfLoss!E22</f>
        <v>20868732.3687254</v>
      </c>
      <c r="F39" s="12" t="n">
        <f aca="false">ProfLoss!F22</f>
        <v>26786290.1544491</v>
      </c>
      <c r="G39" s="12" t="n">
        <f aca="false">ProfLoss!G22</f>
        <v>28899124.1732568</v>
      </c>
      <c r="H39" s="12" t="n">
        <f aca="false">ProfLoss!H22</f>
        <v>29742987.0157181</v>
      </c>
      <c r="I39" s="12" t="n">
        <f aca="false">ProfLoss!I22</f>
        <v>30603757.9469617</v>
      </c>
      <c r="J39" s="12" t="n">
        <f aca="false">ProfLoss!J22</f>
        <v>31486752.6563922</v>
      </c>
      <c r="K39" s="12" t="n">
        <f aca="false">SUM(D39:J39)</f>
        <v>171854312.76999</v>
      </c>
    </row>
    <row r="40" customFormat="false" ht="15" hidden="false" customHeight="false" outlineLevel="0" collapsed="false">
      <c r="B40" s="19" t="s">
        <v>63</v>
      </c>
      <c r="C40" s="20" t="s">
        <v>32</v>
      </c>
      <c r="D40" s="12" t="n">
        <f aca="false">CashFlow!D18</f>
        <v>-25139326.7272735</v>
      </c>
      <c r="E40" s="12" t="n">
        <f aca="false">CashFlow!E18</f>
        <v>9762391.88624942</v>
      </c>
      <c r="F40" s="12" t="n">
        <f aca="false">CashFlow!F18</f>
        <v>19994130.8696908</v>
      </c>
      <c r="G40" s="12" t="n">
        <f aca="false">CashFlow!G18</f>
        <v>30739370.6918465</v>
      </c>
      <c r="H40" s="12" t="n">
        <f aca="false">CashFlow!H18</f>
        <v>31731126.0173934</v>
      </c>
      <c r="I40" s="12" t="n">
        <f aca="false">CashFlow!I18</f>
        <v>32409875.1805733</v>
      </c>
      <c r="J40" s="12" t="n">
        <f aca="false">CashFlow!J18</f>
        <v>33102789.3916905</v>
      </c>
      <c r="K40" s="12" t="n">
        <f aca="false">SUM(D40:J40)</f>
        <v>132600357.31017</v>
      </c>
    </row>
    <row r="41" customFormat="false" ht="15" hidden="false" customHeight="false" outlineLevel="0" collapsed="false">
      <c r="B41" s="19" t="s">
        <v>64</v>
      </c>
      <c r="C41" s="20" t="s">
        <v>32</v>
      </c>
      <c r="D41" s="12" t="n">
        <f aca="false">LOANS!$C$107</f>
        <v>1208251.67143046</v>
      </c>
      <c r="E41" s="12" t="n">
        <f aca="false">LOANS!$D$107</f>
        <v>3956163.81423179</v>
      </c>
      <c r="F41" s="12" t="n">
        <f aca="false">LOANS!$E$107</f>
        <v>3751524.23319918</v>
      </c>
      <c r="G41" s="12" t="n">
        <f aca="false">LOANS!$F$107</f>
        <v>3550148.95462744</v>
      </c>
      <c r="H41" s="12" t="n">
        <f aca="false">LOANS!$G$107</f>
        <v>3348773.67605569</v>
      </c>
      <c r="I41" s="12" t="n">
        <f aca="false">LOANS!$H$107</f>
        <v>3148455.84757691</v>
      </c>
      <c r="J41" s="12" t="n">
        <f aca="false">LOANS!$I$107</f>
        <v>2946023.1189122</v>
      </c>
      <c r="K41" s="12" t="n">
        <f aca="false">SUM(D41:J41)</f>
        <v>21909341.3160337</v>
      </c>
    </row>
    <row r="42" customFormat="false" ht="15" hidden="false" customHeight="false" outlineLevel="0" collapsed="false">
      <c r="B42" s="19" t="s">
        <v>65</v>
      </c>
      <c r="C42" s="20" t="s">
        <v>32</v>
      </c>
      <c r="D42" s="12" t="n">
        <f aca="false">CashFlow!D26</f>
        <v>4260504.22066031</v>
      </c>
      <c r="E42" s="12" t="n">
        <f aca="false">CashFlow!E26</f>
        <v>5329805.75058906</v>
      </c>
      <c r="F42" s="12" t="n">
        <f aca="false">CashFlow!F26</f>
        <v>15766184.315063</v>
      </c>
      <c r="G42" s="12" t="n">
        <f aca="false">CashFlow!G26</f>
        <v>26712799.4157905</v>
      </c>
      <c r="H42" s="12" t="n">
        <f aca="false">CashFlow!H26</f>
        <v>27905930.0199092</v>
      </c>
      <c r="I42" s="12" t="n">
        <f aca="false">CashFlow!I26</f>
        <v>28784997.0115678</v>
      </c>
      <c r="J42" s="12" t="n">
        <f aca="false">CashFlow!J26</f>
        <v>29680343.9513498</v>
      </c>
      <c r="K42" s="12" t="n">
        <f aca="false">SUM(D42:J42)</f>
        <v>138440564.68493</v>
      </c>
    </row>
    <row r="43" customFormat="false" ht="15" hidden="false" customHeight="false" outlineLevel="0" collapsed="false">
      <c r="B43" s="19" t="s">
        <v>66</v>
      </c>
      <c r="C43" s="20" t="s">
        <v>32</v>
      </c>
      <c r="D43" s="12" t="n">
        <f aca="false">CashFlow!D27</f>
        <v>4260504.22066031</v>
      </c>
      <c r="E43" s="12" t="n">
        <f aca="false">CashFlow!E27</f>
        <v>9590309.97124937</v>
      </c>
      <c r="F43" s="12" t="n">
        <f aca="false">CashFlow!F27</f>
        <v>25356494.2863124</v>
      </c>
      <c r="G43" s="12" t="n">
        <f aca="false">CashFlow!G27</f>
        <v>52069293.7021029</v>
      </c>
      <c r="H43" s="12" t="n">
        <f aca="false">CashFlow!H27</f>
        <v>79975223.722012</v>
      </c>
      <c r="I43" s="12" t="n">
        <f aca="false">CashFlow!I27</f>
        <v>108760220.73358</v>
      </c>
      <c r="J43" s="12" t="n">
        <f aca="false">CashFlow!J27</f>
        <v>138440564.68493</v>
      </c>
    </row>
    <row r="44" customFormat="false" ht="15" hidden="false" customHeight="false" outlineLevel="0" collapsed="false">
      <c r="B44" s="19" t="s">
        <v>67</v>
      </c>
      <c r="C44" s="20" t="s">
        <v>68</v>
      </c>
      <c r="D44" s="21" t="str">
        <f aca="false">CashFlow!D30</f>
        <v>-</v>
      </c>
      <c r="E44" s="21" t="n">
        <f aca="false">CashFlow!E30</f>
        <v>2.34721563637374</v>
      </c>
      <c r="F44" s="21" t="n">
        <f aca="false">CashFlow!F30</f>
        <v>5.20260761626965</v>
      </c>
      <c r="G44" s="21" t="n">
        <f aca="false">CashFlow!G30</f>
        <v>8.5244165124316</v>
      </c>
      <c r="H44" s="21" t="n">
        <f aca="false">CashFlow!H30</f>
        <v>9.33317886468153</v>
      </c>
      <c r="I44" s="21" t="n">
        <f aca="false">CashFlow!I30</f>
        <v>10.1425760452449</v>
      </c>
      <c r="J44" s="21" t="n">
        <f aca="false">CashFlow!J30</f>
        <v>11.0747152189047</v>
      </c>
    </row>
    <row r="45" customFormat="false" ht="15" hidden="false" customHeight="false" outlineLevel="0" collapsed="false">
      <c r="B45" s="19" t="s">
        <v>69</v>
      </c>
      <c r="C45" s="20" t="s">
        <v>32</v>
      </c>
      <c r="D45" s="12" t="n">
        <f aca="false">LOANS!$C$108</f>
        <v>17024289.695302</v>
      </c>
      <c r="E45" s="12" t="n">
        <f aca="false">LOANS!$D$108</f>
        <v>14186908.0794183</v>
      </c>
      <c r="F45" s="12" t="n">
        <f aca="false">LOANS!$E$108</f>
        <v>11349526.4635346</v>
      </c>
      <c r="G45" s="12" t="n">
        <f aca="false">LOANS!$F$108</f>
        <v>8512144.84765098</v>
      </c>
      <c r="H45" s="12" t="n">
        <f aca="false">LOANS!$G$108</f>
        <v>5674763.23176732</v>
      </c>
      <c r="I45" s="12" t="n">
        <f aca="false">LOANS!$H$108</f>
        <v>2837381.61588366</v>
      </c>
      <c r="J45" s="12" t="n">
        <f aca="false">LOANS!$I$108</f>
        <v>0</v>
      </c>
    </row>
    <row r="47" customFormat="false" ht="15" hidden="false" customHeight="false" outlineLevel="0" collapsed="false">
      <c r="B47" s="4" t="s">
        <v>70</v>
      </c>
      <c r="C47" s="5"/>
      <c r="D47" s="5"/>
      <c r="E47" s="5"/>
      <c r="F47" s="5"/>
      <c r="G47" s="5"/>
      <c r="H47" s="5"/>
      <c r="I47" s="5"/>
      <c r="J47" s="5"/>
      <c r="K47" s="5"/>
    </row>
    <row r="48" customFormat="false" ht="15" hidden="false" customHeight="false" outlineLevel="0" collapsed="false">
      <c r="B48" s="6" t="s">
        <v>71</v>
      </c>
      <c r="C48" s="22" t="n">
        <f aca="false">NPV_IRR!D18</f>
        <v>26398405.7474789</v>
      </c>
    </row>
    <row r="49" customFormat="false" ht="15" hidden="false" customHeight="false" outlineLevel="0" collapsed="false">
      <c r="B49" s="6" t="s">
        <v>72</v>
      </c>
      <c r="C49" s="23" t="n">
        <f aca="false">NPV_IRR!D19</f>
        <v>0.221459650132163</v>
      </c>
    </row>
    <row r="50" customFormat="false" ht="15" hidden="false" customHeight="false" outlineLevel="0" collapsed="false">
      <c r="B50" s="6" t="s">
        <v>73</v>
      </c>
      <c r="C50" s="24" t="n">
        <f aca="false">NPV_IRR!D20</f>
        <v>1.40302770602266</v>
      </c>
    </row>
    <row r="51" customFormat="false" ht="15" hidden="false" customHeight="false" outlineLevel="0" collapsed="false">
      <c r="B51" s="6" t="s">
        <v>74</v>
      </c>
      <c r="C51" s="25" t="n">
        <f aca="false">NPV_IRR!D21</f>
        <v>4.44262259215636</v>
      </c>
    </row>
    <row r="52" customFormat="false" ht="15" hidden="false" customHeight="false" outlineLevel="0" collapsed="false">
      <c r="B52" s="6" t="s">
        <v>75</v>
      </c>
      <c r="C52" s="25" t="n">
        <f aca="false">NPV_IRR!D22</f>
        <v>5.34666442828724</v>
      </c>
    </row>
    <row r="53" customFormat="false" ht="15" hidden="false" customHeight="false" outlineLevel="0" collapsed="false">
      <c r="B53" s="6" t="s">
        <v>76</v>
      </c>
      <c r="C53" s="26" t="str">
        <f aca="false">TEXT(CashFlow!K31,"0.00") &amp; "x / " &amp; TEXT(CashFlow!K32,"0.00") &amp; "x"</f>
        <v>2.35x / 7.77x</v>
      </c>
      <c r="D53" s="26"/>
      <c r="E53" s="26"/>
    </row>
    <row r="54" customFormat="false" ht="15" hidden="false" customHeight="false" outlineLevel="0" collapsed="false">
      <c r="B54" s="6" t="s">
        <v>77</v>
      </c>
      <c r="C54" s="23" t="n">
        <f aca="false">BreakPoint!C10</f>
        <v>0.246146547258186</v>
      </c>
    </row>
    <row r="55" customFormat="false" ht="15" hidden="false" customHeight="false" outlineLevel="0" collapsed="false">
      <c r="B55" s="6" t="s">
        <v>78</v>
      </c>
      <c r="C55" s="26" t="str">
        <f aca="false">TEXT(Исх_данные!$E$18,"#,##0") &amp; " USD / " &amp; TEXT(Исх_данные!$E$19,"0.0%")</f>
        <v>71,912,491 USD / 27.3%</v>
      </c>
      <c r="D55" s="26"/>
      <c r="E55" s="26"/>
    </row>
    <row r="57" customFormat="false" ht="15" hidden="false" customHeight="false" outlineLevel="0" collapsed="false">
      <c r="B57" s="4" t="s">
        <v>79</v>
      </c>
      <c r="C57" s="5"/>
      <c r="D57" s="5"/>
      <c r="E57" s="5"/>
      <c r="F57" s="5"/>
      <c r="G57" s="5"/>
      <c r="H57" s="5"/>
      <c r="I57" s="5"/>
      <c r="J57" s="5"/>
      <c r="K57" s="5"/>
    </row>
    <row r="58" customFormat="false" ht="15" hidden="false" customHeight="false" outlineLevel="0" collapsed="false">
      <c r="B58" s="6" t="s">
        <v>80</v>
      </c>
      <c r="C58" s="27" t="str">
        <f aca="false">Проверки!E14</f>
        <v>OK</v>
      </c>
    </row>
    <row r="59" customFormat="false" ht="15" hidden="false" customHeight="false" outlineLevel="0" collapsed="false">
      <c r="B59" s="6" t="s">
        <v>81</v>
      </c>
      <c r="C59" s="27" t="str">
        <f aca="false">Проверки!E16</f>
        <v>OK</v>
      </c>
    </row>
    <row r="60" customFormat="false" ht="15" hidden="false" customHeight="false" outlineLevel="0" collapsed="false">
      <c r="B60" s="6" t="s">
        <v>82</v>
      </c>
      <c r="C60" s="27" t="str">
        <f aca="false">Проверки!E12</f>
        <v>OK</v>
      </c>
    </row>
    <row r="61" customFormat="false" ht="15" hidden="false" customHeight="false" outlineLevel="0" collapsed="false">
      <c r="B61" s="6" t="s">
        <v>83</v>
      </c>
      <c r="C61" s="27" t="str">
        <f aca="false">IF(ProjCost!E17&gt;0,"OK","ОШИБКА")</f>
        <v>OK</v>
      </c>
    </row>
    <row r="62" customFormat="false" ht="15" hidden="false" customHeight="false" outlineLevel="0" collapsed="false">
      <c r="B62" s="6" t="s">
        <v>84</v>
      </c>
      <c r="C62" s="27" t="str">
        <f aca="false">Проверки!E17</f>
        <v>OK</v>
      </c>
    </row>
    <row r="63" customFormat="false" ht="15" hidden="false" customHeight="false" outlineLevel="0" collapsed="false">
      <c r="B63" s="6" t="s">
        <v>85</v>
      </c>
      <c r="C63" s="27" t="str">
        <f aca="false">Проверки!E24</f>
        <v>ВСЕ OK</v>
      </c>
    </row>
    <row r="65" customFormat="false" ht="15" hidden="false" customHeight="false" outlineLevel="0" collapsed="false">
      <c r="B65" s="4" t="s">
        <v>86</v>
      </c>
      <c r="C65" s="5"/>
      <c r="D65" s="5"/>
      <c r="E65" s="5"/>
      <c r="F65" s="5"/>
      <c r="G65" s="5"/>
      <c r="H65" s="5"/>
      <c r="I65" s="5"/>
      <c r="J65" s="5"/>
      <c r="K65" s="5"/>
    </row>
    <row r="66" customFormat="false" ht="30" hidden="false" customHeight="true" outlineLevel="0" collapsed="false">
      <c r="B66" s="28" t="s">
        <v>87</v>
      </c>
      <c r="C66" s="28"/>
      <c r="D66" s="28"/>
      <c r="E66" s="28"/>
      <c r="F66" s="28"/>
      <c r="G66" s="28"/>
      <c r="H66" s="28"/>
      <c r="I66" s="28"/>
      <c r="J66" s="28"/>
      <c r="K66" s="28"/>
    </row>
    <row r="67" customFormat="false" ht="30" hidden="false" customHeight="true" outlineLevel="0" collapsed="false">
      <c r="B67" s="28" t="s">
        <v>88</v>
      </c>
      <c r="C67" s="28"/>
      <c r="D67" s="28"/>
      <c r="E67" s="28"/>
      <c r="F67" s="28"/>
      <c r="G67" s="28"/>
      <c r="H67" s="28"/>
      <c r="I67" s="28"/>
      <c r="J67" s="28"/>
      <c r="K67" s="28"/>
    </row>
    <row r="68" customFormat="false" ht="30" hidden="false" customHeight="true" outlineLevel="0" collapsed="false">
      <c r="B68" s="28" t="s">
        <v>89</v>
      </c>
      <c r="C68" s="28"/>
      <c r="D68" s="28"/>
      <c r="E68" s="28"/>
      <c r="F68" s="28"/>
      <c r="G68" s="28"/>
      <c r="H68" s="28"/>
      <c r="I68" s="28"/>
      <c r="J68" s="28"/>
      <c r="K68" s="28"/>
    </row>
    <row r="69" customFormat="false" ht="30" hidden="false" customHeight="true" outlineLevel="0" collapsed="false">
      <c r="B69" s="28" t="s">
        <v>90</v>
      </c>
      <c r="C69" s="28"/>
      <c r="D69" s="28"/>
      <c r="E69" s="28"/>
      <c r="F69" s="28"/>
      <c r="G69" s="28"/>
      <c r="H69" s="28"/>
      <c r="I69" s="28"/>
      <c r="J69" s="28"/>
      <c r="K69" s="28"/>
    </row>
    <row r="70" customFormat="false" ht="30" hidden="false" customHeight="true" outlineLevel="0" collapsed="false">
      <c r="B70" s="28" t="s">
        <v>91</v>
      </c>
      <c r="C70" s="28"/>
      <c r="D70" s="28"/>
      <c r="E70" s="28"/>
      <c r="F70" s="28"/>
      <c r="G70" s="28"/>
      <c r="H70" s="28"/>
      <c r="I70" s="28"/>
      <c r="J70" s="28"/>
      <c r="K70" s="28"/>
    </row>
    <row r="71" customFormat="false" ht="30" hidden="false" customHeight="true" outlineLevel="0" collapsed="false">
      <c r="B71" s="28" t="s">
        <v>92</v>
      </c>
      <c r="C71" s="28"/>
      <c r="D71" s="28"/>
      <c r="E71" s="28"/>
      <c r="F71" s="28"/>
      <c r="G71" s="28"/>
      <c r="H71" s="28"/>
      <c r="I71" s="28"/>
      <c r="J71" s="28"/>
      <c r="K71" s="28"/>
    </row>
    <row r="73" customFormat="false" ht="15" hidden="false" customHeight="false" outlineLevel="0" collapsed="false">
      <c r="B73" s="4" t="s">
        <v>93</v>
      </c>
      <c r="C73" s="5"/>
      <c r="D73" s="5"/>
      <c r="E73" s="5"/>
      <c r="F73" s="5"/>
      <c r="G73" s="5"/>
      <c r="H73" s="5"/>
      <c r="I73" s="5"/>
      <c r="J73" s="5"/>
      <c r="K73" s="5"/>
    </row>
    <row r="74" customFormat="false" ht="30" hidden="false" customHeight="true" outlineLevel="0" collapsed="false">
      <c r="B74" s="26" t="s">
        <v>94</v>
      </c>
      <c r="C74" s="19" t="str">
        <f aca="false">"Изменение цены безубыточности по ТЭО-модели (все продукты): " &amp; TEXT(BreakPoint!C15,"0.0%") &amp; "; точка безубыточности при проектной мощности — " &amp; TEXT(BreakPoint!C10,"0%") &amp; " выручки. Меры: долгосрочные контракты на реализацию, мониторинг рыночных цен."</f>
        <v>Изменение цены безубыточности по ТЭО-модели (все продукты): -11.1%; точка безубыточности при проектной мощности — 25% выручки. Меры: долгосрочные контракты на реализацию, мониторинг рыночных цен.</v>
      </c>
      <c r="D74" s="19"/>
      <c r="E74" s="19"/>
      <c r="F74" s="19"/>
      <c r="G74" s="19"/>
      <c r="H74" s="19"/>
      <c r="I74" s="19"/>
      <c r="J74" s="19"/>
      <c r="K74" s="19"/>
    </row>
    <row r="75" customFormat="false" ht="30" hidden="false" customHeight="true" outlineLevel="0" collapsed="false">
      <c r="B75" s="26" t="s">
        <v>95</v>
      </c>
      <c r="C75" s="19" t="str">
        <f aca="false">"Доля экспорта в выручке: " &amp; TEXT(SalePlan!F8/SalePlan!F14,"0%") &amp; "; цены продукции установлены в USD; кредит — в USD (естественное хеджирование валютной позиции)."</f>
        <v>Доля экспорта в выручке: 100%; цены продукции установлены в USD; кредит — в USD (естественное хеджирование валютной позиции).</v>
      </c>
      <c r="D75" s="19"/>
      <c r="E75" s="19"/>
      <c r="F75" s="19"/>
      <c r="G75" s="19"/>
      <c r="H75" s="19"/>
      <c r="I75" s="19"/>
      <c r="J75" s="19"/>
      <c r="K75" s="19"/>
    </row>
    <row r="76" customFormat="false" ht="30" hidden="false" customHeight="true" outlineLevel="0" collapsed="false">
      <c r="B76" s="26" t="s">
        <v>96</v>
      </c>
      <c r="C76" s="19" t="str">
        <f aca="false">"Освоение мощности: 1-й год — " &amp; TEXT(ProdPlan!D11,"0%") &amp; ", 2-й год — " &amp; TEXT(ProdPlan!E11,"0%") &amp; ", 3-й год — " &amp; TEXT(ProdPlan!F11,"0%") &amp; "; льготный период 12 мес. и запас DSCR (мин. " &amp; TEXT(CashFlow!K31,"0.00") &amp; "x) покрывают период выхода на мощность."</f>
        <v>Освоение мощности: 1-й год — 10%, 2-й год — 83%, 3-й год — 100%; льготный период 12 мес. и запас DSCR (мин. 2.35x) покрывают период выхода на мощность.</v>
      </c>
      <c r="D76" s="19"/>
      <c r="E76" s="19"/>
      <c r="F76" s="19"/>
      <c r="G76" s="19"/>
      <c r="H76" s="19"/>
      <c r="I76" s="19"/>
      <c r="J76" s="19"/>
      <c r="K76" s="19"/>
    </row>
    <row r="77" customFormat="false" ht="30" hidden="false" customHeight="true" outlineLevel="0" collapsed="false">
      <c r="B77" s="26" t="s">
        <v>97</v>
      </c>
      <c r="C77" s="19" t="str">
        <f aca="false">"Капитальные затраты приняты по ТЭО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по ТЭО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7" s="19"/>
      <c r="E77" s="19"/>
      <c r="F77" s="19"/>
      <c r="G77" s="19"/>
      <c r="H77" s="19"/>
      <c r="I77" s="19"/>
      <c r="J77" s="19"/>
      <c r="K77" s="19"/>
    </row>
    <row r="78" customFormat="false" ht="30" hidden="false" customHeight="true" outlineLevel="0" collapsed="false">
      <c r="B78" s="26" t="s">
        <v>98</v>
      </c>
      <c r="C78" s="19" t="str">
        <f aca="false">"Основное сырьё — Вольфрамовый концентрат 55%: " &amp; TEXT(RawMat!F24/CostTotal!C22,"0%") &amp; " затрат при проектной мощности (с учётом прочих материалов). Меры: долгосрочные договоры поставки."</f>
        <v>Основное сырьё — Вольфрамовый концентрат 55%: 93% затрат при проектной мощности (с учётом прочих материалов). Меры: долгосрочные договоры поставки.</v>
      </c>
      <c r="D78" s="19"/>
      <c r="E78" s="19"/>
      <c r="F78" s="19"/>
      <c r="G78" s="19"/>
      <c r="H78" s="19"/>
      <c r="I78" s="19"/>
      <c r="J78" s="19"/>
      <c r="K78" s="19"/>
    </row>
  </sheetData>
  <mergeCells count="27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53:E53"/>
    <mergeCell ref="C55:E55"/>
    <mergeCell ref="B66:K66"/>
    <mergeCell ref="B67:K67"/>
    <mergeCell ref="B68:K68"/>
    <mergeCell ref="B69:K69"/>
    <mergeCell ref="B70:K70"/>
    <mergeCell ref="B71:K71"/>
    <mergeCell ref="C74:K74"/>
    <mergeCell ref="C75:K75"/>
    <mergeCell ref="C76:K76"/>
    <mergeCell ref="C77:K77"/>
    <mergeCell ref="C78:K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52"/>
    <col collapsed="false" customWidth="true" hidden="false" outlineLevel="0" max="14" min="4" style="0" width="16"/>
  </cols>
  <sheetData>
    <row r="2" customFormat="false" ht="15" hidden="false" customHeight="false" outlineLevel="0" collapsed="false">
      <c r="B2" s="2" t="s">
        <v>99</v>
      </c>
    </row>
    <row r="4" customFormat="false" ht="30" hidden="false" customHeight="true" outlineLevel="0" collapsed="false">
      <c r="B4" s="26" t="s">
        <v>100</v>
      </c>
      <c r="C4" s="19" t="s">
        <v>7</v>
      </c>
    </row>
    <row r="5" customFormat="false" ht="15" hidden="false" customHeight="true" outlineLevel="0" collapsed="false">
      <c r="B5" s="26" t="s">
        <v>101</v>
      </c>
      <c r="C5" s="19" t="s">
        <v>102</v>
      </c>
    </row>
    <row r="6" customFormat="false" ht="30" hidden="false" customHeight="true" outlineLevel="0" collapsed="false">
      <c r="B6" s="26" t="s">
        <v>103</v>
      </c>
      <c r="C6" s="19" t="s">
        <v>104</v>
      </c>
    </row>
    <row r="7" customFormat="false" ht="30" hidden="false" customHeight="true" outlineLevel="0" collapsed="false">
      <c r="B7" s="26" t="s">
        <v>105</v>
      </c>
      <c r="C7" s="19" t="s">
        <v>106</v>
      </c>
    </row>
    <row r="8" customFormat="false" ht="15" hidden="false" customHeight="true" outlineLevel="0" collapsed="false">
      <c r="B8" s="26" t="s">
        <v>107</v>
      </c>
      <c r="C8" s="19" t="s">
        <v>9</v>
      </c>
    </row>
    <row r="9" customFormat="false" ht="15" hidden="false" customHeight="true" outlineLevel="0" collapsed="false">
      <c r="B9" s="26" t="s">
        <v>108</v>
      </c>
      <c r="C9" s="19" t="s">
        <v>109</v>
      </c>
    </row>
    <row r="10" customFormat="false" ht="15" hidden="false" customHeight="true" outlineLevel="0" collapsed="false">
      <c r="B10" s="26" t="s">
        <v>110</v>
      </c>
      <c r="C10" s="19" t="s">
        <v>11</v>
      </c>
    </row>
    <row r="11" customFormat="false" ht="15" hidden="false" customHeight="true" outlineLevel="0" collapsed="false">
      <c r="B11" s="26" t="s">
        <v>111</v>
      </c>
      <c r="C11" s="19" t="s">
        <v>112</v>
      </c>
    </row>
    <row r="12" customFormat="false" ht="15" hidden="false" customHeight="true" outlineLevel="0" collapsed="false">
      <c r="B12" s="26" t="s">
        <v>113</v>
      </c>
      <c r="C12" s="19" t="s">
        <v>114</v>
      </c>
    </row>
    <row r="13" customFormat="false" ht="15" hidden="false" customHeight="true" outlineLevel="0" collapsed="false">
      <c r="B13" s="26" t="s">
        <v>115</v>
      </c>
      <c r="C13" s="19" t="s">
        <v>116</v>
      </c>
    </row>
    <row r="14" customFormat="false" ht="15" hidden="false" customHeight="true" outlineLevel="0" collapsed="false">
      <c r="B14" s="26" t="s">
        <v>117</v>
      </c>
      <c r="C14" s="19" t="s">
        <v>118</v>
      </c>
    </row>
    <row r="16" customFormat="false" ht="15" hidden="false" customHeight="false" outlineLevel="0" collapsed="false">
      <c r="B16" s="4" t="s">
        <v>119</v>
      </c>
      <c r="C16" s="5"/>
    </row>
    <row r="17" customFormat="false" ht="23.85" hidden="false" customHeight="false" outlineLevel="0" collapsed="false">
      <c r="B17" s="6" t="s">
        <v>120</v>
      </c>
      <c r="C17" s="19" t="s">
        <v>7</v>
      </c>
    </row>
    <row r="18" customFormat="false" ht="23.85" hidden="false" customHeight="false" outlineLevel="0" collapsed="false">
      <c r="B18" s="6" t="s">
        <v>121</v>
      </c>
      <c r="C18" s="19" t="s">
        <v>122</v>
      </c>
    </row>
    <row r="19" customFormat="false" ht="15" hidden="false" customHeight="false" outlineLevel="0" collapsed="false">
      <c r="B19" s="6" t="s">
        <v>123</v>
      </c>
      <c r="C19" s="19" t="s">
        <v>124</v>
      </c>
    </row>
    <row r="20" customFormat="false" ht="15" hidden="false" customHeight="false" outlineLevel="0" collapsed="false">
      <c r="B20" s="6" t="s">
        <v>125</v>
      </c>
      <c r="C20" s="19" t="s">
        <v>126</v>
      </c>
    </row>
    <row r="22" customFormat="false" ht="15" hidden="false" customHeight="false" outlineLevel="0" collapsed="false">
      <c r="B22" s="26" t="s">
        <v>127</v>
      </c>
      <c r="C22" s="6" t="s">
        <v>128</v>
      </c>
    </row>
    <row r="23" customFormat="false" ht="15" hidden="false" customHeight="false" outlineLevel="0" collapsed="false">
      <c r="B23" s="6" t="s">
        <v>129</v>
      </c>
      <c r="C23" s="29" t="n">
        <f aca="false">Исх_данные!$F$24</f>
        <v>12231.2340841376</v>
      </c>
    </row>
    <row r="25" customFormat="false" ht="15" hidden="false" customHeight="false" outlineLevel="0" collapsed="false">
      <c r="B25" s="4" t="s">
        <v>130</v>
      </c>
      <c r="C25" s="5"/>
    </row>
    <row r="26" customFormat="false" ht="15" hidden="false" customHeight="true" outlineLevel="0" collapsed="false">
      <c r="B26" s="19" t="s">
        <v>21</v>
      </c>
      <c r="C26" s="22" t="n">
        <f aca="false">O41</f>
        <v>17024289.695302</v>
      </c>
    </row>
    <row r="27" customFormat="false" ht="15" hidden="false" customHeight="true" outlineLevel="0" collapsed="false">
      <c r="B27" s="19" t="s">
        <v>131</v>
      </c>
      <c r="C27" s="30" t="n">
        <v>0.07</v>
      </c>
    </row>
    <row r="28" customFormat="false" ht="15" hidden="false" customHeight="true" outlineLevel="0" collapsed="false">
      <c r="B28" s="19" t="s">
        <v>132</v>
      </c>
      <c r="C28" s="31" t="n">
        <v>84</v>
      </c>
    </row>
    <row r="29" customFormat="false" ht="15" hidden="false" customHeight="true" outlineLevel="0" collapsed="false">
      <c r="B29" s="19" t="s">
        <v>133</v>
      </c>
      <c r="C29" s="31" t="n">
        <v>12</v>
      </c>
    </row>
    <row r="30" customFormat="false" ht="15" hidden="false" customHeight="true" outlineLevel="0" collapsed="false">
      <c r="B30" s="19" t="s">
        <v>134</v>
      </c>
      <c r="C30" s="31" t="n">
        <v>12</v>
      </c>
    </row>
    <row r="31" customFormat="false" ht="15" hidden="false" customHeight="true" outlineLevel="0" collapsed="false">
      <c r="B31" s="19" t="s">
        <v>135</v>
      </c>
      <c r="C31" s="32" t="n">
        <v>46388</v>
      </c>
    </row>
    <row r="32" customFormat="false" ht="15" hidden="false" customHeight="true" outlineLevel="0" collapsed="false">
      <c r="B32" s="19" t="s">
        <v>136</v>
      </c>
      <c r="C32" s="31" t="n">
        <v>360</v>
      </c>
    </row>
    <row r="33" customFormat="false" ht="30" hidden="false" customHeight="true" outlineLevel="0" collapsed="false">
      <c r="B33" s="19" t="s">
        <v>137</v>
      </c>
      <c r="C33" s="19" t="s">
        <v>138</v>
      </c>
    </row>
    <row r="34" customFormat="false" ht="30" hidden="false" customHeight="true" outlineLevel="0" collapsed="false">
      <c r="B34" s="19" t="s">
        <v>139</v>
      </c>
      <c r="C34" s="19" t="s">
        <v>140</v>
      </c>
    </row>
    <row r="35" customFormat="false" ht="30" hidden="false" customHeight="true" outlineLevel="0" collapsed="false">
      <c r="B35" s="19" t="s">
        <v>28</v>
      </c>
      <c r="C35" s="19" t="s">
        <v>141</v>
      </c>
    </row>
    <row r="36" customFormat="false" ht="15" hidden="false" customHeight="true" outlineLevel="0" collapsed="false">
      <c r="B36" s="19" t="s">
        <v>142</v>
      </c>
      <c r="C36" s="30" t="n">
        <v>0.01</v>
      </c>
    </row>
    <row r="38" customFormat="false" ht="15" hidden="false" customHeight="false" outlineLevel="0" collapsed="false">
      <c r="B38" s="33" t="s">
        <v>143</v>
      </c>
    </row>
    <row r="39" customFormat="false" ht="45" hidden="false" customHeight="true" outlineLevel="0" collapsed="false">
      <c r="B39" s="18" t="s">
        <v>144</v>
      </c>
      <c r="C39" s="18" t="s">
        <v>145</v>
      </c>
      <c r="D39" s="18" t="s">
        <v>146</v>
      </c>
      <c r="E39" s="18" t="s">
        <v>147</v>
      </c>
      <c r="F39" s="18" t="s">
        <v>148</v>
      </c>
      <c r="G39" s="18" t="s">
        <v>149</v>
      </c>
      <c r="H39" s="18" t="s">
        <v>150</v>
      </c>
      <c r="I39" s="18" t="s">
        <v>151</v>
      </c>
      <c r="J39" s="18" t="s">
        <v>152</v>
      </c>
      <c r="K39" s="18" t="s">
        <v>153</v>
      </c>
      <c r="L39" s="18" t="s">
        <v>154</v>
      </c>
      <c r="M39" s="18" t="s">
        <v>155</v>
      </c>
      <c r="N39" s="18" t="s">
        <v>156</v>
      </c>
      <c r="O39" s="18" t="s">
        <v>157</v>
      </c>
    </row>
    <row r="40" customFormat="false" ht="42" hidden="false" customHeight="true" outlineLevel="0" collapsed="false">
      <c r="B40" s="19" t="s">
        <v>158</v>
      </c>
      <c r="C40" s="19" t="s">
        <v>159</v>
      </c>
      <c r="D40" s="34" t="n">
        <v>158</v>
      </c>
      <c r="E40" s="35" t="n">
        <v>116.0322968</v>
      </c>
      <c r="F40" s="35" t="n">
        <v>532.896</v>
      </c>
      <c r="G40" s="35" t="n">
        <v>1041.567375</v>
      </c>
      <c r="H40" s="29" t="n">
        <f aca="false">E40+F40+G40</f>
        <v>1690.4956718</v>
      </c>
      <c r="I40" s="36" t="n">
        <v>12.2</v>
      </c>
      <c r="J40" s="29" t="n">
        <f aca="false">H40/I40</f>
        <v>138.565219</v>
      </c>
      <c r="K40" s="29" t="n">
        <f aca="false">H40*30%</f>
        <v>507.14870154</v>
      </c>
      <c r="L40" s="37" t="n">
        <v>11.838</v>
      </c>
      <c r="M40" s="29" t="n">
        <f aca="false">K40/L40</f>
        <v>42.8407418094273</v>
      </c>
      <c r="N40" s="13" t="n">
        <f aca="false">M40/$M$43</f>
        <v>0.548511491521257</v>
      </c>
      <c r="O40" s="12" t="n">
        <f aca="false">N40*$O$44</f>
        <v>42783896.3386581</v>
      </c>
    </row>
    <row r="41" customFormat="false" ht="42" hidden="false" customHeight="true" outlineLevel="0" collapsed="false">
      <c r="B41" s="38" t="s">
        <v>1</v>
      </c>
      <c r="C41" s="39" t="s">
        <v>109</v>
      </c>
      <c r="D41" s="40" t="n">
        <v>80</v>
      </c>
      <c r="E41" s="41" t="n">
        <v>25.272</v>
      </c>
      <c r="F41" s="41" t="n">
        <v>293.4</v>
      </c>
      <c r="G41" s="41" t="n">
        <v>353.99904</v>
      </c>
      <c r="H41" s="42" t="n">
        <f aca="false">E41+F41+G41</f>
        <v>672.67104</v>
      </c>
      <c r="I41" s="43" t="n">
        <v>12</v>
      </c>
      <c r="J41" s="42" t="n">
        <f aca="false">H41/I41</f>
        <v>56.05592</v>
      </c>
      <c r="K41" s="42" t="n">
        <f aca="false">H41*30%</f>
        <v>201.801312</v>
      </c>
      <c r="L41" s="44" t="n">
        <v>11.838</v>
      </c>
      <c r="M41" s="42" t="n">
        <f aca="false">K41/L41</f>
        <v>17.0469092752154</v>
      </c>
      <c r="N41" s="45" t="n">
        <f aca="false">M41/$M$43</f>
        <v>0.218260124298743</v>
      </c>
      <c r="O41" s="46" t="n">
        <f aca="false">N41*$O$44</f>
        <v>17024289.695302</v>
      </c>
    </row>
    <row r="42" customFormat="false" ht="42" hidden="false" customHeight="true" outlineLevel="0" collapsed="false">
      <c r="B42" s="19" t="s">
        <v>160</v>
      </c>
      <c r="C42" s="19" t="s">
        <v>161</v>
      </c>
      <c r="D42" s="34" t="n">
        <v>65</v>
      </c>
      <c r="E42" s="35" t="n">
        <v>25.35648</v>
      </c>
      <c r="F42" s="35" t="n">
        <v>251.13528</v>
      </c>
      <c r="G42" s="35" t="n">
        <v>442.311</v>
      </c>
      <c r="H42" s="29" t="n">
        <f aca="false">E42+F42+G42</f>
        <v>718.80276</v>
      </c>
      <c r="I42" s="36" t="n">
        <v>12</v>
      </c>
      <c r="J42" s="29" t="n">
        <f aca="false">H42/I42</f>
        <v>59.90023</v>
      </c>
      <c r="K42" s="29" t="n">
        <f aca="false">H42*30%</f>
        <v>215.640828</v>
      </c>
      <c r="L42" s="37" t="n">
        <v>11.838</v>
      </c>
      <c r="M42" s="29" t="n">
        <f aca="false">K42/L42</f>
        <v>18.2159847947288</v>
      </c>
      <c r="N42" s="13" t="n">
        <f aca="false">M42/$M$43</f>
        <v>0.233228384179999</v>
      </c>
      <c r="O42" s="12" t="n">
        <f aca="false">N42*$O$44</f>
        <v>18191813.9660399</v>
      </c>
    </row>
    <row r="43" customFormat="false" ht="15" hidden="false" customHeight="false" outlineLevel="0" collapsed="false">
      <c r="B43" s="10" t="s">
        <v>162</v>
      </c>
      <c r="C43" s="47"/>
      <c r="D43" s="48" t="n">
        <f aca="false">SUM(D40:D42)</f>
        <v>303</v>
      </c>
      <c r="E43" s="47" t="n">
        <f aca="false">SUM(E40:E42)</f>
        <v>166.6607768</v>
      </c>
      <c r="F43" s="47" t="n">
        <f aca="false">SUM(F40:F42)</f>
        <v>1077.43128</v>
      </c>
      <c r="G43" s="47" t="n">
        <f aca="false">SUM(G40:G42)</f>
        <v>1837.877415</v>
      </c>
      <c r="H43" s="47" t="n">
        <f aca="false">SUM(H40:H42)</f>
        <v>3081.9694718</v>
      </c>
      <c r="I43" s="47"/>
      <c r="J43" s="47" t="n">
        <f aca="false">SUM(J40:J42)</f>
        <v>254.521369</v>
      </c>
      <c r="K43" s="47" t="n">
        <f aca="false">SUM(K40:K42)</f>
        <v>924.59084154</v>
      </c>
      <c r="L43" s="47"/>
      <c r="M43" s="47" t="n">
        <f aca="false">SUM(M40:M42)</f>
        <v>78.1036358793715</v>
      </c>
      <c r="N43" s="49" t="n">
        <f aca="false">SUM(N40:N42)</f>
        <v>1</v>
      </c>
      <c r="O43" s="48" t="n">
        <f aca="false">SUM(O40:O42)</f>
        <v>78000000</v>
      </c>
    </row>
    <row r="44" customFormat="false" ht="15" hidden="false" customHeight="false" outlineLevel="0" collapsed="false">
      <c r="N44" s="26" t="s">
        <v>163</v>
      </c>
      <c r="O44" s="50" t="n">
        <v>78000000</v>
      </c>
    </row>
    <row r="46" customFormat="false" ht="15" hidden="false" customHeight="false" outlineLevel="0" collapsed="false">
      <c r="B46" s="3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0"/>
    <col collapsed="false" customWidth="true" hidden="false" outlineLevel="0" max="5" min="3" style="0" width="16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58"/>
  </cols>
  <sheetData>
    <row r="2" customFormat="false" ht="15" hidden="false" customHeight="false" outlineLevel="0" collapsed="false">
      <c r="B2" s="2" t="s">
        <v>165</v>
      </c>
      <c r="F2" s="51" t="s">
        <v>166</v>
      </c>
    </row>
    <row r="3" customFormat="false" ht="15" hidden="false" customHeight="false" outlineLevel="0" collapsed="false">
      <c r="B3" s="52" t="s">
        <v>167</v>
      </c>
    </row>
    <row r="4" customFormat="false" ht="30" hidden="false" customHeight="true" outlineLevel="0" collapsed="false">
      <c r="B4" s="18" t="s">
        <v>168</v>
      </c>
      <c r="C4" s="18" t="s">
        <v>169</v>
      </c>
      <c r="D4" s="18" t="s">
        <v>170</v>
      </c>
      <c r="E4" s="18" t="s">
        <v>171</v>
      </c>
      <c r="F4" s="18" t="s">
        <v>172</v>
      </c>
      <c r="H4" s="17" t="s">
        <v>173</v>
      </c>
    </row>
    <row r="5" customFormat="false" ht="15" hidden="false" customHeight="false" outlineLevel="0" collapsed="false">
      <c r="B5" s="10" t="s">
        <v>174</v>
      </c>
      <c r="C5" s="48" t="n">
        <f aca="false">SUM(C6:C9)</f>
        <v>0</v>
      </c>
      <c r="D5" s="48" t="n">
        <f aca="false">SUM(D6:D9)</f>
        <v>47761337.7232143</v>
      </c>
      <c r="E5" s="48" t="n">
        <f aca="false">SUM(E6:E9)</f>
        <v>47761337.7232143</v>
      </c>
      <c r="F5" s="23" t="n">
        <f aca="false">IFERROR(E5/$E$21,0)</f>
        <v>0.609438445690088</v>
      </c>
    </row>
    <row r="6" customFormat="false" ht="15" hidden="false" customHeight="false" outlineLevel="0" collapsed="false">
      <c r="B6" s="6" t="s">
        <v>175</v>
      </c>
      <c r="C6" s="12" t="n">
        <f aca="false">0</f>
        <v>0</v>
      </c>
      <c r="D6" s="12" t="n">
        <f aca="false">Исх_данные!$E$95+Исх_данные!$F$95+Исх_данные!$E$97+Исх_данные!$F$97+Исх_данные!$E$99+Исх_данные!$F$99+Исх_данные!$E$103+Исх_данные!$F$103+Исх_данные!$E$105+Исх_данные!$F$105+Исх_данные!$E$107+Исх_данные!$F$107+Исх_данные!$E$109+Исх_данные!$F$109+Исх_данные!$E$117+Исх_данные!$F$117</f>
        <v>28395000</v>
      </c>
      <c r="E6" s="12" t="n">
        <f aca="false">C6+D6</f>
        <v>28395000</v>
      </c>
      <c r="F6" s="13" t="n">
        <f aca="false">IFERROR(E6/$E$21,0)</f>
        <v>0.362322445105197</v>
      </c>
      <c r="H6" s="53" t="s">
        <v>176</v>
      </c>
    </row>
    <row r="7" customFormat="false" ht="15" hidden="false" customHeight="false" outlineLevel="0" collapsed="false">
      <c r="B7" s="6" t="s">
        <v>177</v>
      </c>
      <c r="C7" s="12" t="n">
        <f aca="false">0</f>
        <v>0</v>
      </c>
      <c r="D7" s="12" t="n">
        <f aca="false">Исх_данные!$E$101+Исх_данные!$F$101+Исх_данные!$E$113+Исх_данные!$F$113+Исх_данные!$E$119+Исх_данные!$F$119</f>
        <v>19089552.0089286</v>
      </c>
      <c r="E7" s="12" t="n">
        <f aca="false">C7+D7</f>
        <v>19089552.0089286</v>
      </c>
      <c r="F7" s="13" t="n">
        <f aca="false">IFERROR(E7/$E$21,0)</f>
        <v>0.243584192986012</v>
      </c>
      <c r="H7" s="53" t="s">
        <v>178</v>
      </c>
    </row>
    <row r="8" customFormat="false" ht="15" hidden="false" customHeight="false" outlineLevel="0" collapsed="false">
      <c r="B8" s="6" t="s">
        <v>179</v>
      </c>
      <c r="C8" s="12" t="n">
        <f aca="false">0</f>
        <v>0</v>
      </c>
      <c r="D8" s="12" t="n">
        <f aca="false">Исх_данные!$E$111+Исх_данные!$F$111</f>
        <v>223214.285714286</v>
      </c>
      <c r="E8" s="12" t="n">
        <f aca="false">C8+D8</f>
        <v>223214.285714286</v>
      </c>
      <c r="F8" s="13" t="n">
        <f aca="false">IFERROR(E8/$E$21,0)</f>
        <v>0.00284823193458038</v>
      </c>
      <c r="H8" s="53" t="s">
        <v>180</v>
      </c>
    </row>
    <row r="9" customFormat="false" ht="15" hidden="false" customHeight="false" outlineLevel="0" collapsed="false">
      <c r="B9" s="6" t="s">
        <v>181</v>
      </c>
      <c r="C9" s="12" t="n">
        <f aca="false">0</f>
        <v>0</v>
      </c>
      <c r="D9" s="12" t="n">
        <f aca="false">Исх_данные!$E$115+Исх_данные!$F$115</f>
        <v>53571.4285714286</v>
      </c>
      <c r="E9" s="12" t="n">
        <f aca="false">C9+D9</f>
        <v>53571.4285714286</v>
      </c>
      <c r="F9" s="13" t="n">
        <f aca="false">IFERROR(E9/$E$21,0)</f>
        <v>0.000683575664299292</v>
      </c>
      <c r="H9" s="53" t="s">
        <v>182</v>
      </c>
    </row>
    <row r="10" customFormat="false" ht="15" hidden="false" customHeight="false" outlineLevel="0" collapsed="false">
      <c r="B10" s="10" t="s">
        <v>183</v>
      </c>
      <c r="C10" s="48" t="n">
        <f aca="false">SUM(C11:C15)</f>
        <v>17296073.148958</v>
      </c>
      <c r="D10" s="48" t="n">
        <f aca="false">SUM(D11:D15)</f>
        <v>11231547.6716055</v>
      </c>
      <c r="E10" s="48" t="n">
        <f aca="false">SUM(E11:E15)</f>
        <v>28527620.8205635</v>
      </c>
      <c r="F10" s="23" t="n">
        <f aca="false">IFERROR(E10/$E$21,0)</f>
        <v>0.364014697261507</v>
      </c>
    </row>
    <row r="11" customFormat="false" ht="15" hidden="false" customHeight="false" outlineLevel="0" collapsed="false">
      <c r="B11" s="6" t="s">
        <v>184</v>
      </c>
      <c r="C11" s="12" t="n">
        <f aca="false">Исх_данные!$F$88</f>
        <v>11098087.015253</v>
      </c>
      <c r="D11" s="12" t="n">
        <v>0</v>
      </c>
      <c r="E11" s="12" t="n">
        <f aca="false">C11+D11</f>
        <v>11098087.015253</v>
      </c>
      <c r="F11" s="13" t="n">
        <f aca="false">IFERROR(E11/$E$21,0)</f>
        <v>0.141612467806187</v>
      </c>
      <c r="H11" s="53" t="s">
        <v>185</v>
      </c>
    </row>
    <row r="12" customFormat="false" ht="15" hidden="false" customHeight="false" outlineLevel="0" collapsed="false">
      <c r="B12" s="6" t="s">
        <v>186</v>
      </c>
      <c r="C12" s="12" t="n">
        <f aca="false">Исх_данные!$F$89*(1-IFERROR(Исх_данные!$F$53/Исх_данные!$F$37,0))</f>
        <v>0</v>
      </c>
      <c r="D12" s="12" t="n">
        <f aca="false">Исх_данные!$F$89*IFERROR(Исх_данные!$F$53/Исх_данные!$F$37,0)</f>
        <v>11231547.6716055</v>
      </c>
      <c r="E12" s="12" t="n">
        <f aca="false">C12+D12</f>
        <v>11231547.6716055</v>
      </c>
      <c r="F12" s="13" t="n">
        <f aca="false">IFERROR(E12/$E$21,0)</f>
        <v>0.143315436333569</v>
      </c>
      <c r="H12" s="53" t="s">
        <v>185</v>
      </c>
    </row>
    <row r="13" customFormat="false" ht="15" hidden="false" customHeight="false" outlineLevel="0" collapsed="false">
      <c r="B13" s="6" t="s">
        <v>187</v>
      </c>
      <c r="C13" s="12" t="n">
        <f aca="false">Исх_данные!$F$90</f>
        <v>8955924.53401194</v>
      </c>
      <c r="D13" s="12" t="n">
        <v>0</v>
      </c>
      <c r="E13" s="12" t="n">
        <f aca="false">C13+D13</f>
        <v>8955924.53401194</v>
      </c>
      <c r="F13" s="13" t="n">
        <f aca="false">IFERROR(E13/$E$21,0)</f>
        <v>0.114278305171362</v>
      </c>
      <c r="H13" s="53" t="s">
        <v>185</v>
      </c>
    </row>
    <row r="14" customFormat="false" ht="15" hidden="false" customHeight="false" outlineLevel="0" collapsed="false">
      <c r="B14" s="6" t="s">
        <v>188</v>
      </c>
      <c r="C14" s="12" t="n">
        <f aca="false">-Исх_данные!$F$91</f>
        <v>-2616698.78438471</v>
      </c>
      <c r="D14" s="12" t="n">
        <v>0</v>
      </c>
      <c r="E14" s="12" t="n">
        <f aca="false">C14+D14</f>
        <v>-2616698.78438471</v>
      </c>
      <c r="F14" s="13" t="n">
        <f aca="false">IFERROR(E14/$E$21,0)</f>
        <v>-0.0333892833830626</v>
      </c>
      <c r="H14" s="53" t="s">
        <v>185</v>
      </c>
    </row>
    <row r="15" customFormat="false" ht="15" hidden="false" customHeight="false" outlineLevel="0" collapsed="false">
      <c r="B15" s="6" t="s">
        <v>189</v>
      </c>
      <c r="C15" s="12" t="n">
        <f aca="false">-Исх_данные!$F$92</f>
        <v>-141239.615922167</v>
      </c>
      <c r="D15" s="12" t="n">
        <v>0</v>
      </c>
      <c r="E15" s="12" t="n">
        <f aca="false">C15+D15</f>
        <v>-141239.615922167</v>
      </c>
      <c r="F15" s="13" t="n">
        <f aca="false">IFERROR(E15/$E$21,0)</f>
        <v>-0.00180222866654828</v>
      </c>
      <c r="H15" s="53" t="s">
        <v>185</v>
      </c>
    </row>
    <row r="16" customFormat="false" ht="15" hidden="false" customHeight="false" outlineLevel="0" collapsed="false">
      <c r="B16" s="10" t="s">
        <v>190</v>
      </c>
      <c r="C16" s="48" t="n">
        <f aca="false">SUM(C17:C18)</f>
        <v>701967.230417292</v>
      </c>
      <c r="D16" s="48" t="n">
        <f aca="false">SUM(D17:D18)</f>
        <v>1208251.67143046</v>
      </c>
      <c r="E16" s="48" t="n">
        <f aca="false">SUM(E17:E18)</f>
        <v>1910218.90184775</v>
      </c>
      <c r="F16" s="23" t="n">
        <f aca="false">IFERROR(E16/$E$21,0)</f>
        <v>0.0243745442227026</v>
      </c>
    </row>
    <row r="17" customFormat="false" ht="15" hidden="false" customHeight="false" outlineLevel="0" collapsed="false">
      <c r="B17" s="6" t="s">
        <v>191</v>
      </c>
      <c r="C17" s="12" t="n">
        <v>0</v>
      </c>
      <c r="D17" s="12" t="n">
        <f aca="false">LOANS!$C$106</f>
        <v>1208251.67143046</v>
      </c>
      <c r="E17" s="12" t="n">
        <f aca="false">C17+D17</f>
        <v>1208251.67143046</v>
      </c>
      <c r="F17" s="13" t="n">
        <f aca="false">IFERROR(E17/$E$21,0)</f>
        <v>0.015417386860191</v>
      </c>
      <c r="H17" s="53" t="s">
        <v>192</v>
      </c>
    </row>
    <row r="18" customFormat="false" ht="15" hidden="false" customHeight="false" outlineLevel="0" collapsed="false">
      <c r="B18" s="6" t="s">
        <v>193</v>
      </c>
      <c r="C18" s="12" t="n">
        <f aca="false">-Исх_данные!$E$50</f>
        <v>701967.230417292</v>
      </c>
      <c r="D18" s="12" t="n">
        <v>0</v>
      </c>
      <c r="E18" s="12" t="n">
        <f aca="false">C18+D18</f>
        <v>701967.230417292</v>
      </c>
      <c r="F18" s="13" t="n">
        <f aca="false">IFERROR(E18/$E$21,0)</f>
        <v>0.00895715736251157</v>
      </c>
      <c r="H18" s="53" t="s">
        <v>194</v>
      </c>
    </row>
    <row r="19" customFormat="false" ht="15" hidden="false" customHeight="false" outlineLevel="0" collapsed="false">
      <c r="B19" s="10" t="s">
        <v>195</v>
      </c>
      <c r="C19" s="54" t="n">
        <v>0</v>
      </c>
      <c r="D19" s="48" t="n">
        <f aca="false">ИНФОРМАЦИЯ!$C$26*ИНФОРМАЦИЯ!$C$36</f>
        <v>170242.89695302</v>
      </c>
      <c r="E19" s="48" t="n">
        <f aca="false">C19+D19</f>
        <v>170242.89695302</v>
      </c>
      <c r="F19" s="23" t="n">
        <f aca="false">IFERROR(E19/$E$21,0)</f>
        <v>0.00217231282570206</v>
      </c>
      <c r="H19" s="53" t="s">
        <v>196</v>
      </c>
    </row>
    <row r="21" customFormat="false" ht="15" hidden="false" customHeight="false" outlineLevel="0" collapsed="false">
      <c r="B21" s="14" t="s">
        <v>197</v>
      </c>
      <c r="C21" s="15" t="n">
        <f aca="false">C5+C10+C16+C19</f>
        <v>17998040.3793753</v>
      </c>
      <c r="D21" s="15" t="n">
        <f aca="false">D5+D10+D16+D19</f>
        <v>60371379.9632033</v>
      </c>
      <c r="E21" s="15" t="n">
        <f aca="false">E5+E10+E16+E19</f>
        <v>78369420.3425786</v>
      </c>
      <c r="F21" s="23" t="n">
        <f aca="false">IFERROR(E21/$E$21,0)</f>
        <v>1</v>
      </c>
    </row>
    <row r="23" customFormat="false" ht="23.85" hidden="false" customHeight="false" outlineLevel="0" collapsed="false">
      <c r="B23" s="19" t="s">
        <v>198</v>
      </c>
      <c r="E23" s="34" t="n">
        <v>54350094.6428571</v>
      </c>
      <c r="H23" s="53" t="s">
        <v>199</v>
      </c>
    </row>
    <row r="24" customFormat="false" ht="15" hidden="false" customHeight="false" outlineLevel="0" collapsed="false">
      <c r="B24" s="19" t="s">
        <v>200</v>
      </c>
      <c r="E24" s="35" t="n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5" min="3" style="0" width="16"/>
    <col collapsed="false" customWidth="true" hidden="false" outlineLevel="0" max="7" min="6" style="0" width="12"/>
  </cols>
  <sheetData>
    <row r="2" customFormat="false" ht="15" hidden="false" customHeight="false" outlineLevel="0" collapsed="false">
      <c r="B2" s="2" t="s">
        <v>201</v>
      </c>
      <c r="G2" s="51" t="s">
        <v>202</v>
      </c>
    </row>
    <row r="4" customFormat="false" ht="30" hidden="false" customHeight="true" outlineLevel="0" collapsed="false">
      <c r="B4" s="18" t="s">
        <v>42</v>
      </c>
      <c r="C4" s="18" t="s">
        <v>169</v>
      </c>
      <c r="D4" s="18" t="s">
        <v>203</v>
      </c>
      <c r="E4" s="18" t="s">
        <v>171</v>
      </c>
      <c r="F4" s="18" t="s">
        <v>172</v>
      </c>
      <c r="G4" s="18" t="s">
        <v>204</v>
      </c>
    </row>
    <row r="5" customFormat="false" ht="15" hidden="false" customHeight="false" outlineLevel="0" collapsed="false">
      <c r="B5" s="26" t="s">
        <v>205</v>
      </c>
    </row>
    <row r="6" customFormat="false" ht="15" hidden="false" customHeight="false" outlineLevel="0" collapsed="false">
      <c r="B6" s="55" t="s">
        <v>7</v>
      </c>
    </row>
    <row r="7" customFormat="false" ht="15" hidden="false" customHeight="false" outlineLevel="0" collapsed="false">
      <c r="B7" s="19" t="s">
        <v>34</v>
      </c>
      <c r="C7" s="12" t="n">
        <f aca="false">'Share of costs'!C6</f>
        <v>0</v>
      </c>
      <c r="D7" s="12" t="n">
        <f aca="false">'Share of costs'!D6</f>
        <v>30737048.0279123</v>
      </c>
      <c r="E7" s="12" t="n">
        <f aca="false">C7+D7</f>
        <v>30737048.0279123</v>
      </c>
      <c r="F7" s="13" t="n">
        <f aca="false">IFERROR(E7/$E$10,0)</f>
        <v>0.501051146253886</v>
      </c>
    </row>
    <row r="8" customFormat="false" ht="15" hidden="false" customHeight="false" outlineLevel="0" collapsed="false">
      <c r="B8" s="19" t="s">
        <v>35</v>
      </c>
      <c r="C8" s="12" t="n">
        <f aca="false">'Share of costs'!C11</f>
        <v>17296073.148958</v>
      </c>
      <c r="D8" s="12" t="n">
        <f aca="false">'Share of costs'!D11</f>
        <v>11231547.6716055</v>
      </c>
      <c r="E8" s="12" t="n">
        <f aca="false">C8+D8</f>
        <v>28527620.8205635</v>
      </c>
      <c r="F8" s="13" t="n">
        <f aca="false">IFERROR(E8/$E$10,0)</f>
        <v>0.465034804222558</v>
      </c>
    </row>
    <row r="9" customFormat="false" ht="23.85" hidden="false" customHeight="false" outlineLevel="0" collapsed="false">
      <c r="B9" s="19" t="s">
        <v>206</v>
      </c>
      <c r="C9" s="12" t="n">
        <f aca="false">'Share of costs'!C12+'Share of costs'!C15</f>
        <v>701967.230417292</v>
      </c>
      <c r="D9" s="12" t="n">
        <f aca="false">'Share of costs'!D12+'Share of costs'!D15</f>
        <v>1378494.56838348</v>
      </c>
      <c r="E9" s="12" t="n">
        <f aca="false">C9+D9</f>
        <v>2080461.79880077</v>
      </c>
      <c r="F9" s="13" t="n">
        <f aca="false">IFERROR(E9/$E$10,0)</f>
        <v>0.0339140495235563</v>
      </c>
    </row>
    <row r="10" customFormat="false" ht="15" hidden="false" customHeight="false" outlineLevel="0" collapsed="false">
      <c r="B10" s="10" t="s">
        <v>171</v>
      </c>
      <c r="C10" s="48" t="n">
        <f aca="false">SUM(C7:C9)</f>
        <v>17998040.3793753</v>
      </c>
      <c r="D10" s="48" t="n">
        <f aca="false">SUM(D7:D9)</f>
        <v>43347090.2679013</v>
      </c>
      <c r="E10" s="48" t="n">
        <f aca="false">SUM(E7:E9)</f>
        <v>61345130.6472766</v>
      </c>
      <c r="F10" s="49" t="n">
        <f aca="false">IFERROR(E10/$E$10,0)</f>
        <v>1</v>
      </c>
      <c r="G10" s="49" t="n">
        <f aca="false">IFERROR(E10/$E$15,0)</f>
        <v>0.782768717429794</v>
      </c>
    </row>
    <row r="11" customFormat="false" ht="15" hidden="false" customHeight="false" outlineLevel="0" collapsed="false">
      <c r="B11" s="26" t="s">
        <v>207</v>
      </c>
    </row>
    <row r="12" customFormat="false" ht="15" hidden="false" customHeight="false" outlineLevel="0" collapsed="false">
      <c r="B12" s="6" t="s">
        <v>208</v>
      </c>
      <c r="C12" s="12" t="n">
        <f aca="false">C13</f>
        <v>0</v>
      </c>
      <c r="D12" s="12" t="n">
        <f aca="false">D13</f>
        <v>17024289.695302</v>
      </c>
      <c r="E12" s="12" t="n">
        <f aca="false">C12+D12</f>
        <v>17024289.695302</v>
      </c>
      <c r="F12" s="13" t="n">
        <f aca="false">IFERROR(E12/$E$14,0)</f>
        <v>1</v>
      </c>
    </row>
    <row r="13" customFormat="false" ht="15" hidden="false" customHeight="false" outlineLevel="0" collapsed="false">
      <c r="B13" s="6" t="s">
        <v>209</v>
      </c>
      <c r="C13" s="12" t="n">
        <f aca="false">'Share of costs'!E6</f>
        <v>0</v>
      </c>
      <c r="D13" s="12" t="n">
        <f aca="false">'Share of costs'!F6</f>
        <v>17024289.695302</v>
      </c>
      <c r="E13" s="12" t="n">
        <f aca="false">C13+D13</f>
        <v>17024289.695302</v>
      </c>
      <c r="F13" s="13" t="n">
        <f aca="false">IFERROR(E13/$E$14,0)</f>
        <v>1</v>
      </c>
    </row>
    <row r="14" customFormat="false" ht="15" hidden="false" customHeight="false" outlineLevel="0" collapsed="false">
      <c r="B14" s="10" t="s">
        <v>171</v>
      </c>
      <c r="C14" s="48" t="n">
        <f aca="false">C12</f>
        <v>0</v>
      </c>
      <c r="D14" s="48" t="n">
        <f aca="false">D12</f>
        <v>17024289.695302</v>
      </c>
      <c r="E14" s="48" t="n">
        <f aca="false">E12</f>
        <v>17024289.695302</v>
      </c>
      <c r="F14" s="49" t="n">
        <f aca="false">IFERROR(E14/$E$14,0)</f>
        <v>1</v>
      </c>
      <c r="G14" s="49" t="n">
        <f aca="false">IFERROR(E14/$E$15,0)</f>
        <v>0.217231282570206</v>
      </c>
    </row>
    <row r="15" customFormat="false" ht="15" hidden="false" customHeight="false" outlineLevel="0" collapsed="false">
      <c r="B15" s="14" t="s">
        <v>210</v>
      </c>
      <c r="C15" s="15" t="n">
        <f aca="false">C14+C10</f>
        <v>17998040.3793753</v>
      </c>
      <c r="D15" s="15" t="n">
        <f aca="false">D14+D10</f>
        <v>60371379.9632033</v>
      </c>
      <c r="E15" s="15" t="n">
        <f aca="false">E14+E10</f>
        <v>78369420.3425786</v>
      </c>
      <c r="G15" s="16" t="n">
        <f aca="false">IFERROR(E15/$E$15,0)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9" min="3" style="0" width="15"/>
  </cols>
  <sheetData>
    <row r="2" customFormat="false" ht="15" hidden="false" customHeight="false" outlineLevel="0" collapsed="false">
      <c r="B2" s="2" t="s">
        <v>211</v>
      </c>
      <c r="H2" s="51" t="s">
        <v>212</v>
      </c>
    </row>
    <row r="4" customFormat="false" ht="15" hidden="false" customHeight="false" outlineLevel="0" collapsed="false">
      <c r="B4" s="17" t="s">
        <v>168</v>
      </c>
      <c r="C4" s="56" t="s">
        <v>39</v>
      </c>
      <c r="D4" s="56"/>
      <c r="E4" s="56" t="s">
        <v>40</v>
      </c>
      <c r="F4" s="56"/>
      <c r="G4" s="56" t="s">
        <v>213</v>
      </c>
      <c r="H4" s="56"/>
    </row>
    <row r="5" customFormat="false" ht="27.75" hidden="false" customHeight="true" outlineLevel="0" collapsed="false">
      <c r="B5" s="5"/>
      <c r="C5" s="18" t="s">
        <v>214</v>
      </c>
      <c r="D5" s="18" t="s">
        <v>215</v>
      </c>
      <c r="E5" s="18" t="s">
        <v>214</v>
      </c>
      <c r="F5" s="18" t="s">
        <v>215</v>
      </c>
      <c r="G5" s="18" t="s">
        <v>214</v>
      </c>
      <c r="H5" s="18" t="s">
        <v>215</v>
      </c>
    </row>
    <row r="6" customFormat="false" ht="15" hidden="false" customHeight="false" outlineLevel="0" collapsed="false">
      <c r="B6" s="10" t="s">
        <v>174</v>
      </c>
      <c r="C6" s="48" t="n">
        <f aca="false">SUM(C7:C10)</f>
        <v>0</v>
      </c>
      <c r="D6" s="48" t="n">
        <f aca="false">SUM(D7:D10)</f>
        <v>30737048.0279123</v>
      </c>
      <c r="E6" s="48" t="n">
        <f aca="false">SUM(E7:E10)</f>
        <v>0</v>
      </c>
      <c r="F6" s="48" t="n">
        <f aca="false">SUM(F7:F10)</f>
        <v>17024289.695302</v>
      </c>
      <c r="G6" s="48" t="n">
        <f aca="false">SUM(G7:G10)</f>
        <v>0</v>
      </c>
      <c r="H6" s="48" t="n">
        <f aca="false">SUM(H7:H10)</f>
        <v>47761337.7232143</v>
      </c>
    </row>
    <row r="7" customFormat="false" ht="15" hidden="false" customHeight="false" outlineLevel="0" collapsed="false">
      <c r="B7" s="6" t="s">
        <v>175</v>
      </c>
      <c r="C7" s="12" t="n">
        <f aca="false">ProjCost!$C$6</f>
        <v>0</v>
      </c>
      <c r="D7" s="12" t="n">
        <f aca="false">ProjCost!$D$6-F7</f>
        <v>18796221.8840305</v>
      </c>
      <c r="E7" s="12" t="n">
        <v>0</v>
      </c>
      <c r="F7" s="12" t="n">
        <f aca="false">ИНФОРМАЦИЯ!$C$26*(1-ИНФОРМАЦИЯ!$F$41/ИНФОРМАЦИЯ!$H$41)*ProjCost!$E$6/(ProjCost!$E$6)</f>
        <v>9598778.11596952</v>
      </c>
      <c r="G7" s="12" t="n">
        <f aca="false">C7+E7</f>
        <v>0</v>
      </c>
      <c r="H7" s="12" t="n">
        <f aca="false">D7+F7</f>
        <v>28395000</v>
      </c>
    </row>
    <row r="8" customFormat="false" ht="15" hidden="false" customHeight="false" outlineLevel="0" collapsed="false">
      <c r="B8" s="6" t="s">
        <v>177</v>
      </c>
      <c r="C8" s="12" t="n">
        <f aca="false">ProjCost!$C$7</f>
        <v>0</v>
      </c>
      <c r="D8" s="12" t="n">
        <f aca="false">ProjCost!$D$7-F8</f>
        <v>11770166.6138957</v>
      </c>
      <c r="E8" s="12" t="n">
        <v>0</v>
      </c>
      <c r="F8" s="12" t="n">
        <f aca="false">ИНФОРМАЦИЯ!$C$26*ИНФОРМАЦИЯ!$F$41/ИНФОРМАЦИЯ!$H$41*ProjCost!$E$7/(ProjCost!$E$7+ProjCost!$E$8+ProjCost!$E$9)</f>
        <v>7319385.39503283</v>
      </c>
      <c r="G8" s="12" t="n">
        <f aca="false">C8+E8</f>
        <v>0</v>
      </c>
      <c r="H8" s="12" t="n">
        <f aca="false">D8+F8</f>
        <v>19089552.0089286</v>
      </c>
    </row>
    <row r="9" customFormat="false" ht="15" hidden="false" customHeight="false" outlineLevel="0" collapsed="false">
      <c r="B9" s="6" t="s">
        <v>179</v>
      </c>
      <c r="C9" s="12" t="n">
        <f aca="false">ProjCost!$C$8</f>
        <v>0</v>
      </c>
      <c r="D9" s="12" t="n">
        <f aca="false">ProjCost!$D$8-F9</f>
        <v>137628.653214598</v>
      </c>
      <c r="E9" s="12" t="n">
        <v>0</v>
      </c>
      <c r="F9" s="12" t="n">
        <f aca="false">ИНФОРМАЦИЯ!$C$26*ИНФОРМАЦИЯ!$F$41/ИНФОРМАЦИЯ!$H$41*ProjCost!$E$8/(ProjCost!$E$7+ProjCost!$E$8+ProjCost!$E$9)</f>
        <v>85585.6324996873</v>
      </c>
      <c r="G9" s="12" t="n">
        <f aca="false">C9+E9</f>
        <v>0</v>
      </c>
      <c r="H9" s="12" t="n">
        <f aca="false">D9+F9</f>
        <v>223214.285714286</v>
      </c>
    </row>
    <row r="10" customFormat="false" ht="15" hidden="false" customHeight="false" outlineLevel="0" collapsed="false">
      <c r="B10" s="6" t="s">
        <v>181</v>
      </c>
      <c r="C10" s="12" t="n">
        <f aca="false">ProjCost!$C$9</f>
        <v>0</v>
      </c>
      <c r="D10" s="12" t="n">
        <f aca="false">ProjCost!$D$9-F10</f>
        <v>33030.8767715036</v>
      </c>
      <c r="E10" s="12" t="n">
        <v>0</v>
      </c>
      <c r="F10" s="12" t="n">
        <f aca="false">ИНФОРМАЦИЯ!$C$26*ИНФОРМАЦИЯ!$F$41/ИНФОРМАЦИЯ!$H$41*ProjCost!$E$9/(ProjCost!$E$7+ProjCost!$E$8+ProjCost!$E$9)</f>
        <v>20540.551799925</v>
      </c>
      <c r="G10" s="12" t="n">
        <f aca="false">C10+E10</f>
        <v>0</v>
      </c>
      <c r="H10" s="12" t="n">
        <f aca="false">D10+F10</f>
        <v>53571.4285714286</v>
      </c>
    </row>
    <row r="11" customFormat="false" ht="15" hidden="false" customHeight="false" outlineLevel="0" collapsed="false">
      <c r="B11" s="10" t="s">
        <v>216</v>
      </c>
      <c r="C11" s="48" t="n">
        <f aca="false">ProjCost!$C$10</f>
        <v>17296073.148958</v>
      </c>
      <c r="D11" s="48" t="n">
        <f aca="false">ProjCost!$D$10</f>
        <v>11231547.6716055</v>
      </c>
      <c r="E11" s="54" t="n">
        <v>0</v>
      </c>
      <c r="F11" s="54" t="n">
        <v>0</v>
      </c>
      <c r="G11" s="48" t="n">
        <f aca="false">C11+E11</f>
        <v>17296073.148958</v>
      </c>
      <c r="H11" s="48" t="n">
        <f aca="false">D11+F11</f>
        <v>11231547.6716055</v>
      </c>
    </row>
    <row r="12" customFormat="false" ht="15" hidden="false" customHeight="false" outlineLevel="0" collapsed="false">
      <c r="B12" s="10" t="s">
        <v>217</v>
      </c>
      <c r="C12" s="48" t="n">
        <f aca="false">ProjCost!$C$16</f>
        <v>701967.230417292</v>
      </c>
      <c r="D12" s="48" t="n">
        <f aca="false">ProjCost!$D$16</f>
        <v>1208251.67143046</v>
      </c>
      <c r="E12" s="54" t="n">
        <v>0</v>
      </c>
      <c r="F12" s="54" t="n">
        <v>0</v>
      </c>
      <c r="G12" s="48" t="n">
        <f aca="false">C12+E12</f>
        <v>701967.230417292</v>
      </c>
      <c r="H12" s="48" t="n">
        <f aca="false">D12+F12</f>
        <v>1208251.67143046</v>
      </c>
    </row>
    <row r="13" customFormat="false" ht="15" hidden="false" customHeight="false" outlineLevel="0" collapsed="false">
      <c r="B13" s="6" t="s">
        <v>218</v>
      </c>
      <c r="C13" s="12" t="n">
        <f aca="false">ProjCost!$C$17</f>
        <v>0</v>
      </c>
      <c r="D13" s="12" t="n">
        <f aca="false">ProjCost!$D$17</f>
        <v>1208251.67143046</v>
      </c>
      <c r="E13" s="12" t="n">
        <v>0</v>
      </c>
      <c r="F13" s="12" t="n">
        <v>0</v>
      </c>
      <c r="G13" s="12" t="n">
        <f aca="false">C13+E13</f>
        <v>0</v>
      </c>
      <c r="H13" s="12" t="n">
        <f aca="false">D13+F13</f>
        <v>1208251.67143046</v>
      </c>
    </row>
    <row r="14" customFormat="false" ht="15" hidden="false" customHeight="false" outlineLevel="0" collapsed="false">
      <c r="B14" s="6" t="s">
        <v>219</v>
      </c>
      <c r="C14" s="12" t="n">
        <f aca="false">ProjCost!$C$18</f>
        <v>701967.230417292</v>
      </c>
      <c r="D14" s="12" t="n">
        <f aca="false">ProjCost!$D$18</f>
        <v>0</v>
      </c>
      <c r="E14" s="12" t="n">
        <v>0</v>
      </c>
      <c r="F14" s="12" t="n">
        <v>0</v>
      </c>
      <c r="G14" s="12" t="n">
        <f aca="false">C14+E14</f>
        <v>701967.230417292</v>
      </c>
      <c r="H14" s="12" t="n">
        <f aca="false">D14+F14</f>
        <v>0</v>
      </c>
    </row>
    <row r="15" customFormat="false" ht="15" hidden="false" customHeight="false" outlineLevel="0" collapsed="false">
      <c r="B15" s="10" t="s">
        <v>220</v>
      </c>
      <c r="C15" s="48" t="n">
        <f aca="false">ProjCost!$C$19</f>
        <v>0</v>
      </c>
      <c r="D15" s="48" t="n">
        <f aca="false">ProjCost!$D$19</f>
        <v>170242.89695302</v>
      </c>
      <c r="E15" s="54" t="n">
        <v>0</v>
      </c>
      <c r="F15" s="54" t="n">
        <v>0</v>
      </c>
      <c r="G15" s="48" t="n">
        <f aca="false">C15+E15</f>
        <v>0</v>
      </c>
      <c r="H15" s="48" t="n">
        <f aca="false">D15+F15</f>
        <v>170242.89695302</v>
      </c>
    </row>
    <row r="17" customFormat="false" ht="15" hidden="false" customHeight="false" outlineLevel="0" collapsed="false">
      <c r="B17" s="14" t="s">
        <v>197</v>
      </c>
      <c r="C17" s="15" t="n">
        <f aca="false">C6+C11+C12+C15</f>
        <v>17998040.3793753</v>
      </c>
      <c r="D17" s="15" t="n">
        <f aca="false">D6+D11+D12+D15</f>
        <v>43347090.2679013</v>
      </c>
      <c r="E17" s="15" t="n">
        <f aca="false">E6+E11+E12+E15</f>
        <v>0</v>
      </c>
      <c r="F17" s="15" t="n">
        <f aca="false">F6+F11+F12+F15</f>
        <v>17024289.695302</v>
      </c>
      <c r="G17" s="15" t="n">
        <f aca="false">G6+G11+G12+G15</f>
        <v>17998040.3793753</v>
      </c>
      <c r="H17" s="15" t="n">
        <f aca="false">H6+H11+H12+H15</f>
        <v>60371379.9632033</v>
      </c>
    </row>
    <row r="18" customFormat="false" ht="15" hidden="false" customHeight="false" outlineLevel="0" collapsed="false">
      <c r="B18" s="26" t="s">
        <v>221</v>
      </c>
      <c r="C18" s="22" t="n">
        <f aca="false">C17+D17</f>
        <v>61345130.6472766</v>
      </c>
      <c r="E18" s="22" t="n">
        <f aca="false">E17+F17</f>
        <v>17024289.695302</v>
      </c>
      <c r="G18" s="22" t="n">
        <f aca="false">G17+H17</f>
        <v>78369420.3425786</v>
      </c>
    </row>
    <row r="20" customFormat="false" ht="42" hidden="false" customHeight="true" outlineLevel="0" collapsed="false">
      <c r="B20" s="57" t="s">
        <v>222</v>
      </c>
      <c r="C20" s="57"/>
      <c r="D20" s="57"/>
      <c r="E20" s="57"/>
      <c r="F20" s="57"/>
      <c r="G20" s="57"/>
      <c r="H20" s="57"/>
    </row>
  </sheetData>
  <mergeCells count="4">
    <mergeCell ref="C4:D4"/>
    <mergeCell ref="E4:F4"/>
    <mergeCell ref="G4:H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6" min="5" style="0" width="9"/>
    <col collapsed="false" customWidth="true" hidden="false" outlineLevel="0" max="14" min="7" style="0" width="14"/>
  </cols>
  <sheetData>
    <row r="2" customFormat="false" ht="15" hidden="false" customHeight="false" outlineLevel="0" collapsed="false">
      <c r="B2" s="2" t="s">
        <v>223</v>
      </c>
      <c r="N2" s="51" t="s">
        <v>224</v>
      </c>
    </row>
    <row r="3" customFormat="false" ht="15" hidden="false" customHeight="false" outlineLevel="0" collapsed="false">
      <c r="B3" s="52" t="s">
        <v>225</v>
      </c>
    </row>
    <row r="5" customFormat="false" ht="30" hidden="false" customHeight="true" outlineLevel="0" collapsed="false">
      <c r="B5" s="18" t="s">
        <v>226</v>
      </c>
      <c r="C5" s="18" t="s">
        <v>227</v>
      </c>
      <c r="D5" s="18" t="s">
        <v>228</v>
      </c>
      <c r="E5" s="18" t="s">
        <v>229</v>
      </c>
      <c r="F5" s="18" t="s">
        <v>230</v>
      </c>
      <c r="G5" s="17" t="s">
        <v>231</v>
      </c>
      <c r="H5" s="17" t="s">
        <v>45</v>
      </c>
      <c r="I5" s="17" t="s">
        <v>46</v>
      </c>
      <c r="J5" s="17" t="s">
        <v>47</v>
      </c>
      <c r="K5" s="17" t="s">
        <v>48</v>
      </c>
      <c r="L5" s="17" t="s">
        <v>49</v>
      </c>
      <c r="M5" s="17" t="s">
        <v>50</v>
      </c>
      <c r="N5" s="17" t="s">
        <v>51</v>
      </c>
    </row>
    <row r="6" customFormat="false" ht="15" hidden="false" customHeight="false" outlineLevel="0" collapsed="false">
      <c r="B6" s="5"/>
      <c r="C6" s="5"/>
      <c r="D6" s="5"/>
      <c r="E6" s="5"/>
      <c r="F6" s="5"/>
      <c r="G6" s="17" t="s">
        <v>52</v>
      </c>
      <c r="H6" s="17" t="s">
        <v>53</v>
      </c>
      <c r="I6" s="17" t="s">
        <v>54</v>
      </c>
      <c r="J6" s="17" t="s">
        <v>55</v>
      </c>
      <c r="K6" s="17" t="s">
        <v>56</v>
      </c>
      <c r="L6" s="17" t="s">
        <v>57</v>
      </c>
      <c r="M6" s="17" t="s">
        <v>58</v>
      </c>
      <c r="N6" s="4" t="s">
        <v>59</v>
      </c>
    </row>
    <row r="7" customFormat="false" ht="23.85" hidden="false" customHeight="false" outlineLevel="0" collapsed="false">
      <c r="B7" s="19" t="s">
        <v>232</v>
      </c>
      <c r="C7" s="19" t="s">
        <v>175</v>
      </c>
      <c r="D7" s="12" t="n">
        <f aca="false">Исх_данные!$E$95+Исх_данные!$F$95+Исх_данные!$G$95+Исх_данные!$H$95+Исх_данные!$I$95+Исх_данные!$J$95+Исх_данные!$K$95+Исх_данные!$L$95</f>
        <v>147321.428571429</v>
      </c>
      <c r="E7" s="31" t="n">
        <v>50</v>
      </c>
      <c r="F7" s="13" t="n">
        <f aca="false">1/E7</f>
        <v>0.02</v>
      </c>
      <c r="G7" s="12" t="n">
        <f aca="false">Исх_данные!$F$96</f>
        <v>736.607142857143</v>
      </c>
      <c r="H7" s="12" t="n">
        <f aca="false">Исх_данные!$G$96</f>
        <v>2946.42857142857</v>
      </c>
      <c r="I7" s="12" t="n">
        <f aca="false">Исх_данные!$H$96</f>
        <v>2946.42857142857</v>
      </c>
      <c r="J7" s="12" t="n">
        <f aca="false">Исх_данные!$I$96</f>
        <v>2946.42857142857</v>
      </c>
      <c r="K7" s="12" t="n">
        <f aca="false">Исх_данные!$J$96</f>
        <v>2946.42857142857</v>
      </c>
      <c r="L7" s="12" t="n">
        <f aca="false">Исх_данные!$K$96</f>
        <v>2946.42857142857</v>
      </c>
      <c r="M7" s="12" t="n">
        <f aca="false">Исх_данные!$L$96</f>
        <v>2946.42857142857</v>
      </c>
      <c r="N7" s="12" t="n">
        <f aca="false">SUM(G7:M7)</f>
        <v>18415.1785714286</v>
      </c>
    </row>
    <row r="8" customFormat="false" ht="23.85" hidden="false" customHeight="false" outlineLevel="0" collapsed="false">
      <c r="B8" s="19" t="s">
        <v>233</v>
      </c>
      <c r="C8" s="19" t="s">
        <v>175</v>
      </c>
      <c r="D8" s="12" t="n">
        <f aca="false">Исх_данные!$E$97+Исх_данные!$F$97+Исх_данные!$G$97+Исх_данные!$H$97+Исх_данные!$I$97+Исх_данные!$J$97+Исх_данные!$K$97+Исх_данные!$L$97</f>
        <v>321428.571428571</v>
      </c>
      <c r="E8" s="31" t="n">
        <v>50</v>
      </c>
      <c r="F8" s="13" t="n">
        <f aca="false">1/E8</f>
        <v>0.02</v>
      </c>
      <c r="G8" s="12" t="n">
        <f aca="false">Исх_данные!$F$98</f>
        <v>1607.14285714286</v>
      </c>
      <c r="H8" s="12" t="n">
        <f aca="false">Исх_данные!$G$98</f>
        <v>6428.57142857143</v>
      </c>
      <c r="I8" s="12" t="n">
        <f aca="false">Исх_данные!$H$98</f>
        <v>6428.57142857143</v>
      </c>
      <c r="J8" s="12" t="n">
        <f aca="false">Исх_данные!$I$98</f>
        <v>6428.57142857143</v>
      </c>
      <c r="K8" s="12" t="n">
        <f aca="false">Исх_данные!$J$98</f>
        <v>6428.57142857143</v>
      </c>
      <c r="L8" s="12" t="n">
        <f aca="false">Исх_данные!$K$98</f>
        <v>6428.57142857143</v>
      </c>
      <c r="M8" s="12" t="n">
        <f aca="false">Исх_данные!$L$98</f>
        <v>6428.57142857143</v>
      </c>
      <c r="N8" s="12" t="n">
        <f aca="false">SUM(G8:M8)</f>
        <v>40178.5714285714</v>
      </c>
    </row>
    <row r="9" customFormat="false" ht="23.85" hidden="false" customHeight="false" outlineLevel="0" collapsed="false">
      <c r="B9" s="19" t="s">
        <v>234</v>
      </c>
      <c r="C9" s="19" t="s">
        <v>175</v>
      </c>
      <c r="D9" s="12" t="n">
        <f aca="false">Исх_данные!$E$99+Исх_данные!$F$99+Исх_данные!$G$99+Исх_данные!$H$99+Исх_данные!$I$99+Исх_данные!$J$99+Исх_данные!$K$99+Исх_данные!$L$99</f>
        <v>2232142.85714286</v>
      </c>
      <c r="E9" s="31" t="n">
        <v>50</v>
      </c>
      <c r="F9" s="13" t="n">
        <f aca="false">1/E9</f>
        <v>0.02</v>
      </c>
      <c r="G9" s="12" t="n">
        <f aca="false">Исх_данные!$F$100</f>
        <v>11160.7142857143</v>
      </c>
      <c r="H9" s="12" t="n">
        <f aca="false">Исх_данные!$G$100</f>
        <v>44642.8571428571</v>
      </c>
      <c r="I9" s="12" t="n">
        <f aca="false">Исх_данные!$H$100</f>
        <v>44642.8571428571</v>
      </c>
      <c r="J9" s="12" t="n">
        <f aca="false">Исх_данные!$I$100</f>
        <v>44642.8571428571</v>
      </c>
      <c r="K9" s="12" t="n">
        <f aca="false">Исх_данные!$J$100</f>
        <v>44642.8571428571</v>
      </c>
      <c r="L9" s="12" t="n">
        <f aca="false">Исх_данные!$K$100</f>
        <v>44642.8571428571</v>
      </c>
      <c r="M9" s="12" t="n">
        <f aca="false">Исх_данные!$L$100</f>
        <v>44642.8571428571</v>
      </c>
      <c r="N9" s="12" t="n">
        <f aca="false">SUM(G9:M9)</f>
        <v>279017.857142857</v>
      </c>
    </row>
    <row r="10" customFormat="false" ht="15" hidden="false" customHeight="false" outlineLevel="0" collapsed="false">
      <c r="B10" s="19" t="s">
        <v>235</v>
      </c>
      <c r="C10" s="19" t="s">
        <v>177</v>
      </c>
      <c r="D10" s="12" t="n">
        <f aca="false">Исх_данные!$E$101+Исх_данные!$F$101+Исх_данные!$G$101+Исх_данные!$H$101+Исх_данные!$I$101+Исх_данные!$J$101+Исх_данные!$K$101+Исх_данные!$L$101</f>
        <v>18256160.7142857</v>
      </c>
      <c r="E10" s="31" t="n">
        <v>10</v>
      </c>
      <c r="F10" s="13" t="n">
        <f aca="false">1/E10</f>
        <v>0.1</v>
      </c>
      <c r="G10" s="12" t="n">
        <f aca="false">Исх_данные!$F$102</f>
        <v>456404.017857143</v>
      </c>
      <c r="H10" s="12" t="n">
        <f aca="false">Исх_данные!$G$102</f>
        <v>1825616.07142857</v>
      </c>
      <c r="I10" s="12" t="n">
        <f aca="false">Исх_данные!$H$102</f>
        <v>1825616.07142857</v>
      </c>
      <c r="J10" s="12" t="n">
        <f aca="false">Исх_данные!$I$102</f>
        <v>1825616.07142857</v>
      </c>
      <c r="K10" s="12" t="n">
        <f aca="false">Исх_данные!$J$102</f>
        <v>1825616.07142857</v>
      </c>
      <c r="L10" s="12" t="n">
        <f aca="false">Исх_данные!$K$102</f>
        <v>1825616.07142857</v>
      </c>
      <c r="M10" s="12" t="n">
        <f aca="false">Исх_данные!$L$102</f>
        <v>1825616.07142857</v>
      </c>
      <c r="N10" s="12" t="n">
        <f aca="false">SUM(G10:M10)</f>
        <v>11410100.4464286</v>
      </c>
    </row>
    <row r="11" customFormat="false" ht="23.85" hidden="false" customHeight="false" outlineLevel="0" collapsed="false">
      <c r="B11" s="19" t="s">
        <v>236</v>
      </c>
      <c r="C11" s="19" t="s">
        <v>175</v>
      </c>
      <c r="D11" s="12" t="n">
        <f aca="false">Исх_данные!$E$103+Исх_данные!$F$103+Исх_данные!$G$103+Исх_данные!$H$103+Исх_данные!$I$103+Исх_данные!$J$103+Исх_данные!$K$103+Исх_данные!$L$103</f>
        <v>22238750</v>
      </c>
      <c r="E11" s="31" t="n">
        <v>50</v>
      </c>
      <c r="F11" s="13" t="n">
        <f aca="false">1/E11</f>
        <v>0.02</v>
      </c>
      <c r="G11" s="12" t="n">
        <f aca="false">Исх_данные!$F$104</f>
        <v>111193.75</v>
      </c>
      <c r="H11" s="12" t="n">
        <f aca="false">Исх_данные!$G$104</f>
        <v>444775</v>
      </c>
      <c r="I11" s="12" t="n">
        <f aca="false">Исх_данные!$H$104</f>
        <v>444775</v>
      </c>
      <c r="J11" s="12" t="n">
        <f aca="false">Исх_данные!$I$104</f>
        <v>444775</v>
      </c>
      <c r="K11" s="12" t="n">
        <f aca="false">Исх_данные!$J$104</f>
        <v>444775</v>
      </c>
      <c r="L11" s="12" t="n">
        <f aca="false">Исх_данные!$K$104</f>
        <v>444775</v>
      </c>
      <c r="M11" s="12" t="n">
        <f aca="false">Исх_данные!$L$104</f>
        <v>444775</v>
      </c>
      <c r="N11" s="12" t="n">
        <f aca="false">SUM(G11:M11)</f>
        <v>2779843.75</v>
      </c>
    </row>
    <row r="12" customFormat="false" ht="23.85" hidden="false" customHeight="false" outlineLevel="0" collapsed="false">
      <c r="B12" s="19" t="s">
        <v>237</v>
      </c>
      <c r="C12" s="19" t="s">
        <v>175</v>
      </c>
      <c r="D12" s="12" t="n">
        <f aca="false">Исх_данные!$E$105+Исх_данные!$F$105+Исх_данные!$G$105+Исх_данные!$H$105+Исх_данные!$I$105+Исх_данные!$J$105+Исх_данные!$K$105+Исх_данные!$L$105</f>
        <v>178571.428571429</v>
      </c>
      <c r="E12" s="31" t="n">
        <v>50</v>
      </c>
      <c r="F12" s="13" t="n">
        <f aca="false">1/E12</f>
        <v>0.02</v>
      </c>
      <c r="G12" s="12" t="n">
        <f aca="false">Исх_данные!$F$106</f>
        <v>892.857142857143</v>
      </c>
      <c r="H12" s="12" t="n">
        <f aca="false">Исх_данные!$G$106</f>
        <v>3571.42857142857</v>
      </c>
      <c r="I12" s="12" t="n">
        <f aca="false">Исх_данные!$H$106</f>
        <v>3571.42857142857</v>
      </c>
      <c r="J12" s="12" t="n">
        <f aca="false">Исх_данные!$I$106</f>
        <v>3571.42857142857</v>
      </c>
      <c r="K12" s="12" t="n">
        <f aca="false">Исх_данные!$J$106</f>
        <v>3571.42857142857</v>
      </c>
      <c r="L12" s="12" t="n">
        <f aca="false">Исх_данные!$K$106</f>
        <v>3571.42857142857</v>
      </c>
      <c r="M12" s="12" t="n">
        <f aca="false">Исх_данные!$L$106</f>
        <v>3571.42857142857</v>
      </c>
      <c r="N12" s="12" t="n">
        <f aca="false">SUM(G12:M12)</f>
        <v>22321.4285714286</v>
      </c>
    </row>
    <row r="13" customFormat="false" ht="23.85" hidden="false" customHeight="false" outlineLevel="0" collapsed="false">
      <c r="B13" s="19" t="s">
        <v>238</v>
      </c>
      <c r="C13" s="19" t="s">
        <v>175</v>
      </c>
      <c r="D13" s="12" t="n">
        <f aca="false">Исх_данные!$E$107+Исх_данные!$F$107+Исх_данные!$G$107+Исх_данные!$H$107+Исх_данные!$I$107+Исх_данные!$J$107+Исх_данные!$K$107+Исх_данные!$L$107</f>
        <v>89285.7142857143</v>
      </c>
      <c r="E13" s="31" t="n">
        <v>50</v>
      </c>
      <c r="F13" s="13" t="n">
        <f aca="false">1/E13</f>
        <v>0.02</v>
      </c>
      <c r="G13" s="12" t="n">
        <f aca="false">Исх_данные!$F$108</f>
        <v>446.428571428571</v>
      </c>
      <c r="H13" s="12" t="n">
        <f aca="false">Исх_данные!$G$108</f>
        <v>1785.71428571429</v>
      </c>
      <c r="I13" s="12" t="n">
        <f aca="false">Исх_данные!$H$108</f>
        <v>1785.71428571429</v>
      </c>
      <c r="J13" s="12" t="n">
        <f aca="false">Исх_данные!$I$108</f>
        <v>1785.71428571429</v>
      </c>
      <c r="K13" s="12" t="n">
        <f aca="false">Исх_данные!$J$108</f>
        <v>1785.71428571429</v>
      </c>
      <c r="L13" s="12" t="n">
        <f aca="false">Исх_данные!$K$108</f>
        <v>1785.71428571429</v>
      </c>
      <c r="M13" s="12" t="n">
        <f aca="false">Исх_данные!$L$108</f>
        <v>1785.71428571429</v>
      </c>
      <c r="N13" s="12" t="n">
        <f aca="false">SUM(G13:M13)</f>
        <v>11160.7142857143</v>
      </c>
    </row>
    <row r="14" customFormat="false" ht="23.85" hidden="false" customHeight="false" outlineLevel="0" collapsed="false">
      <c r="B14" s="19" t="s">
        <v>239</v>
      </c>
      <c r="C14" s="19" t="s">
        <v>175</v>
      </c>
      <c r="D14" s="12" t="n">
        <f aca="false">Исх_данные!$E$109+Исх_данные!$F$109+Исх_данные!$G$109+Исх_данные!$H$109+Исх_данные!$I$109+Исх_данные!$J$109+Исх_данные!$K$109+Исх_данные!$L$109</f>
        <v>3125000</v>
      </c>
      <c r="E14" s="31" t="n">
        <v>50</v>
      </c>
      <c r="F14" s="13" t="n">
        <f aca="false">1/E14</f>
        <v>0.02</v>
      </c>
      <c r="G14" s="12" t="n">
        <f aca="false">Исх_данные!$F$110</f>
        <v>15625</v>
      </c>
      <c r="H14" s="12" t="n">
        <f aca="false">Исх_данные!$G$110</f>
        <v>62500</v>
      </c>
      <c r="I14" s="12" t="n">
        <f aca="false">Исх_данные!$H$110</f>
        <v>62500</v>
      </c>
      <c r="J14" s="12" t="n">
        <f aca="false">Исх_данные!$I$110</f>
        <v>62500</v>
      </c>
      <c r="K14" s="12" t="n">
        <f aca="false">Исх_данные!$J$110</f>
        <v>62500</v>
      </c>
      <c r="L14" s="12" t="n">
        <f aca="false">Исх_данные!$K$110</f>
        <v>62500</v>
      </c>
      <c r="M14" s="12" t="n">
        <f aca="false">Исх_данные!$L$110</f>
        <v>62500</v>
      </c>
      <c r="N14" s="12" t="n">
        <f aca="false">SUM(G14:M14)</f>
        <v>390625</v>
      </c>
    </row>
    <row r="15" customFormat="false" ht="15" hidden="false" customHeight="false" outlineLevel="0" collapsed="false">
      <c r="B15" s="19" t="s">
        <v>240</v>
      </c>
      <c r="C15" s="19" t="s">
        <v>179</v>
      </c>
      <c r="D15" s="12" t="n">
        <f aca="false">Исх_данные!$E$111+Исх_данные!$F$111+Исх_данные!$G$111+Исх_данные!$H$111+Исх_данные!$I$111+Исх_данные!$J$111+Исх_данные!$K$111+Исх_данные!$L$111</f>
        <v>223214.285714286</v>
      </c>
      <c r="E15" s="31" t="n">
        <v>10</v>
      </c>
      <c r="F15" s="13" t="n">
        <f aca="false">1/E15</f>
        <v>0.1</v>
      </c>
      <c r="G15" s="12" t="n">
        <f aca="false">Исх_данные!$F$112</f>
        <v>5580.35714285714</v>
      </c>
      <c r="H15" s="12" t="n">
        <f aca="false">Исх_данные!$G$112</f>
        <v>22321.4285714286</v>
      </c>
      <c r="I15" s="12" t="n">
        <f aca="false">Исх_данные!$H$112</f>
        <v>22321.4285714286</v>
      </c>
      <c r="J15" s="12" t="n">
        <f aca="false">Исх_данные!$I$112</f>
        <v>22321.4285714286</v>
      </c>
      <c r="K15" s="12" t="n">
        <f aca="false">Исх_данные!$J$112</f>
        <v>22321.4285714286</v>
      </c>
      <c r="L15" s="12" t="n">
        <f aca="false">Исх_данные!$K$112</f>
        <v>22321.4285714286</v>
      </c>
      <c r="M15" s="12" t="n">
        <f aca="false">Исх_данные!$L$112</f>
        <v>22321.4285714286</v>
      </c>
      <c r="N15" s="12" t="n">
        <f aca="false">SUM(G15:M15)</f>
        <v>139508.928571429</v>
      </c>
    </row>
    <row r="16" customFormat="false" ht="15" hidden="false" customHeight="false" outlineLevel="0" collapsed="false">
      <c r="B16" s="19" t="s">
        <v>241</v>
      </c>
      <c r="C16" s="19" t="s">
        <v>177</v>
      </c>
      <c r="D16" s="12" t="n">
        <f aca="false">Исх_данные!$E$113+Исх_данные!$F$113+Исх_данные!$G$113+Исх_данные!$H$113+Исх_данные!$I$113+Исх_данные!$J$113+Исх_данные!$K$113+Исх_данные!$L$113</f>
        <v>714285.714285714</v>
      </c>
      <c r="E16" s="31" t="n">
        <v>20</v>
      </c>
      <c r="F16" s="13" t="n">
        <f aca="false">1/E16</f>
        <v>0.05</v>
      </c>
      <c r="G16" s="12" t="n">
        <f aca="false">Исх_данные!$F$114</f>
        <v>8928.57142857143</v>
      </c>
      <c r="H16" s="12" t="n">
        <f aca="false">Исх_данные!$G$114</f>
        <v>35714.2857142857</v>
      </c>
      <c r="I16" s="12" t="n">
        <f aca="false">Исх_данные!$H$114</f>
        <v>35714.2857142857</v>
      </c>
      <c r="J16" s="12" t="n">
        <f aca="false">Исх_данные!$I$114</f>
        <v>35714.2857142857</v>
      </c>
      <c r="K16" s="12" t="n">
        <f aca="false">Исх_данные!$J$114</f>
        <v>35714.2857142857</v>
      </c>
      <c r="L16" s="12" t="n">
        <f aca="false">Исх_данные!$K$114</f>
        <v>35714.2857142857</v>
      </c>
      <c r="M16" s="12" t="n">
        <f aca="false">Исх_данные!$L$114</f>
        <v>35714.2857142857</v>
      </c>
      <c r="N16" s="12" t="n">
        <f aca="false">SUM(G16:M16)</f>
        <v>223214.285714286</v>
      </c>
    </row>
    <row r="17" customFormat="false" ht="23.85" hidden="false" customHeight="false" outlineLevel="0" collapsed="false">
      <c r="B17" s="19" t="s">
        <v>242</v>
      </c>
      <c r="C17" s="19" t="s">
        <v>181</v>
      </c>
      <c r="D17" s="12" t="n">
        <f aca="false">Исх_данные!$E$115+Исх_данные!$F$115+Исх_данные!$G$115+Исх_данные!$H$115+Исх_данные!$I$115+Исх_данные!$J$115+Исх_данные!$K$115+Исх_данные!$L$115</f>
        <v>53571.4285714286</v>
      </c>
      <c r="E17" s="31" t="n">
        <v>5</v>
      </c>
      <c r="F17" s="13" t="n">
        <f aca="false">1/E17</f>
        <v>0.2</v>
      </c>
      <c r="G17" s="12" t="n">
        <f aca="false">Исх_данные!$F$116</f>
        <v>2678.57142857143</v>
      </c>
      <c r="H17" s="12" t="n">
        <f aca="false">Исх_данные!$G$116</f>
        <v>10714.2857142857</v>
      </c>
      <c r="I17" s="12" t="n">
        <f aca="false">Исх_данные!$H$116</f>
        <v>10714.2857142857</v>
      </c>
      <c r="J17" s="12" t="n">
        <f aca="false">Исх_данные!$I$116</f>
        <v>10714.2857142857</v>
      </c>
      <c r="K17" s="12" t="n">
        <f aca="false">Исх_данные!$J$116</f>
        <v>10714.2857142857</v>
      </c>
      <c r="L17" s="12" t="n">
        <f aca="false">Исх_данные!$K$116</f>
        <v>8035.71428571429</v>
      </c>
      <c r="M17" s="12" t="n">
        <f aca="false">Исх_данные!$L$116</f>
        <v>0</v>
      </c>
      <c r="N17" s="12" t="n">
        <f aca="false">SUM(G17:M17)</f>
        <v>53571.4285714286</v>
      </c>
    </row>
    <row r="18" customFormat="false" ht="23.85" hidden="false" customHeight="false" outlineLevel="0" collapsed="false">
      <c r="B18" s="19" t="s">
        <v>243</v>
      </c>
      <c r="C18" s="19" t="s">
        <v>175</v>
      </c>
      <c r="D18" s="12" t="n">
        <f aca="false">Исх_данные!$E$117+Исх_данные!$F$117+Исх_данные!$G$117+Исх_данные!$H$117+Исх_данные!$I$117+Исх_данные!$J$117+Исх_данные!$K$117+Исх_данные!$L$117</f>
        <v>62500</v>
      </c>
      <c r="E18" s="31" t="n">
        <v>50</v>
      </c>
      <c r="F18" s="13" t="n">
        <f aca="false">1/E18</f>
        <v>0.02</v>
      </c>
      <c r="G18" s="12" t="n">
        <f aca="false">Исх_данные!$F$118</f>
        <v>312.5</v>
      </c>
      <c r="H18" s="12" t="n">
        <f aca="false">Исх_данные!$G$118</f>
        <v>1250</v>
      </c>
      <c r="I18" s="12" t="n">
        <f aca="false">Исх_данные!$H$118</f>
        <v>1250</v>
      </c>
      <c r="J18" s="12" t="n">
        <f aca="false">Исх_данные!$I$118</f>
        <v>1250</v>
      </c>
      <c r="K18" s="12" t="n">
        <f aca="false">Исх_данные!$J$118</f>
        <v>1250</v>
      </c>
      <c r="L18" s="12" t="n">
        <f aca="false">Исх_данные!$K$118</f>
        <v>1250</v>
      </c>
      <c r="M18" s="12" t="n">
        <f aca="false">Исх_данные!$L$118</f>
        <v>1250</v>
      </c>
      <c r="N18" s="12" t="n">
        <f aca="false">SUM(G18:M18)</f>
        <v>7812.5</v>
      </c>
    </row>
    <row r="19" customFormat="false" ht="23.85" hidden="false" customHeight="false" outlineLevel="0" collapsed="false">
      <c r="B19" s="19" t="s">
        <v>244</v>
      </c>
      <c r="C19" s="19" t="s">
        <v>177</v>
      </c>
      <c r="D19" s="12" t="n">
        <f aca="false">Исх_данные!$E$119+Исх_данные!$F$119+Исх_данные!$G$119+Исх_данные!$H$119+Исх_данные!$I$119+Исх_данные!$J$119+Исх_данные!$K$119+Исх_данные!$L$119</f>
        <v>2977639.50892857</v>
      </c>
      <c r="E19" s="31" t="n">
        <v>10</v>
      </c>
      <c r="F19" s="13" t="n">
        <f aca="false">1/E19</f>
        <v>0.1</v>
      </c>
      <c r="G19" s="12" t="n">
        <f aca="false">Исх_данные!$F$120</f>
        <v>1985.09300595238</v>
      </c>
      <c r="H19" s="12" t="n">
        <f aca="false">Исх_данные!$G$120</f>
        <v>59552.7901785714</v>
      </c>
      <c r="I19" s="12" t="n">
        <f aca="false">Исх_данные!$H$120</f>
        <v>107195.022321429</v>
      </c>
      <c r="J19" s="12" t="n">
        <f aca="false">Исх_данные!$I$120</f>
        <v>154837.254464286</v>
      </c>
      <c r="K19" s="12" t="n">
        <f aca="false">Исх_данные!$J$120</f>
        <v>202479.486607143</v>
      </c>
      <c r="L19" s="12" t="n">
        <f aca="false">Исх_данные!$K$120</f>
        <v>250121.71875</v>
      </c>
      <c r="M19" s="12" t="n">
        <f aca="false">Исх_данные!$L$120</f>
        <v>297763.950892857</v>
      </c>
      <c r="N19" s="12" t="n">
        <f aca="false">SUM(G19:M19)</f>
        <v>1073935.31622024</v>
      </c>
    </row>
    <row r="20" customFormat="false" ht="23.85" hidden="false" customHeight="false" outlineLevel="0" collapsed="false">
      <c r="B20" s="19" t="s">
        <v>245</v>
      </c>
      <c r="C20" s="6" t="s">
        <v>246</v>
      </c>
      <c r="D20" s="12" t="n">
        <f aca="false">LOANS!$C$106</f>
        <v>1208251.67143046</v>
      </c>
      <c r="E20" s="58" t="n">
        <f aca="false">Исх_данные!$E$7</f>
        <v>50</v>
      </c>
      <c r="F20" s="13" t="n">
        <f aca="false">1/E20</f>
        <v>0.02</v>
      </c>
      <c r="G20" s="12" t="n">
        <f aca="false">D20/E20*Исх_данные!$E$8/12</f>
        <v>6041.2583571523</v>
      </c>
      <c r="H20" s="12" t="n">
        <f aca="false">D20/E20</f>
        <v>24165.0334286092</v>
      </c>
      <c r="I20" s="12" t="n">
        <f aca="false">D20/E20</f>
        <v>24165.0334286092</v>
      </c>
      <c r="J20" s="12" t="n">
        <f aca="false">D20/E20</f>
        <v>24165.0334286092</v>
      </c>
      <c r="K20" s="12" t="n">
        <f aca="false">D20/E20</f>
        <v>24165.0334286092</v>
      </c>
      <c r="L20" s="12" t="n">
        <f aca="false">D20/E20</f>
        <v>24165.0334286092</v>
      </c>
      <c r="M20" s="12" t="n">
        <f aca="false">D20/E20</f>
        <v>24165.0334286092</v>
      </c>
      <c r="N20" s="12" t="n">
        <f aca="false">SUM(G20:M20)</f>
        <v>151031.458928807</v>
      </c>
    </row>
    <row r="21" customFormat="false" ht="15" hidden="false" customHeight="false" outlineLevel="0" collapsed="false">
      <c r="B21" s="10" t="s">
        <v>171</v>
      </c>
      <c r="C21" s="59" t="s">
        <v>247</v>
      </c>
      <c r="D21" s="48" t="n">
        <f aca="false">SUM(D7:D20)</f>
        <v>51828123.3232162</v>
      </c>
      <c r="E21" s="60"/>
      <c r="F21" s="60"/>
      <c r="G21" s="48" t="n">
        <f aca="false">SUM(G7:G20)</f>
        <v>623592.869220248</v>
      </c>
      <c r="H21" s="48" t="n">
        <f aca="false">SUM(H7:H20)</f>
        <v>2545983.89503575</v>
      </c>
      <c r="I21" s="48" t="n">
        <f aca="false">SUM(I7:I20)</f>
        <v>2593626.12717861</v>
      </c>
      <c r="J21" s="48" t="n">
        <f aca="false">SUM(J7:J20)</f>
        <v>2641268.35932147</v>
      </c>
      <c r="K21" s="48" t="n">
        <f aca="false">SUM(K7:K20)</f>
        <v>2688910.59146432</v>
      </c>
      <c r="L21" s="48" t="n">
        <f aca="false">SUM(L7:L20)</f>
        <v>2733874.25217861</v>
      </c>
      <c r="M21" s="48" t="n">
        <f aca="false">SUM(M7:M20)</f>
        <v>2773480.77003575</v>
      </c>
      <c r="N21" s="48" t="n">
        <f aca="false">SUM(N7:N20)</f>
        <v>16600736.8644348</v>
      </c>
    </row>
    <row r="22" customFormat="false" ht="15" hidden="false" customHeight="false" outlineLevel="0" collapsed="false">
      <c r="B22" s="6" t="s">
        <v>248</v>
      </c>
      <c r="G22" s="12" t="n">
        <f aca="false">G21-G23</f>
        <v>620914.297791676</v>
      </c>
      <c r="H22" s="12" t="n">
        <f aca="false">H21-H23</f>
        <v>2535269.60932147</v>
      </c>
      <c r="I22" s="12" t="n">
        <f aca="false">I21-I23</f>
        <v>2582911.84146432</v>
      </c>
      <c r="J22" s="12" t="n">
        <f aca="false">J21-J23</f>
        <v>2630554.07360718</v>
      </c>
      <c r="K22" s="12" t="n">
        <f aca="false">K21-K23</f>
        <v>2678196.30575004</v>
      </c>
      <c r="L22" s="12" t="n">
        <f aca="false">L21-L23</f>
        <v>2725838.5378929</v>
      </c>
      <c r="M22" s="12" t="n">
        <f aca="false">M21-M23</f>
        <v>2773480.77003575</v>
      </c>
      <c r="N22" s="12" t="n">
        <f aca="false">SUM(G22:M22)</f>
        <v>16547165.4358633</v>
      </c>
    </row>
    <row r="23" customFormat="false" ht="15" hidden="false" customHeight="false" outlineLevel="0" collapsed="false">
      <c r="B23" s="6" t="s">
        <v>249</v>
      </c>
      <c r="G23" s="12" t="n">
        <f aca="false">Исх_данные!$F$72</f>
        <v>2678.57142857143</v>
      </c>
      <c r="H23" s="12" t="n">
        <f aca="false">Исх_данные!$G$72</f>
        <v>10714.2857142857</v>
      </c>
      <c r="I23" s="12" t="n">
        <f aca="false">Исх_данные!$H$72</f>
        <v>10714.2857142857</v>
      </c>
      <c r="J23" s="12" t="n">
        <f aca="false">Исх_данные!$I$72</f>
        <v>10714.2857142857</v>
      </c>
      <c r="K23" s="12" t="n">
        <f aca="false">Исх_данные!$J$72</f>
        <v>10714.2857142857</v>
      </c>
      <c r="L23" s="12" t="n">
        <f aca="false">Исх_данные!$K$72</f>
        <v>8035.71428571429</v>
      </c>
      <c r="M23" s="12" t="n">
        <f aca="false">Исх_данные!$L$72</f>
        <v>0</v>
      </c>
      <c r="N23" s="12" t="n">
        <f aca="false">SUM(G23:M23)</f>
        <v>53571.4285714286</v>
      </c>
    </row>
    <row r="25" customFormat="false" ht="15" hidden="false" customHeight="false" outlineLevel="0" collapsed="false">
      <c r="B25" s="26" t="s">
        <v>250</v>
      </c>
      <c r="G25" s="12" t="n">
        <f aca="false">SUM($G$21:G21)</f>
        <v>623592.869220248</v>
      </c>
      <c r="H25" s="12" t="n">
        <f aca="false">SUM($G$21:H21)</f>
        <v>3169576.764256</v>
      </c>
      <c r="I25" s="12" t="n">
        <f aca="false">SUM($G$21:I21)</f>
        <v>5763202.89143461</v>
      </c>
      <c r="J25" s="12" t="n">
        <f aca="false">SUM($G$21:J21)</f>
        <v>8404471.25075607</v>
      </c>
      <c r="K25" s="12" t="n">
        <f aca="false">SUM($G$21:K21)</f>
        <v>11093381.8422204</v>
      </c>
      <c r="L25" s="12" t="n">
        <f aca="false">SUM($G$21:L21)</f>
        <v>13827256.094399</v>
      </c>
      <c r="M25" s="12" t="n">
        <f aca="false">SUM($G$21:M21)</f>
        <v>16600736.8644348</v>
      </c>
    </row>
    <row r="26" customFormat="false" ht="15" hidden="false" customHeight="false" outlineLevel="0" collapsed="false">
      <c r="B26" s="26" t="s">
        <v>251</v>
      </c>
      <c r="G26" s="12" t="n">
        <f aca="false">Исх_данные!$E$95+Исх_данные!$F$95+Исх_данные!$E$97+Исх_данные!$F$97+Исх_данные!$E$99+Исх_данные!$F$99+Исх_данные!$E$101+Исх_данные!$F$101+Исх_данные!$E$103+Исх_данные!$F$103+Исх_данные!$E$105+Исх_данные!$F$105+Исх_данные!$E$107+Исх_данные!$F$107+Исх_данные!$E$109+Исх_данные!$F$109+Исх_данные!$E$111+Исх_данные!$F$111+Исх_данные!$E$113+Исх_данные!$F$113+Исх_данные!$E$115+Исх_данные!$F$115+Исх_данные!$E$117+Исх_данные!$F$117+Исх_данные!$E$119+Исх_данные!$F$119+$D$20-G25</f>
        <v>48345996.5254245</v>
      </c>
      <c r="H26" s="12" t="n">
        <f aca="false">Исх_данные!$E$95+Исх_данные!$F$95+Исх_данные!$G$95+Исх_данные!$E$97+Исх_данные!$F$97+Исх_данные!$G$97+Исх_данные!$E$99+Исх_данные!$F$99+Исх_данные!$G$99+Исх_данные!$E$101+Исх_данные!$F$101+Исх_данные!$G$101+Исх_данные!$E$103+Исх_данные!$F$103+Исх_данные!$G$103+Исх_данные!$E$105+Исх_данные!$F$105+Исх_данные!$G$105+Исх_данные!$E$107+Исх_данные!$F$107+Исх_данные!$G$107+Исх_данные!$E$109+Исх_данные!$F$109+Исх_данные!$G$109+Исх_данные!$E$111+Исх_данные!$F$111+Исх_данные!$G$111+Исх_данные!$E$113+Исх_данные!$F$113+Исх_данные!$G$113+Исх_данные!$E$115+Исх_данные!$F$115+Исх_данные!$G$115+Исх_данные!$E$117+Исх_данные!$F$117+Исх_данные!$G$117+Исх_данные!$E$119+Исх_данные!$F$119+Исх_данные!$G$119+$D$20-H25</f>
        <v>46276434.9518173</v>
      </c>
      <c r="I26" s="12" t="n">
        <f aca="false">Исх_данные!$E$95+Исх_данные!$F$95+Исх_данные!$G$95+Исх_данные!$H$95+Исх_данные!$E$97+Исх_данные!$F$97+Исх_данные!$G$97+Исх_данные!$H$97+Исх_данные!$E$99+Исх_данные!$F$99+Исх_данные!$G$99+Исх_данные!$H$99+Исх_данные!$E$101+Исх_данные!$F$101+Исх_данные!$G$101+Исх_данные!$H$101+Исх_данные!$E$103+Исх_данные!$F$103+Исх_данные!$G$103+Исх_данные!$H$103+Исх_данные!$E$105+Исх_данные!$F$105+Исх_данные!$G$105+Исх_данные!$H$105+Исх_данные!$E$107+Исх_данные!$F$107+Исх_данные!$G$107+Исх_данные!$H$107+Исх_данные!$E$109+Исх_данные!$F$109+Исх_данные!$G$109+Исх_данные!$H$109+Исх_данные!$E$111+Исх_данные!$F$111+Исх_данные!$G$111+Исх_данные!$H$111+Исх_данные!$E$113+Исх_данные!$F$113+Исх_данные!$G$113+Исх_данные!$H$113+Исх_данные!$E$115+Исх_данные!$F$115+Исх_данные!$G$115+Исх_данные!$H$115+Исх_данные!$E$117+Исх_данные!$F$117+Исх_данные!$G$117+Исх_данные!$H$117+Исх_данные!$E$119+Исх_данные!$F$119+Исх_данные!$G$119+Исх_данные!$H$119+$D$20-I25</f>
        <v>44159231.1460673</v>
      </c>
      <c r="J26" s="12" t="n">
        <f aca="false">Исх_данные!$E$95+Исх_данные!$F$95+Исх_данные!$G$95+Исх_данные!$H$95+Исх_данные!$I$95+Исх_данные!$E$97+Исх_данные!$F$97+Исх_данные!$G$97+Исх_данные!$H$97+Исх_данные!$I$97+Исх_данные!$E$99+Исх_данные!$F$99+Исх_данные!$G$99+Исх_данные!$H$99+Исх_данные!$I$99+Исх_данные!$E$101+Исх_данные!$F$101+Исх_данные!$G$101+Исх_данные!$H$101+Исх_данные!$I$101+Исх_данные!$E$103+Исх_данные!$F$103+Исх_данные!$G$103+Исх_данные!$H$103+Исх_данные!$I$103+Исх_данные!$E$105+Исх_данные!$F$105+Исх_данные!$G$105+Исх_данные!$H$105+Исх_данные!$I$105+Исх_данные!$E$107+Исх_данные!$F$107+Исх_данные!$G$107+Исх_данные!$H$107+Исх_данные!$I$107+Исх_данные!$E$109+Исх_данные!$F$109+Исх_данные!$G$109+Исх_данные!$H$109+Исх_данные!$I$109+Исх_данные!$E$111+Исх_данные!$F$111+Исх_данные!$G$111+Исх_данные!$H$111+Исх_данные!$I$111+Исх_данные!$E$113+Исх_данные!$F$113+Исх_данные!$G$113+Исх_данные!$H$113+Исх_данные!$I$113+Исх_данные!$E$115+Исх_данные!$F$115+Исх_данные!$G$115+Исх_данные!$H$115+Исх_данные!$I$115+Исх_данные!$E$117+Исх_данные!$F$117+Исх_данные!$G$117+Исх_данные!$H$117+Исх_данные!$I$117+Исх_данные!$E$119+Исх_данные!$F$119+Исх_данные!$G$119+Исх_данные!$H$119+Исх_данные!$I$119+$D$20-J25</f>
        <v>41994385.1081744</v>
      </c>
      <c r="K26" s="12" t="n">
        <f aca="false">Исх_данные!$E$95+Исх_данные!$F$95+Исх_данные!$G$95+Исх_данные!$H$95+Исх_данные!$I$95+Исх_данные!$J$95+Исх_данные!$E$97+Исх_данные!$F$97+Исх_данные!$G$97+Исх_данные!$H$97+Исх_данные!$I$97+Исх_данные!$J$97+Исх_данные!$E$99+Исх_данные!$F$99+Исх_данные!$G$99+Исх_данные!$H$99+Исх_данные!$I$99+Исх_данные!$J$99+Исх_данные!$E$101+Исх_данные!$F$101+Исх_данные!$G$101+Исх_данные!$H$101+Исх_данные!$I$101+Исх_данные!$J$101+Исх_данные!$E$103+Исх_данные!$F$103+Исх_данные!$G$103+Исх_данные!$H$103+Исх_данные!$I$103+Исх_данные!$J$103+Исх_данные!$E$105+Исх_данные!$F$105+Исх_данные!$G$105+Исх_данные!$H$105+Исх_данные!$I$105+Исх_данные!$J$105+Исх_данные!$E$107+Исх_данные!$F$107+Исх_данные!$G$107+Исх_данные!$H$107+Исх_данные!$I$107+Исх_данные!$J$107+Исх_данные!$E$109+Исх_данные!$F$109+Исх_данные!$G$109+Исх_данные!$H$109+Исх_данные!$I$109+Исх_данные!$J$109+Исх_данные!$E$111+Исх_данные!$F$111+Исх_данные!$G$111+Исх_данные!$H$111+Исх_данные!$I$111+Исх_данные!$J$111+Исх_данные!$E$113+Исх_данные!$F$113+Исх_данные!$G$113+Исх_данные!$H$113+Исх_данные!$I$113+Исх_данные!$J$113+Исх_данные!$E$115+Исх_данные!$F$115+Исх_данные!$G$115+Исх_данные!$H$115+Исх_данные!$I$115+Исх_данные!$J$115+Исх_данные!$E$117+Исх_данные!$F$117+Исх_данные!$G$117+Исх_данные!$H$117+Исх_данные!$I$117+Исх_данные!$J$117+Исх_данные!$E$119+Исх_данные!$F$119+Исх_данные!$G$119+Исх_данные!$H$119+Исх_данные!$I$119+Исх_данные!$J$119+$D$20-K25</f>
        <v>39781896.8381386</v>
      </c>
      <c r="L26" s="12" t="n">
        <f aca="false">Исх_данные!$E$95+Исх_данные!$F$95+Исх_данные!$G$95+Исх_данные!$H$95+Исх_данные!$I$95+Исх_данные!$J$95+Исх_данные!$K$95+Исх_данные!$E$97+Исх_данные!$F$97+Исх_данные!$G$97+Исх_данные!$H$97+Исх_данные!$I$97+Исх_данные!$J$97+Исх_данные!$K$97+Исх_данные!$E$99+Исх_данные!$F$99+Исх_данные!$G$99+Исх_данные!$H$99+Исх_данные!$I$99+Исх_данные!$J$99+Исх_данные!$K$99+Исх_данные!$E$101+Исх_данные!$F$101+Исх_данные!$G$101+Исх_данные!$H$101+Исх_данные!$I$101+Исх_данные!$J$101+Исх_данные!$K$101+Исх_данные!$E$103+Исх_данные!$F$103+Исх_данные!$G$103+Исх_данные!$H$103+Исх_данные!$I$103+Исх_данные!$J$103+Исх_данные!$K$103+Исх_данные!$E$105+Исх_данные!$F$105+Исх_данные!$G$105+Исх_данные!$H$105+Исх_данные!$I$105+Исх_данные!$J$105+Исх_данные!$K$105+Исх_данные!$E$107+Исх_данные!$F$107+Исх_данные!$G$107+Исх_данные!$H$107+Исх_данные!$I$107+Исх_данные!$J$107+Исх_данные!$K$107+Исх_данные!$E$109+Исх_данные!$F$109+Исх_данные!$G$109+Исх_данные!$H$109+Исх_данные!$I$109+Исх_данные!$J$109+Исх_данные!$K$109+Исх_данные!$E$111+Исх_данные!$F$111+Исх_данные!$G$111+Исх_данные!$H$111+Исх_данные!$I$111+Исх_данные!$J$111+Исх_данные!$K$111+Исх_данные!$E$113+Исх_данные!$F$113+Исх_данные!$G$113+Исх_данные!$H$113+Исх_данные!$I$113+Исх_данные!$J$113+Исх_данные!$K$113+Исх_данные!$E$115+Исх_данные!$F$115+Исх_данные!$G$115+Исх_данные!$H$115+Исх_данные!$I$115+Исх_данные!$J$115+Исх_данные!$K$115+Исх_данные!$E$117+Исх_данные!$F$117+Исх_данные!$G$117+Исх_данные!$H$117+Исх_данные!$I$117+Исх_данные!$J$117+Исх_данные!$K$117+Исх_данные!$E$119+Исх_данные!$F$119+Исх_данные!$G$119+Исх_данные!$H$119+Исх_данные!$I$119+Исх_данные!$J$119+Исх_данные!$K$119+$D$20-L25</f>
        <v>37524444.9073886</v>
      </c>
      <c r="M26" s="12" t="n">
        <f aca="false">Исх_данные!$E$95+Исх_данные!$F$95+Исх_данные!$G$95+Исх_данные!$H$95+Исх_данные!$I$95+Исх_данные!$J$95+Исх_данные!$K$95+Исх_данные!$L$95+Исх_данные!$E$97+Исх_данные!$F$97+Исх_данные!$G$97+Исх_данные!$H$97+Исх_данные!$I$97+Исх_данные!$J$97+Исх_данные!$K$97+Исх_данные!$L$97+Исх_данные!$E$99+Исх_данные!$F$99+Исх_данные!$G$99+Исх_данные!$H$99+Исх_данные!$I$99+Исх_данные!$J$99+Исх_данные!$K$99+Исх_данные!$L$99+Исх_данные!$E$101+Исх_данные!$F$101+Исх_данные!$G$101+Исх_данные!$H$101+Исх_данные!$I$101+Исх_данные!$J$101+Исх_данные!$K$101+Исх_данные!$L$101+Исх_данные!$E$103+Исх_данные!$F$103+Исх_данные!$G$103+Исх_данные!$H$103+Исх_данные!$I$103+Исх_данные!$J$103+Исх_данные!$K$103+Исх_данные!$L$103+Исх_данные!$E$105+Исх_данные!$F$105+Исх_данные!$G$105+Исх_данные!$H$105+Исх_данные!$I$105+Исх_данные!$J$105+Исх_данные!$K$105+Исх_данные!$L$105+Исх_данные!$E$107+Исх_данные!$F$107+Исх_данные!$G$107+Исх_данные!$H$107+Исх_данные!$I$107+Исх_данные!$J$107+Исх_данные!$K$107+Исх_данные!$L$107+Исх_данные!$E$109+Исх_данные!$F$109+Исх_данные!$G$109+Исх_данные!$H$109+Исх_данные!$I$109+Исх_данные!$J$109+Исх_данные!$K$109+Исх_данные!$L$109+Исх_данные!$E$111+Исх_данные!$F$111+Исх_данные!$G$111+Исх_данные!$H$111+Исх_данные!$I$111+Исх_данные!$J$111+Исх_данные!$K$111+Исх_данные!$L$111+Исх_данные!$E$113+Исх_данные!$F$113+Исх_данные!$G$113+Исх_данные!$H$113+Исх_данные!$I$113+Исх_данные!$J$113+Исх_данные!$K$113+Исх_данные!$L$113+Исх_данные!$E$115+Исх_данные!$F$115+Исх_данные!$G$115+Исх_данные!$H$115+Исх_данные!$I$115+Исх_данные!$J$115+Исх_данные!$K$115+Исх_данные!$L$115+Исх_данные!$E$117+Исх_данные!$F$117+Исх_данные!$G$117+Исх_данные!$H$117+Исх_данные!$I$117+Исх_данные!$J$117+Исх_данные!$K$117+Исх_данные!$L$117+Исх_данные!$E$119+Исх_данные!$F$119+Исх_данные!$G$119+Исх_данные!$H$119+Исх_данные!$I$119+Исх_данные!$J$119+Исх_данные!$K$119+Исх_данные!$L$119+$D$20-M25</f>
        <v>35227386.4587814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11" min="4" style="0" width="14"/>
  </cols>
  <sheetData>
    <row r="2" customFormat="false" ht="15" hidden="false" customHeight="false" outlineLevel="0" collapsed="false">
      <c r="B2" s="2" t="s">
        <v>252</v>
      </c>
      <c r="K2" s="51" t="s">
        <v>253</v>
      </c>
    </row>
    <row r="4" customFormat="false" ht="42" hidden="false" customHeight="true" outlineLevel="0" collapsed="false">
      <c r="B4" s="18" t="s">
        <v>254</v>
      </c>
      <c r="C4" s="18" t="s">
        <v>43</v>
      </c>
      <c r="D4" s="18" t="s">
        <v>255</v>
      </c>
      <c r="E4" s="18" t="s">
        <v>14</v>
      </c>
      <c r="F4" s="18" t="s">
        <v>256</v>
      </c>
      <c r="G4" s="18" t="s">
        <v>257</v>
      </c>
      <c r="H4" s="18" t="s">
        <v>258</v>
      </c>
    </row>
    <row r="5" customFormat="false" ht="15" hidden="false" customHeight="false" outlineLevel="0" collapsed="false">
      <c r="B5" s="6" t="s">
        <v>11</v>
      </c>
      <c r="C5" s="20" t="s">
        <v>259</v>
      </c>
      <c r="D5" s="61" t="n">
        <f aca="false">Исх_данные!$E$28</f>
        <v>2656.5</v>
      </c>
      <c r="E5" s="20" t="s">
        <v>260</v>
      </c>
      <c r="F5" s="29" t="n">
        <f aca="false">Исх_данные!$H$34</f>
        <v>120019.047263666</v>
      </c>
      <c r="G5" s="12" t="n">
        <f aca="false">D5*F5</f>
        <v>318830599.055928</v>
      </c>
      <c r="H5" s="12" t="n">
        <v>0</v>
      </c>
    </row>
    <row r="6" customFormat="false" ht="15" hidden="false" customHeight="false" outlineLevel="0" collapsed="false">
      <c r="B6" s="10" t="s">
        <v>213</v>
      </c>
      <c r="C6" s="48"/>
      <c r="D6" s="48"/>
      <c r="E6" s="48"/>
      <c r="F6" s="48"/>
      <c r="G6" s="48" t="n">
        <f aca="false">SUM(G5:G5)</f>
        <v>318830599.055928</v>
      </c>
      <c r="H6" s="48" t="n">
        <f aca="false">SUM(H5:H5)</f>
        <v>0</v>
      </c>
    </row>
    <row r="8" customFormat="false" ht="30" hidden="false" customHeight="true" outlineLevel="0" collapsed="false">
      <c r="B8" s="17" t="s">
        <v>42</v>
      </c>
      <c r="C8" s="18" t="s">
        <v>43</v>
      </c>
      <c r="D8" s="18" t="s">
        <v>44</v>
      </c>
      <c r="E8" s="18" t="s">
        <v>45</v>
      </c>
      <c r="F8" s="18" t="s">
        <v>46</v>
      </c>
      <c r="G8" s="18" t="s">
        <v>47</v>
      </c>
      <c r="H8" s="18" t="s">
        <v>48</v>
      </c>
      <c r="I8" s="18" t="s">
        <v>49</v>
      </c>
      <c r="J8" s="18" t="s">
        <v>50</v>
      </c>
      <c r="K8" s="17" t="s">
        <v>51</v>
      </c>
    </row>
    <row r="9" customFormat="false" ht="15" hidden="false" customHeight="false" outlineLevel="0" collapsed="false">
      <c r="B9" s="5"/>
      <c r="C9" s="5"/>
      <c r="D9" s="17" t="s">
        <v>52</v>
      </c>
      <c r="E9" s="17" t="s">
        <v>53</v>
      </c>
      <c r="F9" s="17" t="s">
        <v>54</v>
      </c>
      <c r="G9" s="17" t="s">
        <v>55</v>
      </c>
      <c r="H9" s="17" t="s">
        <v>56</v>
      </c>
      <c r="I9" s="17" t="s">
        <v>57</v>
      </c>
      <c r="J9" s="17" t="s">
        <v>58</v>
      </c>
      <c r="K9" s="17" t="s">
        <v>59</v>
      </c>
    </row>
    <row r="10" customFormat="false" ht="15" hidden="false" customHeight="false" outlineLevel="0" collapsed="false">
      <c r="B10" s="10" t="s">
        <v>261</v>
      </c>
      <c r="C10" s="60"/>
      <c r="D10" s="60"/>
      <c r="E10" s="60"/>
      <c r="F10" s="60"/>
      <c r="G10" s="60"/>
      <c r="H10" s="60"/>
      <c r="I10" s="60"/>
      <c r="J10" s="60"/>
      <c r="K10" s="60"/>
    </row>
    <row r="11" customFormat="false" ht="15" hidden="false" customHeight="false" outlineLevel="0" collapsed="false">
      <c r="B11" s="19" t="s">
        <v>11</v>
      </c>
      <c r="C11" s="20" t="s">
        <v>262</v>
      </c>
      <c r="D11" s="13" t="n">
        <f aca="false">Исх_данные!$F$29</f>
        <v>0.101637492941841</v>
      </c>
      <c r="E11" s="13" t="n">
        <f aca="false">Исх_данные!$G$29</f>
        <v>0.829710144927536</v>
      </c>
      <c r="F11" s="13" t="n">
        <f aca="false">Исх_данные!$H$29</f>
        <v>1</v>
      </c>
      <c r="G11" s="13" t="n">
        <f aca="false">Исх_данные!$I$29</f>
        <v>1</v>
      </c>
      <c r="H11" s="13" t="n">
        <f aca="false">Исх_данные!$J$29</f>
        <v>1</v>
      </c>
      <c r="I11" s="13" t="n">
        <f aca="false">Исх_данные!$K$29</f>
        <v>1</v>
      </c>
      <c r="J11" s="13" t="n">
        <f aca="false">Исх_данные!$L$29</f>
        <v>1</v>
      </c>
      <c r="K11" s="13" t="n">
        <f aca="false">AVERAGE(D11:J11)</f>
        <v>0.847335376838483</v>
      </c>
    </row>
    <row r="12" customFormat="false" ht="15" hidden="false" customHeight="false" outlineLevel="0" collapsed="false">
      <c r="B12" s="10" t="s">
        <v>263</v>
      </c>
      <c r="C12" s="60"/>
      <c r="D12" s="60"/>
      <c r="E12" s="60"/>
      <c r="F12" s="60"/>
      <c r="G12" s="60"/>
      <c r="H12" s="60"/>
      <c r="I12" s="60"/>
      <c r="J12" s="60"/>
      <c r="K12" s="60"/>
    </row>
    <row r="13" customFormat="false" ht="15" hidden="false" customHeight="false" outlineLevel="0" collapsed="false">
      <c r="B13" s="19" t="s">
        <v>11</v>
      </c>
      <c r="C13" s="20" t="s">
        <v>259</v>
      </c>
      <c r="D13" s="61" t="n">
        <f aca="false">$D$5*D11</f>
        <v>270</v>
      </c>
      <c r="E13" s="61" t="n">
        <f aca="false">$D$5*E11</f>
        <v>2204.125</v>
      </c>
      <c r="F13" s="61" t="n">
        <f aca="false">$D$5*F11</f>
        <v>2656.5</v>
      </c>
      <c r="G13" s="61" t="n">
        <f aca="false">$D$5*G11</f>
        <v>2656.5</v>
      </c>
      <c r="H13" s="61" t="n">
        <f aca="false">$D$5*H11</f>
        <v>2656.5</v>
      </c>
      <c r="I13" s="61" t="n">
        <f aca="false">$D$5*I11</f>
        <v>2656.5</v>
      </c>
      <c r="J13" s="61" t="n">
        <f aca="false">$D$5*J11</f>
        <v>2656.5</v>
      </c>
      <c r="K13" s="61" t="n">
        <f aca="false">SUM(D13:J13)</f>
        <v>15756.625</v>
      </c>
    </row>
    <row r="14" customFormat="false" ht="15" hidden="false" customHeight="false" outlineLevel="0" collapsed="false">
      <c r="B14" s="10" t="s">
        <v>264</v>
      </c>
      <c r="C14" s="60"/>
      <c r="D14" s="60"/>
      <c r="E14" s="60"/>
      <c r="F14" s="60"/>
      <c r="G14" s="60"/>
      <c r="H14" s="60"/>
      <c r="I14" s="60"/>
      <c r="J14" s="60"/>
      <c r="K14" s="60"/>
    </row>
    <row r="15" customFormat="false" ht="15" hidden="false" customHeight="false" outlineLevel="0" collapsed="false">
      <c r="B15" s="19" t="s">
        <v>265</v>
      </c>
      <c r="C15" s="20" t="s">
        <v>259</v>
      </c>
      <c r="D15" s="61" t="n">
        <f aca="false">Исх_данные!$F$31</f>
        <v>250</v>
      </c>
      <c r="E15" s="61" t="n">
        <f aca="false">Исх_данные!$G$31</f>
        <v>2154.125</v>
      </c>
      <c r="F15" s="61" t="n">
        <f aca="false">Исх_данные!$H$31</f>
        <v>2623.29375</v>
      </c>
      <c r="G15" s="61" t="n">
        <f aca="false">Исх_данные!$I$31</f>
        <v>2656.5</v>
      </c>
      <c r="H15" s="61" t="n">
        <f aca="false">Исх_данные!$J$31</f>
        <v>2656.5</v>
      </c>
      <c r="I15" s="61" t="n">
        <f aca="false">Исх_данные!$K$31</f>
        <v>2656.5</v>
      </c>
      <c r="J15" s="61" t="n">
        <f aca="false">Исх_данные!$L$31</f>
        <v>2656.5</v>
      </c>
      <c r="K15" s="61" t="n">
        <f aca="false">SUM(D15:J15)</f>
        <v>15653.41875</v>
      </c>
    </row>
    <row r="16" customFormat="false" ht="15" hidden="false" customHeight="false" outlineLevel="0" collapsed="false">
      <c r="B16" s="19" t="s">
        <v>266</v>
      </c>
      <c r="C16" s="20" t="s">
        <v>259</v>
      </c>
      <c r="D16" s="61" t="n">
        <f aca="false">Исх_данные!$F$32</f>
        <v>0</v>
      </c>
      <c r="E16" s="61" t="n">
        <f aca="false">Исх_данные!$G$32</f>
        <v>0</v>
      </c>
      <c r="F16" s="61" t="n">
        <f aca="false">Исх_данные!$H$32</f>
        <v>0</v>
      </c>
      <c r="G16" s="61" t="n">
        <f aca="false">Исх_данные!$I$32</f>
        <v>0</v>
      </c>
      <c r="H16" s="61" t="n">
        <f aca="false">Исх_данные!$J$32</f>
        <v>0</v>
      </c>
      <c r="I16" s="61" t="n">
        <f aca="false">Исх_данные!$K$32</f>
        <v>0</v>
      </c>
      <c r="J16" s="61" t="n">
        <f aca="false">Исх_данные!$L$32</f>
        <v>0</v>
      </c>
      <c r="K16" s="61" t="n">
        <f aca="false">SUM(D16:J16)</f>
        <v>0</v>
      </c>
    </row>
    <row r="17" customFormat="false" ht="15" hidden="false" customHeight="false" outlineLevel="0" collapsed="false">
      <c r="B17" s="10" t="s">
        <v>267</v>
      </c>
      <c r="C17" s="60"/>
      <c r="D17" s="60"/>
      <c r="E17" s="60"/>
      <c r="F17" s="60"/>
      <c r="G17" s="60"/>
      <c r="H17" s="60"/>
      <c r="I17" s="60"/>
      <c r="J17" s="60"/>
      <c r="K17" s="60"/>
    </row>
    <row r="18" customFormat="false" ht="15" hidden="false" customHeight="false" outlineLevel="0" collapsed="false">
      <c r="B18" s="19" t="s">
        <v>11</v>
      </c>
      <c r="C18" s="20" t="s">
        <v>259</v>
      </c>
      <c r="D18" s="61" t="n">
        <f aca="false">0+D13-D15-D16</f>
        <v>20.0000000000001</v>
      </c>
      <c r="E18" s="61" t="n">
        <f aca="false">D18+E13-E15-E16</f>
        <v>70</v>
      </c>
      <c r="F18" s="61" t="n">
        <f aca="false">E18+F13-F15-F16</f>
        <v>103.20625</v>
      </c>
      <c r="G18" s="61" t="n">
        <f aca="false">F18+G13-G15-G16</f>
        <v>103.20625</v>
      </c>
      <c r="H18" s="61" t="n">
        <f aca="false">G18+H13-H15-H16</f>
        <v>103.20625</v>
      </c>
      <c r="I18" s="61" t="n">
        <f aca="false">H18+I13-I15-I16</f>
        <v>103.20625</v>
      </c>
      <c r="J18" s="61" t="n">
        <f aca="false">I18+J13-J15-J16</f>
        <v>103.20625</v>
      </c>
      <c r="K18" s="61" t="n">
        <f aca="false">J18</f>
        <v>103.20625</v>
      </c>
    </row>
    <row r="19" customFormat="false" ht="15" hidden="false" customHeight="false" outlineLevel="0" collapsed="false">
      <c r="B19" s="10" t="s">
        <v>268</v>
      </c>
      <c r="C19" s="60"/>
      <c r="D19" s="60"/>
      <c r="E19" s="60"/>
      <c r="F19" s="60"/>
      <c r="G19" s="60"/>
      <c r="H19" s="60"/>
      <c r="I19" s="60"/>
      <c r="J19" s="60"/>
      <c r="K19" s="60"/>
    </row>
    <row r="20" customFormat="false" ht="15" hidden="false" customHeight="false" outlineLevel="0" collapsed="false">
      <c r="B20" s="19" t="s">
        <v>11</v>
      </c>
      <c r="C20" s="20" t="s">
        <v>269</v>
      </c>
      <c r="D20" s="29" t="n">
        <f aca="false">Исх_данные!$F$34</f>
        <v>115874.388019968</v>
      </c>
      <c r="E20" s="29" t="n">
        <f aca="false">Исх_данные!$G$34</f>
        <v>117435.466989888</v>
      </c>
      <c r="F20" s="29" t="n">
        <f aca="false">Исх_данные!$H$34</f>
        <v>120019.047263666</v>
      </c>
      <c r="G20" s="29" t="n">
        <f aca="false">Исх_данные!$I$34</f>
        <v>122659.466303466</v>
      </c>
      <c r="H20" s="29" t="n">
        <f aca="false">Исх_данные!$J$34</f>
        <v>125357.974562143</v>
      </c>
      <c r="I20" s="29" t="n">
        <f aca="false">Исх_данные!$K$34</f>
        <v>128115.85000251</v>
      </c>
      <c r="J20" s="29" t="n">
        <f aca="false">Исх_данные!$L$34</f>
        <v>130934.398702565</v>
      </c>
      <c r="K20" s="29" t="n">
        <f aca="false">AVERAGE(D20:J20)</f>
        <v>122913.798834887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270</v>
      </c>
      <c r="K2" s="51" t="s">
        <v>271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0" t="s">
        <v>272</v>
      </c>
      <c r="C6" s="60"/>
      <c r="D6" s="60"/>
      <c r="E6" s="60"/>
      <c r="F6" s="60"/>
      <c r="G6" s="60"/>
      <c r="H6" s="60"/>
      <c r="I6" s="60"/>
      <c r="J6" s="60"/>
      <c r="K6" s="60"/>
    </row>
    <row r="7" customFormat="false" ht="15" hidden="false" customHeight="false" outlineLevel="0" collapsed="false">
      <c r="B7" s="19" t="s">
        <v>273</v>
      </c>
      <c r="C7" s="20" t="s">
        <v>32</v>
      </c>
      <c r="D7" s="12" t="n">
        <f aca="false">ProdPlan!D15*ProdPlan!D20</f>
        <v>28968597.004992</v>
      </c>
      <c r="E7" s="12" t="n">
        <f aca="false">ProdPlan!E15*ProdPlan!E20</f>
        <v>252970675.329593</v>
      </c>
      <c r="F7" s="12" t="n">
        <f aca="false">ProdPlan!F15*ProdPlan!F20</f>
        <v>314845216.567729</v>
      </c>
      <c r="G7" s="12" t="n">
        <f aca="false">ProdPlan!G15*ProdPlan!G20</f>
        <v>325844872.235159</v>
      </c>
      <c r="H7" s="12" t="n">
        <f aca="false">ProdPlan!H15*ProdPlan!H20</f>
        <v>333013459.424332</v>
      </c>
      <c r="I7" s="12" t="n">
        <f aca="false">ProdPlan!I15*ProdPlan!I20</f>
        <v>340339755.531667</v>
      </c>
      <c r="J7" s="12" t="n">
        <f aca="false">ProdPlan!J15*ProdPlan!J20</f>
        <v>347827230.153364</v>
      </c>
      <c r="K7" s="12" t="n">
        <f aca="false">SUM(D7:J7)</f>
        <v>1943809806.24684</v>
      </c>
    </row>
    <row r="8" customFormat="false" ht="15" hidden="false" customHeight="false" outlineLevel="0" collapsed="false">
      <c r="B8" s="62" t="s">
        <v>213</v>
      </c>
      <c r="C8" s="20" t="s">
        <v>32</v>
      </c>
      <c r="D8" s="22" t="n">
        <f aca="false">SUM(D7:D7)</f>
        <v>28968597.004992</v>
      </c>
      <c r="E8" s="22" t="n">
        <f aca="false">SUM(E7:E7)</f>
        <v>252970675.329593</v>
      </c>
      <c r="F8" s="22" t="n">
        <f aca="false">SUM(F7:F7)</f>
        <v>314845216.567729</v>
      </c>
      <c r="G8" s="22" t="n">
        <f aca="false">SUM(G7:G7)</f>
        <v>325844872.235159</v>
      </c>
      <c r="H8" s="22" t="n">
        <f aca="false">SUM(H7:H7)</f>
        <v>333013459.424332</v>
      </c>
      <c r="I8" s="22" t="n">
        <f aca="false">SUM(I7:I7)</f>
        <v>340339755.531667</v>
      </c>
      <c r="J8" s="22" t="n">
        <f aca="false">SUM(J7:J7)</f>
        <v>347827230.153364</v>
      </c>
      <c r="K8" s="22" t="n">
        <f aca="false">SUM(D8:J8)</f>
        <v>1943809806.24684</v>
      </c>
    </row>
    <row r="10" customFormat="false" ht="15" hidden="false" customHeight="false" outlineLevel="0" collapsed="false">
      <c r="B10" s="10" t="s">
        <v>274</v>
      </c>
      <c r="C10" s="60"/>
      <c r="D10" s="60"/>
      <c r="E10" s="60"/>
      <c r="F10" s="60"/>
      <c r="G10" s="60"/>
      <c r="H10" s="60"/>
      <c r="I10" s="60"/>
      <c r="J10" s="60"/>
      <c r="K10" s="60"/>
    </row>
    <row r="11" customFormat="false" ht="15" hidden="false" customHeight="false" outlineLevel="0" collapsed="false">
      <c r="B11" s="19" t="s">
        <v>273</v>
      </c>
      <c r="C11" s="20" t="s">
        <v>32</v>
      </c>
      <c r="D11" s="12" t="n">
        <f aca="false">ProdPlan!D16*ProdPlan!D20</f>
        <v>0</v>
      </c>
      <c r="E11" s="12" t="n">
        <f aca="false">ProdPlan!E16*ProdPlan!E20</f>
        <v>0</v>
      </c>
      <c r="F11" s="12" t="n">
        <f aca="false">ProdPlan!F16*ProdPlan!F20</f>
        <v>0</v>
      </c>
      <c r="G11" s="12" t="n">
        <f aca="false">ProdPlan!G16*ProdPlan!G20</f>
        <v>0</v>
      </c>
      <c r="H11" s="12" t="n">
        <f aca="false">ProdPlan!H16*ProdPlan!H20</f>
        <v>0</v>
      </c>
      <c r="I11" s="12" t="n">
        <f aca="false">ProdPlan!I16*ProdPlan!I20</f>
        <v>0</v>
      </c>
      <c r="J11" s="12" t="n">
        <f aca="false">ProdPlan!J16*ProdPlan!J20</f>
        <v>0</v>
      </c>
      <c r="K11" s="12" t="n">
        <f aca="false">SUM(D11:J11)</f>
        <v>0</v>
      </c>
    </row>
    <row r="12" customFormat="false" ht="15" hidden="false" customHeight="false" outlineLevel="0" collapsed="false">
      <c r="B12" s="62" t="s">
        <v>213</v>
      </c>
      <c r="C12" s="20" t="s">
        <v>32</v>
      </c>
      <c r="D12" s="22" t="n">
        <f aca="false">SUM(D11:D11)</f>
        <v>0</v>
      </c>
      <c r="E12" s="22" t="n">
        <f aca="false">SUM(E11:E11)</f>
        <v>0</v>
      </c>
      <c r="F12" s="22" t="n">
        <f aca="false">SUM(F11:F11)</f>
        <v>0</v>
      </c>
      <c r="G12" s="22" t="n">
        <f aca="false">SUM(G11:G11)</f>
        <v>0</v>
      </c>
      <c r="H12" s="22" t="n">
        <f aca="false">SUM(H11:H11)</f>
        <v>0</v>
      </c>
      <c r="I12" s="22" t="n">
        <f aca="false">SUM(I11:I11)</f>
        <v>0</v>
      </c>
      <c r="J12" s="22" t="n">
        <f aca="false">SUM(J11:J11)</f>
        <v>0</v>
      </c>
      <c r="K12" s="22" t="n">
        <f aca="false">SUM(D12:J12)</f>
        <v>0</v>
      </c>
    </row>
    <row r="14" customFormat="false" ht="15" hidden="false" customHeight="false" outlineLevel="0" collapsed="false">
      <c r="B14" s="38" t="s">
        <v>275</v>
      </c>
      <c r="C14" s="63" t="s">
        <v>32</v>
      </c>
      <c r="D14" s="15" t="n">
        <f aca="false">D8+D12</f>
        <v>28968597.004992</v>
      </c>
      <c r="E14" s="15" t="n">
        <f aca="false">E8+E12</f>
        <v>252970675.329593</v>
      </c>
      <c r="F14" s="15" t="n">
        <f aca="false">F8+F12</f>
        <v>314845216.567729</v>
      </c>
      <c r="G14" s="15" t="n">
        <f aca="false">G8+G12</f>
        <v>325844872.235159</v>
      </c>
      <c r="H14" s="15" t="n">
        <f aca="false">H8+H12</f>
        <v>333013459.424332</v>
      </c>
      <c r="I14" s="15" t="n">
        <f aca="false">I8+I12</f>
        <v>340339755.531667</v>
      </c>
      <c r="J14" s="15" t="n">
        <f aca="false">J8+J12</f>
        <v>347827230.153364</v>
      </c>
      <c r="K14" s="15" t="n">
        <f aca="false">SUM(D14:J14)</f>
        <v>1943809806.24684</v>
      </c>
    </row>
    <row r="15" customFormat="false" ht="15" hidden="false" customHeight="false" outlineLevel="0" collapsed="false">
      <c r="B15" s="19" t="s">
        <v>276</v>
      </c>
      <c r="C15" s="20" t="s">
        <v>262</v>
      </c>
      <c r="D15" s="13" t="n">
        <f aca="false">IFERROR(D8/D14,0)</f>
        <v>1</v>
      </c>
      <c r="E15" s="13" t="n">
        <f aca="false">IFERROR(E8/E14,0)</f>
        <v>1</v>
      </c>
      <c r="F15" s="13" t="n">
        <f aca="false">IFERROR(F8/F14,0)</f>
        <v>1</v>
      </c>
      <c r="G15" s="13" t="n">
        <f aca="false">IFERROR(G8/G14,0)</f>
        <v>1</v>
      </c>
      <c r="H15" s="13" t="n">
        <f aca="false">IFERROR(H8/H14,0)</f>
        <v>1</v>
      </c>
      <c r="I15" s="13" t="n">
        <f aca="false">IFERROR(I8/I14,0)</f>
        <v>1</v>
      </c>
      <c r="J15" s="13" t="n">
        <f aca="false">IFERROR(J8/J14,0)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42"/>
  </cols>
  <sheetData>
    <row r="2" customFormat="false" ht="15" hidden="false" customHeight="false" outlineLevel="0" collapsed="false">
      <c r="B2" s="2" t="s">
        <v>277</v>
      </c>
      <c r="G2" s="51" t="s">
        <v>278</v>
      </c>
    </row>
    <row r="3" customFormat="false" ht="15" hidden="false" customHeight="false" outlineLevel="0" collapsed="false">
      <c r="B3" s="52" t="s">
        <v>279</v>
      </c>
    </row>
    <row r="5" customFormat="false" ht="30" hidden="false" customHeight="true" outlineLevel="0" collapsed="false">
      <c r="B5" s="18" t="s">
        <v>280</v>
      </c>
      <c r="C5" s="18" t="s">
        <v>43</v>
      </c>
      <c r="D5" s="18" t="s">
        <v>281</v>
      </c>
      <c r="E5" s="18" t="s">
        <v>282</v>
      </c>
      <c r="F5" s="18" t="s">
        <v>283</v>
      </c>
      <c r="G5" s="18" t="s">
        <v>284</v>
      </c>
      <c r="H5" s="18" t="s">
        <v>285</v>
      </c>
    </row>
    <row r="6" customFormat="false" ht="15" hidden="false" customHeight="false" outlineLevel="0" collapsed="false">
      <c r="B6" s="10" t="s">
        <v>286</v>
      </c>
      <c r="C6" s="60"/>
      <c r="D6" s="60"/>
      <c r="E6" s="60"/>
      <c r="F6" s="60"/>
      <c r="G6" s="60"/>
      <c r="H6" s="60"/>
    </row>
    <row r="7" customFormat="false" ht="15" hidden="false" customHeight="false" outlineLevel="0" collapsed="false">
      <c r="B7" s="19" t="s">
        <v>287</v>
      </c>
      <c r="C7" s="20" t="s">
        <v>259</v>
      </c>
      <c r="D7" s="29" t="n">
        <f aca="false">IFERROR(F7/E7,0)</f>
        <v>51900.1285464501</v>
      </c>
      <c r="E7" s="61" t="n">
        <f aca="false">Исх_данные!$H$122</f>
        <v>5000</v>
      </c>
      <c r="F7" s="12" t="n">
        <f aca="false">Исх_данные!$H$123</f>
        <v>259500642.73225</v>
      </c>
      <c r="G7" s="13" t="n">
        <f aca="false">IFERROR(F7/$F$24,0)</f>
        <v>0.978119226650116</v>
      </c>
      <c r="H7" s="53" t="s">
        <v>288</v>
      </c>
    </row>
    <row r="8" customFormat="false" ht="15" hidden="false" customHeight="false" outlineLevel="0" collapsed="false">
      <c r="B8" s="26" t="s">
        <v>289</v>
      </c>
      <c r="F8" s="22" t="n">
        <f aca="false">SUM(F7:F7)</f>
        <v>259500642.73225</v>
      </c>
      <c r="G8" s="13" t="n">
        <f aca="false">IFERROR(F8/$F$24,0)</f>
        <v>0.978119226650116</v>
      </c>
    </row>
    <row r="10" customFormat="false" ht="15" hidden="false" customHeight="false" outlineLevel="0" collapsed="false">
      <c r="B10" s="10" t="s">
        <v>290</v>
      </c>
      <c r="C10" s="60"/>
      <c r="D10" s="60"/>
      <c r="E10" s="60"/>
      <c r="F10" s="60"/>
      <c r="G10" s="60"/>
      <c r="H10" s="60"/>
    </row>
    <row r="11" customFormat="false" ht="15" hidden="false" customHeight="false" outlineLevel="0" collapsed="false">
      <c r="B11" s="19" t="s">
        <v>291</v>
      </c>
      <c r="C11" s="20" t="s">
        <v>259</v>
      </c>
      <c r="D11" s="29" t="n">
        <f aca="false">IFERROR(F11/E11,0)</f>
        <v>211.573495816644</v>
      </c>
      <c r="E11" s="61" t="n">
        <f aca="false">Исх_данные!$H$124</f>
        <v>449.61</v>
      </c>
      <c r="F11" s="12" t="n">
        <f aca="false">Исх_данные!$H$125</f>
        <v>95125.5594541212</v>
      </c>
      <c r="G11" s="13" t="n">
        <f aca="false">IFERROR(F11/$F$24,0)</f>
        <v>0.000358550705956927</v>
      </c>
      <c r="H11" s="53" t="s">
        <v>292</v>
      </c>
    </row>
    <row r="12" customFormat="false" ht="15" hidden="false" customHeight="false" outlineLevel="0" collapsed="false">
      <c r="B12" s="19" t="s">
        <v>293</v>
      </c>
      <c r="C12" s="20" t="s">
        <v>259</v>
      </c>
      <c r="D12" s="29" t="n">
        <f aca="false">IFERROR(F12/E12,0)</f>
        <v>65.6444551752533</v>
      </c>
      <c r="E12" s="61" t="n">
        <f aca="false">Исх_данные!$H$126</f>
        <v>9800</v>
      </c>
      <c r="F12" s="12" t="n">
        <f aca="false">Исх_данные!$H$127</f>
        <v>643315.660717482</v>
      </c>
      <c r="G12" s="13" t="n">
        <f aca="false">IFERROR(F12/$F$24,0)</f>
        <v>0.00242480870154196</v>
      </c>
      <c r="H12" s="53" t="s">
        <v>292</v>
      </c>
    </row>
    <row r="13" customFormat="false" ht="15" hidden="false" customHeight="false" outlineLevel="0" collapsed="false">
      <c r="B13" s="19" t="s">
        <v>294</v>
      </c>
      <c r="C13" s="20" t="s">
        <v>259</v>
      </c>
      <c r="D13" s="29" t="n">
        <f aca="false">IFERROR(F13/E13,0)</f>
        <v>998.834695652236</v>
      </c>
      <c r="E13" s="61" t="n">
        <f aca="false">Исх_данные!$H$128</f>
        <v>2000</v>
      </c>
      <c r="F13" s="12" t="n">
        <f aca="false">Исх_данные!$H$129</f>
        <v>1997669.39130447</v>
      </c>
      <c r="G13" s="13" t="n">
        <f aca="false">IFERROR(F13/$F$24,0)</f>
        <v>0.00752968786339928</v>
      </c>
      <c r="H13" s="53" t="s">
        <v>292</v>
      </c>
    </row>
    <row r="14" customFormat="false" ht="15" hidden="false" customHeight="false" outlineLevel="0" collapsed="false">
      <c r="B14" s="19" t="s">
        <v>295</v>
      </c>
      <c r="C14" s="20" t="s">
        <v>259</v>
      </c>
      <c r="D14" s="29" t="n">
        <f aca="false">IFERROR(F14/E14,0)</f>
        <v>493.614850250893</v>
      </c>
      <c r="E14" s="61" t="n">
        <f aca="false">Исх_данные!$H$130</f>
        <v>3769.4</v>
      </c>
      <c r="F14" s="12" t="n">
        <f aca="false">Исх_данные!$H$131</f>
        <v>1860631.81653572</v>
      </c>
      <c r="G14" s="13" t="n">
        <f aca="false">IFERROR(F14/$F$24,0)</f>
        <v>0.00701316087046569</v>
      </c>
      <c r="H14" s="53" t="s">
        <v>292</v>
      </c>
    </row>
    <row r="15" customFormat="false" ht="15" hidden="false" customHeight="false" outlineLevel="0" collapsed="false">
      <c r="B15" s="19" t="s">
        <v>296</v>
      </c>
      <c r="C15" s="20" t="s">
        <v>259</v>
      </c>
      <c r="D15" s="29" t="n">
        <f aca="false">IFERROR(F15/E15,0)</f>
        <v>947.522077959676</v>
      </c>
      <c r="E15" s="61" t="n">
        <f aca="false">Исх_данные!$H$132</f>
        <v>163.5</v>
      </c>
      <c r="F15" s="12" t="n">
        <f aca="false">Исх_данные!$H$133</f>
        <v>154919.859746407</v>
      </c>
      <c r="G15" s="13" t="n">
        <f aca="false">IFERROR(F15/$F$24,0)</f>
        <v>0.00058392954950885</v>
      </c>
      <c r="H15" s="53" t="s">
        <v>292</v>
      </c>
    </row>
    <row r="16" customFormat="false" ht="15" hidden="false" customHeight="false" outlineLevel="0" collapsed="false">
      <c r="B16" s="19" t="s">
        <v>297</v>
      </c>
      <c r="C16" s="20" t="s">
        <v>259</v>
      </c>
      <c r="D16" s="29" t="n">
        <f aca="false">IFERROR(F16/E16,0)</f>
        <v>451.482727680159</v>
      </c>
      <c r="E16" s="61" t="n">
        <f aca="false">Исх_данные!$H$134</f>
        <v>2098.19</v>
      </c>
      <c r="F16" s="12" t="n">
        <f aca="false">Исх_данные!$H$135</f>
        <v>947296.544391234</v>
      </c>
      <c r="G16" s="13" t="n">
        <f aca="false">IFERROR(F16/$F$24,0)</f>
        <v>0.00357058446427165</v>
      </c>
      <c r="H16" s="53" t="s">
        <v>292</v>
      </c>
    </row>
    <row r="17" customFormat="false" ht="15" hidden="false" customHeight="false" outlineLevel="0" collapsed="false">
      <c r="B17" s="19" t="s">
        <v>298</v>
      </c>
      <c r="C17" s="20" t="s">
        <v>259</v>
      </c>
      <c r="D17" s="29" t="n">
        <f aca="false">IFERROR(F17/E17,0)</f>
        <v>381.587912097875</v>
      </c>
      <c r="E17" s="61" t="n">
        <f aca="false">Исх_данные!$H$136</f>
        <v>5.99</v>
      </c>
      <c r="F17" s="12" t="n">
        <f aca="false">Исх_данные!$H$137</f>
        <v>2285.71159346627</v>
      </c>
      <c r="G17" s="13" t="n">
        <f aca="false">IFERROR(F17/$F$24,0)</f>
        <v>8.61538697017102E-006</v>
      </c>
      <c r="H17" s="53" t="s">
        <v>292</v>
      </c>
    </row>
    <row r="18" customFormat="false" ht="15" hidden="false" customHeight="false" outlineLevel="0" collapsed="false">
      <c r="B18" s="19" t="s">
        <v>299</v>
      </c>
      <c r="C18" s="20" t="s">
        <v>259</v>
      </c>
      <c r="D18" s="29" t="n">
        <f aca="false">IFERROR(F18/E18,0)</f>
        <v>213.462544886435</v>
      </c>
      <c r="E18" s="61" t="n">
        <f aca="false">Исх_данные!$H$138</f>
        <v>6.79</v>
      </c>
      <c r="F18" s="12" t="n">
        <f aca="false">Исх_данные!$H$139</f>
        <v>1449.4106797789</v>
      </c>
      <c r="G18" s="13" t="n">
        <f aca="false">IFERROR(F18/$F$24,0)</f>
        <v>5.46317125952753E-006</v>
      </c>
      <c r="H18" s="53" t="s">
        <v>292</v>
      </c>
    </row>
    <row r="19" customFormat="false" ht="15" hidden="false" customHeight="false" outlineLevel="0" collapsed="false">
      <c r="B19" s="19" t="s">
        <v>300</v>
      </c>
      <c r="C19" s="20" t="s">
        <v>259</v>
      </c>
      <c r="D19" s="29" t="n">
        <f aca="false">IFERROR(F19/E19,0)</f>
        <v>965.304074663437</v>
      </c>
      <c r="E19" s="61" t="n">
        <f aca="false">Исх_данные!$H$140</f>
        <v>19.33</v>
      </c>
      <c r="F19" s="12" t="n">
        <f aca="false">Исх_данные!$H$141</f>
        <v>18659.3277632442</v>
      </c>
      <c r="G19" s="13" t="n">
        <f aca="false">IFERROR(F19/$F$24,0)</f>
        <v>7.03314144020318E-005</v>
      </c>
      <c r="H19" s="53" t="s">
        <v>292</v>
      </c>
    </row>
    <row r="20" customFormat="false" ht="15" hidden="false" customHeight="false" outlineLevel="0" collapsed="false">
      <c r="B20" s="19" t="s">
        <v>301</v>
      </c>
      <c r="C20" s="20" t="s">
        <v>302</v>
      </c>
      <c r="D20" s="29" t="n">
        <f aca="false">IFERROR(F20/E20,0)</f>
        <v>14.6401302908838</v>
      </c>
      <c r="E20" s="61" t="n">
        <f aca="false">Исх_данные!$H$142</f>
        <v>4000</v>
      </c>
      <c r="F20" s="12" t="n">
        <f aca="false">Исх_данные!$H$143</f>
        <v>58560.5211635353</v>
      </c>
      <c r="G20" s="13" t="n">
        <f aca="false">IFERROR(F20/$F$24,0)</f>
        <v>0.00022072843854882</v>
      </c>
      <c r="H20" s="53" t="s">
        <v>292</v>
      </c>
    </row>
    <row r="21" customFormat="false" ht="15" hidden="false" customHeight="false" outlineLevel="0" collapsed="false">
      <c r="B21" s="19" t="s">
        <v>303</v>
      </c>
      <c r="C21" s="20" t="s">
        <v>304</v>
      </c>
      <c r="D21" s="29" t="n">
        <f aca="false">IFERROR(F21/E21,0)</f>
        <v>0.236974459201518</v>
      </c>
      <c r="E21" s="61" t="n">
        <f aca="false">Исх_данные!$H$144</f>
        <v>106260</v>
      </c>
      <c r="F21" s="12" t="n">
        <f aca="false">Исх_данные!$H$145</f>
        <v>25180.9060347533</v>
      </c>
      <c r="G21" s="13" t="n">
        <f aca="false">IFERROR(F21/$F$24,0)</f>
        <v>9.49127835589796E-005</v>
      </c>
      <c r="H21" s="53" t="s">
        <v>292</v>
      </c>
    </row>
    <row r="22" customFormat="false" ht="15" hidden="false" customHeight="false" outlineLevel="0" collapsed="false">
      <c r="B22" s="26" t="s">
        <v>305</v>
      </c>
      <c r="F22" s="22" t="n">
        <f aca="false">SUM(F11:F21)</f>
        <v>5805094.70938421</v>
      </c>
      <c r="G22" s="13" t="n">
        <f aca="false">IFERROR(F22/$F$24,0)</f>
        <v>0.0218807733498839</v>
      </c>
    </row>
    <row r="24" customFormat="false" ht="15" hidden="false" customHeight="false" outlineLevel="0" collapsed="false">
      <c r="B24" s="14" t="s">
        <v>306</v>
      </c>
      <c r="F24" s="15" t="n">
        <f aca="false">F8+F22</f>
        <v>265305737.441635</v>
      </c>
      <c r="G24" s="13" t="n">
        <f aca="false">IFERROR(F24/$F$24,0)</f>
        <v>1</v>
      </c>
    </row>
    <row r="26" customFormat="false" ht="15" hidden="false" customHeight="false" outlineLevel="0" collapsed="false">
      <c r="B26" s="10" t="s">
        <v>307</v>
      </c>
      <c r="C26" s="60"/>
      <c r="D26" s="60"/>
      <c r="E26" s="60"/>
      <c r="F26" s="60"/>
      <c r="G26" s="60"/>
      <c r="H26" s="60"/>
    </row>
    <row r="27" customFormat="false" ht="15" hidden="false" customHeight="false" outlineLevel="0" collapsed="false">
      <c r="B27" s="26" t="s">
        <v>308</v>
      </c>
      <c r="F27" s="26" t="s">
        <v>283</v>
      </c>
      <c r="H27" s="26" t="s">
        <v>309</v>
      </c>
    </row>
    <row r="28" customFormat="false" ht="15" hidden="false" customHeight="false" outlineLevel="0" collapsed="false">
      <c r="B28" s="6" t="s">
        <v>310</v>
      </c>
      <c r="F28" s="12" t="n">
        <f aca="false">Исх_данные!$H$63-(0)</f>
        <v>945456.722527941</v>
      </c>
      <c r="H28" s="64" t="s">
        <v>311</v>
      </c>
    </row>
    <row r="29" customFormat="false" ht="23.85" hidden="false" customHeight="false" outlineLevel="0" collapsed="false">
      <c r="B29" s="6" t="s">
        <v>312</v>
      </c>
      <c r="F29" s="12" t="n">
        <f aca="false">Исх_данные!$H$64-(0)-Исх_данные!$H$66</f>
        <v>617586.499460136</v>
      </c>
      <c r="H29" s="64" t="s">
        <v>313</v>
      </c>
    </row>
    <row r="30" customFormat="false" ht="15" hidden="false" customHeight="false" outlineLevel="0" collapsed="false">
      <c r="B30" s="6" t="s">
        <v>314</v>
      </c>
      <c r="F30" s="12" t="n">
        <f aca="false">Исх_данные!$H$66</f>
        <v>0</v>
      </c>
    </row>
    <row r="31" customFormat="false" ht="15" hidden="false" customHeight="false" outlineLevel="0" collapsed="false">
      <c r="B31" s="26" t="s">
        <v>315</v>
      </c>
      <c r="F31" s="22" t="n">
        <f aca="false">SUM(F28:F30)</f>
        <v>1563043.22198808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7" min="6" style="0" width="16"/>
    <col collapsed="false" customWidth="true" hidden="false" outlineLevel="0" max="8" min="8" style="0" width="30"/>
  </cols>
  <sheetData>
    <row r="2" customFormat="false" ht="15" hidden="false" customHeight="false" outlineLevel="0" collapsed="false">
      <c r="B2" s="2" t="s">
        <v>316</v>
      </c>
      <c r="G2" s="51" t="s">
        <v>317</v>
      </c>
    </row>
    <row r="5" customFormat="false" ht="30" hidden="false" customHeight="true" outlineLevel="0" collapsed="false">
      <c r="B5" s="18" t="s">
        <v>318</v>
      </c>
      <c r="C5" s="18" t="s">
        <v>43</v>
      </c>
      <c r="D5" s="18" t="s">
        <v>282</v>
      </c>
      <c r="E5" s="18" t="s">
        <v>281</v>
      </c>
      <c r="F5" s="18" t="s">
        <v>283</v>
      </c>
    </row>
    <row r="6" customFormat="false" ht="15" hidden="false" customHeight="false" outlineLevel="0" collapsed="false">
      <c r="B6" s="19" t="s">
        <v>319</v>
      </c>
      <c r="C6" s="20" t="s">
        <v>320</v>
      </c>
      <c r="D6" s="61" t="n">
        <f aca="false">Исх_данные!$H$146</f>
        <v>8388.832</v>
      </c>
      <c r="E6" s="65" t="n">
        <f aca="false">IFERROR(F6/D6,0)</f>
        <v>112.587324559571</v>
      </c>
      <c r="F6" s="12" t="n">
        <f aca="false">Исх_данные!$H$147</f>
        <v>944476.151059716</v>
      </c>
    </row>
    <row r="7" customFormat="false" ht="15" hidden="false" customHeight="false" outlineLevel="0" collapsed="false">
      <c r="B7" s="19" t="s">
        <v>321</v>
      </c>
      <c r="C7" s="20" t="s">
        <v>322</v>
      </c>
      <c r="D7" s="61" t="n">
        <f aca="false">Исх_данные!$H$148</f>
        <v>172529.28</v>
      </c>
      <c r="E7" s="65" t="n">
        <f aca="false">IFERROR(F7/D7,0)</f>
        <v>0.63283143838014</v>
      </c>
      <c r="F7" s="12" t="n">
        <f aca="false">Исх_данные!$H$149</f>
        <v>109181.95242509</v>
      </c>
    </row>
    <row r="8" customFormat="false" ht="15" hidden="false" customHeight="false" outlineLevel="0" collapsed="false">
      <c r="B8" s="19" t="s">
        <v>323</v>
      </c>
      <c r="C8" s="20" t="s">
        <v>322</v>
      </c>
      <c r="D8" s="61" t="n">
        <f aca="false">Исх_данные!$H$150</f>
        <v>4675367.2</v>
      </c>
      <c r="E8" s="65" t="n">
        <f aca="false">IFERROR(F8/D8,0)</f>
        <v>0.188904906979146</v>
      </c>
      <c r="F8" s="12" t="n">
        <f aca="false">Исх_данные!$H$151</f>
        <v>883199.806009351</v>
      </c>
    </row>
    <row r="9" customFormat="false" ht="15" hidden="false" customHeight="false" outlineLevel="0" collapsed="false">
      <c r="B9" s="19" t="s">
        <v>324</v>
      </c>
      <c r="C9" s="20" t="s">
        <v>322</v>
      </c>
      <c r="D9" s="61" t="n">
        <f aca="false">Исх_данные!$H$152</f>
        <v>18463.47195</v>
      </c>
      <c r="E9" s="65" t="n">
        <f aca="false">IFERROR(F9/D9,0)</f>
        <v>0.480292439590273</v>
      </c>
      <c r="F9" s="12" t="n">
        <f aca="false">Исх_данные!$H$153</f>
        <v>8867.86598617208</v>
      </c>
    </row>
    <row r="10" customFormat="false" ht="15" hidden="false" customHeight="false" outlineLevel="0" collapsed="false">
      <c r="B10" s="6" t="s">
        <v>325</v>
      </c>
      <c r="F10" s="12" t="n">
        <f aca="false">Исх_данные!$H$57-(Исх_данные!$H$147)</f>
        <v>236119.037764929</v>
      </c>
    </row>
    <row r="11" customFormat="false" ht="15" hidden="false" customHeight="false" outlineLevel="0" collapsed="false">
      <c r="B11" s="6" t="s">
        <v>326</v>
      </c>
      <c r="F11" s="12" t="n">
        <f aca="false">Исх_данные!$H$58-(Исх_данные!$H$151)</f>
        <v>220799.951502338</v>
      </c>
    </row>
    <row r="12" customFormat="false" ht="15" hidden="false" customHeight="false" outlineLevel="0" collapsed="false">
      <c r="B12" s="6" t="s">
        <v>327</v>
      </c>
      <c r="F12" s="12" t="n">
        <f aca="false">Исх_данные!$H$59-(Исх_данные!$H$149+Исх_данные!$H$153)</f>
        <v>27295.4881062724</v>
      </c>
    </row>
    <row r="13" customFormat="false" ht="15" hidden="false" customHeight="false" outlineLevel="0" collapsed="false">
      <c r="B13" s="10" t="s">
        <v>328</v>
      </c>
      <c r="F13" s="48" t="n">
        <f aca="false">SUM(F6:F12)</f>
        <v>2429940.25285387</v>
      </c>
    </row>
    <row r="15" customFormat="false" ht="15" hidden="false" customHeight="false" outlineLevel="0" collapsed="false">
      <c r="B15" s="33" t="s">
        <v>329</v>
      </c>
    </row>
    <row r="16" customFormat="false" ht="42" hidden="false" customHeight="true" outlineLevel="0" collapsed="false">
      <c r="B16" s="18" t="s">
        <v>42</v>
      </c>
      <c r="C16" s="18" t="s">
        <v>330</v>
      </c>
      <c r="D16" s="18" t="s">
        <v>331</v>
      </c>
      <c r="E16" s="18" t="s">
        <v>332</v>
      </c>
      <c r="F16" s="18" t="s">
        <v>333</v>
      </c>
      <c r="G16" s="18" t="s">
        <v>334</v>
      </c>
    </row>
    <row r="17" customFormat="false" ht="15" hidden="false" customHeight="false" outlineLevel="0" collapsed="false">
      <c r="B17" s="10" t="s">
        <v>335</v>
      </c>
      <c r="C17" s="60"/>
      <c r="D17" s="60"/>
      <c r="E17" s="60"/>
      <c r="F17" s="60"/>
      <c r="G17" s="60"/>
    </row>
    <row r="18" customFormat="false" ht="15" hidden="false" customHeight="false" outlineLevel="0" collapsed="false">
      <c r="B18" s="19" t="s">
        <v>336</v>
      </c>
      <c r="C18" s="61" t="n">
        <f aca="false">Исх_данные!$H$209</f>
        <v>1</v>
      </c>
      <c r="D18" s="12" t="n">
        <f aca="false">Исх_данные!$H$210</f>
        <v>17835000</v>
      </c>
      <c r="E18" s="12" t="n">
        <f aca="false">IFERROR(F18/C18/12,0)</f>
        <v>1609.00755262679</v>
      </c>
      <c r="F18" s="12" t="n">
        <f aca="false">Исх_данные!$H$211</f>
        <v>19308.0906315214</v>
      </c>
      <c r="G18" s="12" t="n">
        <f aca="false">F18*Исх_данные!$E$17</f>
        <v>2316.97087578257</v>
      </c>
    </row>
    <row r="19" customFormat="false" ht="15" hidden="false" customHeight="false" outlineLevel="0" collapsed="false">
      <c r="B19" s="19" t="s">
        <v>337</v>
      </c>
      <c r="C19" s="61" t="n">
        <f aca="false">Исх_данные!$H$212</f>
        <v>16</v>
      </c>
      <c r="D19" s="12" t="n">
        <f aca="false">Исх_данные!$H$213</f>
        <v>15457000</v>
      </c>
      <c r="E19" s="12" t="n">
        <f aca="false">IFERROR(F19/C19/12,0)</f>
        <v>1394.47321227655</v>
      </c>
      <c r="F19" s="12" t="n">
        <f aca="false">Исх_данные!$H$214</f>
        <v>267738.856757097</v>
      </c>
      <c r="G19" s="12" t="n">
        <f aca="false">F19*Исх_данные!$E$17</f>
        <v>32128.6628108517</v>
      </c>
    </row>
    <row r="20" customFormat="false" ht="15" hidden="false" customHeight="false" outlineLevel="0" collapsed="false">
      <c r="B20" s="19" t="s">
        <v>338</v>
      </c>
      <c r="C20" s="61" t="n">
        <f aca="false">Исх_данные!$H$215</f>
        <v>1</v>
      </c>
      <c r="D20" s="12" t="n">
        <f aca="false">Исх_данные!$H$216</f>
        <v>17835000</v>
      </c>
      <c r="E20" s="12" t="n">
        <f aca="false">IFERROR(F20/C20/12,0)</f>
        <v>1609.00755262679</v>
      </c>
      <c r="F20" s="12" t="n">
        <f aca="false">Исх_данные!$H$217</f>
        <v>19308.0906315214</v>
      </c>
      <c r="G20" s="12" t="n">
        <f aca="false">F20*Исх_данные!$E$17</f>
        <v>2316.97087578257</v>
      </c>
    </row>
    <row r="21" customFormat="false" ht="15" hidden="false" customHeight="false" outlineLevel="0" collapsed="false">
      <c r="B21" s="19" t="s">
        <v>339</v>
      </c>
      <c r="C21" s="61" t="n">
        <f aca="false">Исх_данные!$H$218</f>
        <v>4</v>
      </c>
      <c r="D21" s="12" t="n">
        <f aca="false">Исх_данные!$H$219</f>
        <v>15457000</v>
      </c>
      <c r="E21" s="12" t="n">
        <f aca="false">IFERROR(F21/C21/12,0)</f>
        <v>1394.47321227655</v>
      </c>
      <c r="F21" s="12" t="n">
        <f aca="false">Исх_данные!$H$220</f>
        <v>66934.7141892743</v>
      </c>
      <c r="G21" s="12" t="n">
        <f aca="false">F21*Исх_данные!$E$17</f>
        <v>8032.16570271292</v>
      </c>
    </row>
    <row r="22" customFormat="false" ht="15" hidden="false" customHeight="false" outlineLevel="0" collapsed="false">
      <c r="B22" s="19" t="s">
        <v>340</v>
      </c>
      <c r="C22" s="61" t="n">
        <f aca="false">Исх_данные!$H$221</f>
        <v>8</v>
      </c>
      <c r="D22" s="12" t="n">
        <f aca="false">Исх_данные!$H$222</f>
        <v>15457000</v>
      </c>
      <c r="E22" s="12" t="n">
        <f aca="false">IFERROR(F22/C22/12,0)</f>
        <v>1394.47321227655</v>
      </c>
      <c r="F22" s="12" t="n">
        <f aca="false">Исх_данные!$H$223</f>
        <v>133869.428378549</v>
      </c>
      <c r="G22" s="12" t="n">
        <f aca="false">F22*Исх_данные!$E$17</f>
        <v>16064.3314054258</v>
      </c>
    </row>
    <row r="23" customFormat="false" ht="15" hidden="false" customHeight="false" outlineLevel="0" collapsed="false">
      <c r="B23" s="19" t="s">
        <v>341</v>
      </c>
      <c r="C23" s="61" t="n">
        <f aca="false">Исх_данные!$H$224</f>
        <v>4</v>
      </c>
      <c r="D23" s="12" t="n">
        <f aca="false">Исх_данные!$H$225</f>
        <v>15457000</v>
      </c>
      <c r="E23" s="12" t="n">
        <f aca="false">IFERROR(F23/C23/12,0)</f>
        <v>1394.47321227655</v>
      </c>
      <c r="F23" s="12" t="n">
        <f aca="false">Исх_данные!$H$226</f>
        <v>66934.7141892743</v>
      </c>
      <c r="G23" s="12" t="n">
        <f aca="false">F23*Исх_данные!$E$17</f>
        <v>8032.16570271292</v>
      </c>
    </row>
    <row r="24" customFormat="false" ht="15" hidden="false" customHeight="false" outlineLevel="0" collapsed="false">
      <c r="B24" s="19" t="s">
        <v>342</v>
      </c>
      <c r="C24" s="61" t="n">
        <f aca="false">Исх_данные!$H$227</f>
        <v>1</v>
      </c>
      <c r="D24" s="12" t="n">
        <f aca="false">Исх_данные!$H$228</f>
        <v>17835000</v>
      </c>
      <c r="E24" s="12" t="n">
        <f aca="false">IFERROR(F24/C24/12,0)</f>
        <v>1609.00755262679</v>
      </c>
      <c r="F24" s="12" t="n">
        <f aca="false">Исх_данные!$H$229</f>
        <v>19308.0906315214</v>
      </c>
      <c r="G24" s="12" t="n">
        <f aca="false">F24*Исх_данные!$E$17</f>
        <v>2316.97087578257</v>
      </c>
    </row>
    <row r="25" customFormat="false" ht="15" hidden="false" customHeight="false" outlineLevel="0" collapsed="false">
      <c r="B25" s="19" t="s">
        <v>343</v>
      </c>
      <c r="C25" s="61" t="n">
        <f aca="false">Исх_данные!$H$230</f>
        <v>4</v>
      </c>
      <c r="D25" s="12" t="n">
        <f aca="false">Исх_данные!$H$231</f>
        <v>15457000</v>
      </c>
      <c r="E25" s="12" t="n">
        <f aca="false">IFERROR(F25/C25/12,0)</f>
        <v>1394.47321227655</v>
      </c>
      <c r="F25" s="12" t="n">
        <f aca="false">Исх_данные!$H$232</f>
        <v>66934.7141892743</v>
      </c>
      <c r="G25" s="12" t="n">
        <f aca="false">F25*Исх_данные!$E$17</f>
        <v>8032.16570271292</v>
      </c>
    </row>
    <row r="26" customFormat="false" ht="15" hidden="false" customHeight="false" outlineLevel="0" collapsed="false">
      <c r="B26" s="19" t="s">
        <v>344</v>
      </c>
      <c r="C26" s="61" t="n">
        <f aca="false">Исх_данные!$H$233</f>
        <v>4</v>
      </c>
      <c r="D26" s="12" t="n">
        <f aca="false">Исх_данные!$H$234</f>
        <v>15457000</v>
      </c>
      <c r="E26" s="12" t="n">
        <f aca="false">IFERROR(F26/C26/12,0)</f>
        <v>1394.47321227655</v>
      </c>
      <c r="F26" s="12" t="n">
        <f aca="false">Исх_данные!$H$235</f>
        <v>66934.7141892743</v>
      </c>
      <c r="G26" s="12" t="n">
        <f aca="false">F26*Исх_данные!$E$17</f>
        <v>8032.16570271292</v>
      </c>
    </row>
    <row r="27" customFormat="false" ht="15" hidden="false" customHeight="false" outlineLevel="0" collapsed="false">
      <c r="B27" s="19" t="s">
        <v>345</v>
      </c>
      <c r="C27" s="61" t="n">
        <f aca="false">Исх_данные!$H$236</f>
        <v>8</v>
      </c>
      <c r="D27" s="12" t="n">
        <f aca="false">Исх_данные!$H$237</f>
        <v>15457000</v>
      </c>
      <c r="E27" s="12" t="n">
        <f aca="false">IFERROR(F27/C27/12,0)</f>
        <v>1394.47321227655</v>
      </c>
      <c r="F27" s="12" t="n">
        <f aca="false">Исх_данные!$H$238</f>
        <v>133869.428378549</v>
      </c>
      <c r="G27" s="12" t="n">
        <f aca="false">F27*Исх_данные!$E$17</f>
        <v>16064.3314054258</v>
      </c>
    </row>
    <row r="28" customFormat="false" ht="15" hidden="false" customHeight="false" outlineLevel="0" collapsed="false">
      <c r="B28" s="19" t="s">
        <v>346</v>
      </c>
      <c r="C28" s="61" t="n">
        <f aca="false">Исх_данные!$H$239</f>
        <v>1</v>
      </c>
      <c r="D28" s="12" t="n">
        <f aca="false">Исх_данные!$H$240</f>
        <v>9512000</v>
      </c>
      <c r="E28" s="12" t="n">
        <f aca="false">IFERROR(F28/C28/12,0)</f>
        <v>858.137361400953</v>
      </c>
      <c r="F28" s="12" t="n">
        <f aca="false">Исх_данные!$H$241</f>
        <v>10297.6483368114</v>
      </c>
      <c r="G28" s="12" t="n">
        <f aca="false">F28*Исх_данные!$E$17</f>
        <v>1235.71780041737</v>
      </c>
    </row>
    <row r="29" customFormat="false" ht="15" hidden="false" customHeight="false" outlineLevel="0" collapsed="false">
      <c r="B29" s="19" t="s">
        <v>347</v>
      </c>
      <c r="C29" s="61" t="n">
        <f aca="false">Исх_данные!$H$242</f>
        <v>8</v>
      </c>
      <c r="D29" s="12" t="n">
        <f aca="false">Исх_данные!$H$243</f>
        <v>11592750</v>
      </c>
      <c r="E29" s="12" t="n">
        <f aca="false">IFERROR(F29/C29/12,0)</f>
        <v>1045.85490920741</v>
      </c>
      <c r="F29" s="12" t="n">
        <f aca="false">Исх_данные!$H$244</f>
        <v>100402.071283912</v>
      </c>
      <c r="G29" s="12" t="n">
        <f aca="false">F29*Исх_данные!$E$17</f>
        <v>12048.2485540694</v>
      </c>
    </row>
    <row r="30" customFormat="false" ht="15" hidden="false" customHeight="false" outlineLevel="0" collapsed="false">
      <c r="B30" s="19" t="s">
        <v>348</v>
      </c>
      <c r="C30" s="61" t="n">
        <f aca="false">Исх_данные!$H$245</f>
        <v>2</v>
      </c>
      <c r="D30" s="12" t="n">
        <f aca="false">Исх_данные!$H$246</f>
        <v>7134000</v>
      </c>
      <c r="E30" s="12" t="n">
        <f aca="false">IFERROR(F30/C30/12,0)</f>
        <v>643.603021050715</v>
      </c>
      <c r="F30" s="12" t="n">
        <f aca="false">Исх_данные!$H$247</f>
        <v>15446.4725052172</v>
      </c>
      <c r="G30" s="12" t="n">
        <f aca="false">F30*Исх_данные!$E$17</f>
        <v>1853.57670062606</v>
      </c>
    </row>
    <row r="31" customFormat="false" ht="15" hidden="false" customHeight="false" outlineLevel="0" collapsed="false">
      <c r="B31" s="19" t="s">
        <v>349</v>
      </c>
      <c r="C31" s="61" t="n">
        <f aca="false">Исх_данные!$H$248</f>
        <v>8</v>
      </c>
      <c r="D31" s="12" t="n">
        <f aca="false">Исх_данные!$H$249</f>
        <v>11592750</v>
      </c>
      <c r="E31" s="12" t="n">
        <f aca="false">IFERROR(F31/C31/12,0)</f>
        <v>1045.85490920741</v>
      </c>
      <c r="F31" s="12" t="n">
        <f aca="false">Исх_данные!$H$250</f>
        <v>100402.071283912</v>
      </c>
      <c r="G31" s="12" t="n">
        <f aca="false">F31*Исх_данные!$E$17</f>
        <v>12048.2485540694</v>
      </c>
    </row>
    <row r="32" customFormat="false" ht="15" hidden="false" customHeight="false" outlineLevel="0" collapsed="false">
      <c r="B32" s="19" t="s">
        <v>350</v>
      </c>
      <c r="C32" s="61" t="n">
        <f aca="false">Исх_данные!$H$251</f>
        <v>8</v>
      </c>
      <c r="D32" s="12" t="n">
        <f aca="false">Исх_данные!$H$252</f>
        <v>7134000</v>
      </c>
      <c r="E32" s="12" t="n">
        <f aca="false">IFERROR(F32/C32/12,0)</f>
        <v>643.603021050715</v>
      </c>
      <c r="F32" s="12" t="n">
        <f aca="false">Исх_данные!$H$253</f>
        <v>61785.8900208686</v>
      </c>
      <c r="G32" s="12" t="n">
        <f aca="false">F32*Исх_данные!$E$17</f>
        <v>7414.30680250423</v>
      </c>
    </row>
    <row r="33" customFormat="false" ht="15" hidden="false" customHeight="false" outlineLevel="0" collapsed="false">
      <c r="B33" s="19" t="s">
        <v>351</v>
      </c>
      <c r="C33" s="61" t="n">
        <f aca="false">Исх_данные!$H$254</f>
        <v>4</v>
      </c>
      <c r="D33" s="12" t="n">
        <f aca="false">Исх_данные!$H$255</f>
        <v>11592750</v>
      </c>
      <c r="E33" s="12" t="n">
        <f aca="false">IFERROR(F33/C33/12,0)</f>
        <v>1045.85490920741</v>
      </c>
      <c r="F33" s="12" t="n">
        <f aca="false">Исх_данные!$H$256</f>
        <v>50201.0356419558</v>
      </c>
      <c r="G33" s="12" t="n">
        <f aca="false">F33*Исх_данные!$E$17</f>
        <v>6024.12427703469</v>
      </c>
    </row>
    <row r="34" customFormat="false" ht="15" hidden="false" customHeight="false" outlineLevel="0" collapsed="false">
      <c r="B34" s="19" t="s">
        <v>352</v>
      </c>
      <c r="C34" s="61" t="n">
        <f aca="false">Исх_данные!$H$257</f>
        <v>12</v>
      </c>
      <c r="D34" s="12" t="n">
        <f aca="false">Исх_данные!$H$258</f>
        <v>11592750</v>
      </c>
      <c r="E34" s="12" t="n">
        <f aca="false">IFERROR(F34/C34/12,0)</f>
        <v>1045.85490920741</v>
      </c>
      <c r="F34" s="12" t="n">
        <f aca="false">Исх_данные!$H$259</f>
        <v>150603.106925867</v>
      </c>
      <c r="G34" s="12" t="n">
        <f aca="false">F34*Исх_данные!$E$17</f>
        <v>18072.3728311041</v>
      </c>
    </row>
    <row r="35" customFormat="false" ht="15" hidden="false" customHeight="false" outlineLevel="0" collapsed="false">
      <c r="B35" s="19" t="s">
        <v>353</v>
      </c>
      <c r="C35" s="61" t="n">
        <f aca="false">Исх_данные!$H$260</f>
        <v>10</v>
      </c>
      <c r="D35" s="12" t="n">
        <f aca="false">Исх_данные!$H$261</f>
        <v>7134000</v>
      </c>
      <c r="E35" s="12" t="n">
        <f aca="false">IFERROR(F35/C35/12,0)</f>
        <v>643.603021050715</v>
      </c>
      <c r="F35" s="12" t="n">
        <f aca="false">Исх_данные!$H$262</f>
        <v>77232.3625260858</v>
      </c>
      <c r="G35" s="12" t="n">
        <f aca="false">F35*Исх_данные!$E$17</f>
        <v>9267.88350313029</v>
      </c>
    </row>
    <row r="36" customFormat="false" ht="15" hidden="false" customHeight="false" outlineLevel="0" collapsed="false">
      <c r="B36" s="19" t="s">
        <v>354</v>
      </c>
      <c r="C36" s="61" t="n">
        <f aca="false">Исх_данные!$H$263</f>
        <v>4</v>
      </c>
      <c r="D36" s="12" t="n">
        <f aca="false">Исх_данные!$H$264</f>
        <v>8917500</v>
      </c>
      <c r="E36" s="12" t="n">
        <f aca="false">IFERROR(F36/C36/12,0)</f>
        <v>804.503776313393</v>
      </c>
      <c r="F36" s="12" t="n">
        <f aca="false">Исх_данные!$H$265</f>
        <v>38616.1812630429</v>
      </c>
      <c r="G36" s="12" t="n">
        <f aca="false">F36*Исх_данные!$E$17</f>
        <v>4633.94175156515</v>
      </c>
    </row>
    <row r="37" customFormat="false" ht="15" hidden="false" customHeight="false" outlineLevel="0" collapsed="false">
      <c r="B37" s="19" t="s">
        <v>355</v>
      </c>
      <c r="C37" s="61" t="n">
        <f aca="false">Исх_данные!$H$266</f>
        <v>6</v>
      </c>
      <c r="D37" s="12" t="n">
        <f aca="false">Исх_данные!$H$267</f>
        <v>8917500</v>
      </c>
      <c r="E37" s="12" t="n">
        <f aca="false">IFERROR(F37/C37/12,0)</f>
        <v>804.503776313393</v>
      </c>
      <c r="F37" s="12" t="n">
        <f aca="false">Исх_данные!$H$268</f>
        <v>57924.2718945643</v>
      </c>
      <c r="G37" s="12" t="n">
        <f aca="false">F37*Исх_данные!$E$17</f>
        <v>6950.91262734772</v>
      </c>
    </row>
    <row r="38" customFormat="false" ht="15" hidden="false" customHeight="false" outlineLevel="0" collapsed="false">
      <c r="B38" s="26" t="s">
        <v>171</v>
      </c>
      <c r="C38" s="66" t="n">
        <f aca="false">SUM(C18:C37)</f>
        <v>114</v>
      </c>
      <c r="F38" s="22" t="n">
        <f aca="false">SUM(F18:F37)</f>
        <v>1524051.95384809</v>
      </c>
      <c r="G38" s="22" t="n">
        <f aca="false">SUM(G18:G37)</f>
        <v>182886.234461771</v>
      </c>
    </row>
    <row r="39" customFormat="false" ht="15" hidden="false" customHeight="false" outlineLevel="0" collapsed="false">
      <c r="B39" s="10" t="s">
        <v>356</v>
      </c>
      <c r="F39" s="48" t="n">
        <f aca="false">F38+G38</f>
        <v>1706938.18830986</v>
      </c>
    </row>
    <row r="41" customFormat="false" ht="15" hidden="false" customHeight="false" outlineLevel="0" collapsed="false">
      <c r="B41" s="10" t="s">
        <v>357</v>
      </c>
      <c r="C41" s="60"/>
      <c r="D41" s="60"/>
      <c r="E41" s="60"/>
      <c r="F41" s="60"/>
      <c r="G41" s="60"/>
    </row>
    <row r="42" customFormat="false" ht="15" hidden="false" customHeight="false" outlineLevel="0" collapsed="false">
      <c r="B42" s="19" t="s">
        <v>358</v>
      </c>
      <c r="C42" s="61" t="n">
        <f aca="false">Исх_данные!$H$155</f>
        <v>1</v>
      </c>
      <c r="D42" s="12" t="n">
        <f aca="false">Исх_данные!$H$156</f>
        <v>35670000</v>
      </c>
      <c r="E42" s="12" t="n">
        <f aca="false">IFERROR(F42/C42/12,0)</f>
        <v>3218.01510525357</v>
      </c>
      <c r="F42" s="12" t="n">
        <f aca="false">Исх_данные!$H$157</f>
        <v>38616.1812630429</v>
      </c>
      <c r="G42" s="12" t="n">
        <f aca="false">F42*Исх_данные!$E$17</f>
        <v>4633.94175156515</v>
      </c>
    </row>
    <row r="43" customFormat="false" ht="15" hidden="false" customHeight="false" outlineLevel="0" collapsed="false">
      <c r="B43" s="19" t="s">
        <v>359</v>
      </c>
      <c r="C43" s="61" t="n">
        <f aca="false">Исх_данные!$H$158</f>
        <v>1</v>
      </c>
      <c r="D43" s="12" t="n">
        <f aca="false">Исх_данные!$H$159</f>
        <v>23780000</v>
      </c>
      <c r="E43" s="12" t="n">
        <f aca="false">IFERROR(F43/C43/12,0)</f>
        <v>2145.34340350238</v>
      </c>
      <c r="F43" s="12" t="n">
        <f aca="false">Исх_данные!$H$160</f>
        <v>25744.1208420286</v>
      </c>
      <c r="G43" s="12" t="n">
        <f aca="false">F43*Исх_данные!$E$17</f>
        <v>3089.29450104343</v>
      </c>
    </row>
    <row r="44" customFormat="false" ht="15" hidden="false" customHeight="false" outlineLevel="0" collapsed="false">
      <c r="B44" s="19" t="s">
        <v>360</v>
      </c>
      <c r="C44" s="61" t="n">
        <f aca="false">Исх_данные!$H$161</f>
        <v>2</v>
      </c>
      <c r="D44" s="12" t="n">
        <f aca="false">Исх_данные!$H$162</f>
        <v>8323000</v>
      </c>
      <c r="E44" s="12" t="n">
        <f aca="false">IFERROR(F44/C44/12,0)</f>
        <v>750.870191225834</v>
      </c>
      <c r="F44" s="12" t="n">
        <f aca="false">Исх_данные!$H$163</f>
        <v>18020.88458942</v>
      </c>
      <c r="G44" s="12" t="n">
        <f aca="false">F44*Исх_данные!$E$17</f>
        <v>2162.5061507304</v>
      </c>
    </row>
    <row r="45" customFormat="false" ht="15" hidden="false" customHeight="false" outlineLevel="0" collapsed="false">
      <c r="B45" s="19" t="s">
        <v>361</v>
      </c>
      <c r="C45" s="61" t="n">
        <f aca="false">Исх_данные!$H$164</f>
        <v>1</v>
      </c>
      <c r="D45" s="12" t="n">
        <f aca="false">Исх_данные!$H$165</f>
        <v>14268000</v>
      </c>
      <c r="E45" s="12" t="n">
        <f aca="false">IFERROR(F45/C45/12,0)</f>
        <v>1287.20604210143</v>
      </c>
      <c r="F45" s="12" t="n">
        <f aca="false">Исх_данные!$H$166</f>
        <v>15446.4725052172</v>
      </c>
      <c r="G45" s="12" t="n">
        <f aca="false">F45*Исх_данные!$E$17</f>
        <v>1853.57670062606</v>
      </c>
    </row>
    <row r="46" customFormat="false" ht="15" hidden="false" customHeight="false" outlineLevel="0" collapsed="false">
      <c r="B46" s="19" t="s">
        <v>362</v>
      </c>
      <c r="C46" s="61" t="n">
        <f aca="false">Исх_данные!$H$167</f>
        <v>1</v>
      </c>
      <c r="D46" s="12" t="n">
        <f aca="false">Исх_данные!$H$168</f>
        <v>11890000</v>
      </c>
      <c r="E46" s="12" t="n">
        <f aca="false">IFERROR(F46/C46/12,0)</f>
        <v>1072.67170175119</v>
      </c>
      <c r="F46" s="12" t="n">
        <f aca="false">Исх_данные!$H$169</f>
        <v>12872.0604210143</v>
      </c>
      <c r="G46" s="12" t="n">
        <f aca="false">F46*Исх_данные!$E$17</f>
        <v>1544.64725052172</v>
      </c>
    </row>
    <row r="47" customFormat="false" ht="15" hidden="false" customHeight="false" outlineLevel="0" collapsed="false">
      <c r="B47" s="19" t="s">
        <v>363</v>
      </c>
      <c r="C47" s="61" t="n">
        <f aca="false">Исх_данные!$H$170</f>
        <v>1</v>
      </c>
      <c r="D47" s="12" t="n">
        <f aca="false">Исх_данные!$H$171</f>
        <v>8323000</v>
      </c>
      <c r="E47" s="12" t="n">
        <f aca="false">IFERROR(F47/C47/12,0)</f>
        <v>750.870191225834</v>
      </c>
      <c r="F47" s="12" t="n">
        <f aca="false">Исх_данные!$H$172</f>
        <v>9010.44229471001</v>
      </c>
      <c r="G47" s="12" t="n">
        <f aca="false">F47*Исх_данные!$E$17</f>
        <v>1081.2530753652</v>
      </c>
    </row>
    <row r="48" customFormat="false" ht="15" hidden="false" customHeight="false" outlineLevel="0" collapsed="false">
      <c r="B48" s="19" t="s">
        <v>364</v>
      </c>
      <c r="C48" s="61" t="n">
        <f aca="false">Исх_данные!$H$173</f>
        <v>1</v>
      </c>
      <c r="D48" s="12" t="n">
        <f aca="false">Исх_данные!$H$174</f>
        <v>14268000</v>
      </c>
      <c r="E48" s="12" t="n">
        <f aca="false">IFERROR(F48/C48/12,0)</f>
        <v>1287.20604210143</v>
      </c>
      <c r="F48" s="12" t="n">
        <f aca="false">Исх_данные!$H$175</f>
        <v>15446.4725052172</v>
      </c>
      <c r="G48" s="12" t="n">
        <f aca="false">F48*Исх_данные!$E$17</f>
        <v>1853.57670062606</v>
      </c>
    </row>
    <row r="49" customFormat="false" ht="15" hidden="false" customHeight="false" outlineLevel="0" collapsed="false">
      <c r="B49" s="19" t="s">
        <v>365</v>
      </c>
      <c r="C49" s="61" t="n">
        <f aca="false">Исх_данные!$H$176</f>
        <v>1</v>
      </c>
      <c r="D49" s="12" t="n">
        <f aca="false">Исх_данные!$H$177</f>
        <v>9512000</v>
      </c>
      <c r="E49" s="12" t="n">
        <f aca="false">IFERROR(F49/C49/12,0)</f>
        <v>858.137361400953</v>
      </c>
      <c r="F49" s="12" t="n">
        <f aca="false">Исх_данные!$H$178</f>
        <v>10297.6483368114</v>
      </c>
      <c r="G49" s="12" t="n">
        <f aca="false">F49*Исх_данные!$E$17</f>
        <v>1235.71780041737</v>
      </c>
    </row>
    <row r="50" customFormat="false" ht="15" hidden="false" customHeight="false" outlineLevel="0" collapsed="false">
      <c r="B50" s="19" t="s">
        <v>366</v>
      </c>
      <c r="C50" s="61" t="n">
        <f aca="false">Исх_данные!$H$179</f>
        <v>1</v>
      </c>
      <c r="D50" s="12" t="n">
        <f aca="false">Исх_данные!$H$180</f>
        <v>9512000</v>
      </c>
      <c r="E50" s="12" t="n">
        <f aca="false">IFERROR(F50/C50/12,0)</f>
        <v>858.137361400953</v>
      </c>
      <c r="F50" s="12" t="n">
        <f aca="false">Исх_данные!$H$181</f>
        <v>10297.6483368114</v>
      </c>
      <c r="G50" s="12" t="n">
        <f aca="false">F50*Исх_данные!$E$17</f>
        <v>1235.71780041737</v>
      </c>
    </row>
    <row r="51" customFormat="false" ht="15" hidden="false" customHeight="false" outlineLevel="0" collapsed="false">
      <c r="B51" s="19" t="s">
        <v>367</v>
      </c>
      <c r="C51" s="61" t="n">
        <f aca="false">Исх_данные!$H$182</f>
        <v>1</v>
      </c>
      <c r="D51" s="12" t="n">
        <f aca="false">Исх_данные!$H$183</f>
        <v>14268000</v>
      </c>
      <c r="E51" s="12" t="n">
        <f aca="false">IFERROR(F51/C51/12,0)</f>
        <v>1287.20604210143</v>
      </c>
      <c r="F51" s="12" t="n">
        <f aca="false">Исх_данные!$H$184</f>
        <v>15446.4725052172</v>
      </c>
      <c r="G51" s="12" t="n">
        <f aca="false">F51*Исх_данные!$E$17</f>
        <v>1853.57670062606</v>
      </c>
    </row>
    <row r="52" customFormat="false" ht="15" hidden="false" customHeight="false" outlineLevel="0" collapsed="false">
      <c r="B52" s="19" t="s">
        <v>368</v>
      </c>
      <c r="C52" s="61" t="n">
        <f aca="false">Исх_данные!$H$185</f>
        <v>1</v>
      </c>
      <c r="D52" s="12" t="n">
        <f aca="false">Исх_данные!$H$186</f>
        <v>9512000</v>
      </c>
      <c r="E52" s="12" t="n">
        <f aca="false">IFERROR(F52/C52/12,0)</f>
        <v>858.137361400953</v>
      </c>
      <c r="F52" s="12" t="n">
        <f aca="false">Исх_данные!$H$187</f>
        <v>10297.6483368114</v>
      </c>
      <c r="G52" s="12" t="n">
        <f aca="false">F52*Исх_данные!$E$17</f>
        <v>1235.71780041737</v>
      </c>
    </row>
    <row r="53" customFormat="false" ht="15" hidden="false" customHeight="false" outlineLevel="0" collapsed="false">
      <c r="B53" s="19" t="s">
        <v>369</v>
      </c>
      <c r="C53" s="61" t="n">
        <f aca="false">Исх_данные!$H$188</f>
        <v>1</v>
      </c>
      <c r="D53" s="12" t="n">
        <f aca="false">Исх_данные!$H$189</f>
        <v>9512000</v>
      </c>
      <c r="E53" s="12" t="n">
        <f aca="false">IFERROR(F53/C53/12,0)</f>
        <v>858.137361400953</v>
      </c>
      <c r="F53" s="12" t="n">
        <f aca="false">Исх_данные!$H$190</f>
        <v>10297.6483368114</v>
      </c>
      <c r="G53" s="12" t="n">
        <f aca="false">F53*Исх_данные!$E$17</f>
        <v>1235.71780041737</v>
      </c>
    </row>
    <row r="54" customFormat="false" ht="15" hidden="false" customHeight="false" outlineLevel="0" collapsed="false">
      <c r="B54" s="19" t="s">
        <v>370</v>
      </c>
      <c r="C54" s="61" t="n">
        <f aca="false">Исх_данные!$H$191</f>
        <v>1</v>
      </c>
      <c r="D54" s="12" t="n">
        <f aca="false">Исх_данные!$H$192</f>
        <v>17835000</v>
      </c>
      <c r="E54" s="12" t="n">
        <f aca="false">IFERROR(F54/C54/12,0)</f>
        <v>1609.00755262679</v>
      </c>
      <c r="F54" s="12" t="n">
        <f aca="false">Исх_данные!$H$193</f>
        <v>19308.0906315214</v>
      </c>
      <c r="G54" s="12" t="n">
        <f aca="false">F54*Исх_данные!$E$17</f>
        <v>2316.97087578257</v>
      </c>
    </row>
    <row r="55" customFormat="false" ht="15" hidden="false" customHeight="false" outlineLevel="0" collapsed="false">
      <c r="B55" s="19" t="s">
        <v>371</v>
      </c>
      <c r="C55" s="61" t="n">
        <f aca="false">Исх_данные!$H$194</f>
        <v>2</v>
      </c>
      <c r="D55" s="12" t="n">
        <f aca="false">Исх_данные!$H$195</f>
        <v>14268000</v>
      </c>
      <c r="E55" s="12" t="n">
        <f aca="false">IFERROR(F55/C55/12,0)</f>
        <v>1287.20604210143</v>
      </c>
      <c r="F55" s="12" t="n">
        <f aca="false">Исх_данные!$H$196</f>
        <v>30892.9450104343</v>
      </c>
      <c r="G55" s="12" t="n">
        <f aca="false">F55*Исх_данные!$E$17</f>
        <v>3707.15340125212</v>
      </c>
    </row>
    <row r="56" customFormat="false" ht="15" hidden="false" customHeight="false" outlineLevel="0" collapsed="false">
      <c r="B56" s="19" t="s">
        <v>372</v>
      </c>
      <c r="C56" s="61" t="n">
        <f aca="false">Исх_данные!$H$197</f>
        <v>1</v>
      </c>
      <c r="D56" s="12" t="n">
        <f aca="false">Исх_данные!$H$198</f>
        <v>14268000</v>
      </c>
      <c r="E56" s="12" t="n">
        <f aca="false">IFERROR(F56/C56/12,0)</f>
        <v>1287.20604210143</v>
      </c>
      <c r="F56" s="12" t="n">
        <f aca="false">Исх_данные!$H$199</f>
        <v>15446.4725052172</v>
      </c>
      <c r="G56" s="12" t="n">
        <f aca="false">F56*Исх_данные!$E$17</f>
        <v>1853.57670062606</v>
      </c>
    </row>
    <row r="57" customFormat="false" ht="15" hidden="false" customHeight="false" outlineLevel="0" collapsed="false">
      <c r="B57" s="19" t="s">
        <v>373</v>
      </c>
      <c r="C57" s="61" t="n">
        <f aca="false">Исх_данные!$H$200</f>
        <v>2</v>
      </c>
      <c r="D57" s="12" t="n">
        <f aca="false">Исх_данные!$H$201</f>
        <v>7134000</v>
      </c>
      <c r="E57" s="12" t="n">
        <f aca="false">IFERROR(F57/C57/12,0)</f>
        <v>643.603021050715</v>
      </c>
      <c r="F57" s="12" t="n">
        <f aca="false">Исх_данные!$H$202</f>
        <v>15446.4725052172</v>
      </c>
      <c r="G57" s="12" t="n">
        <f aca="false">F57*Исх_данные!$E$17</f>
        <v>1853.57670062606</v>
      </c>
    </row>
    <row r="58" customFormat="false" ht="15" hidden="false" customHeight="false" outlineLevel="0" collapsed="false">
      <c r="B58" s="19" t="s">
        <v>374</v>
      </c>
      <c r="C58" s="61" t="n">
        <f aca="false">Исх_данные!$H$203</f>
        <v>5</v>
      </c>
      <c r="D58" s="12" t="n">
        <f aca="false">Исх_данные!$H$204</f>
        <v>7134000</v>
      </c>
      <c r="E58" s="12" t="n">
        <f aca="false">IFERROR(F58/C58/12,0)</f>
        <v>643.603021050715</v>
      </c>
      <c r="F58" s="12" t="n">
        <f aca="false">Исх_данные!$H$205</f>
        <v>38616.1812630429</v>
      </c>
      <c r="G58" s="12" t="n">
        <f aca="false">F58*Исх_данные!$E$17</f>
        <v>4633.94175156515</v>
      </c>
    </row>
    <row r="59" customFormat="false" ht="15" hidden="false" customHeight="false" outlineLevel="0" collapsed="false">
      <c r="B59" s="19" t="s">
        <v>375</v>
      </c>
      <c r="C59" s="61" t="n">
        <f aca="false">Исх_данные!$H$206</f>
        <v>2</v>
      </c>
      <c r="D59" s="12" t="n">
        <f aca="false">Исх_данные!$H$207</f>
        <v>7134000</v>
      </c>
      <c r="E59" s="12" t="n">
        <f aca="false">IFERROR(F59/C59/12,0)</f>
        <v>643.603021050715</v>
      </c>
      <c r="F59" s="12" t="n">
        <f aca="false">Исх_данные!$H$208</f>
        <v>15446.4725052172</v>
      </c>
      <c r="G59" s="12" t="n">
        <f aca="false">F59*Исх_данные!$E$17</f>
        <v>1853.57670062606</v>
      </c>
    </row>
    <row r="60" customFormat="false" ht="15" hidden="false" customHeight="false" outlineLevel="0" collapsed="false">
      <c r="B60" s="26" t="s">
        <v>171</v>
      </c>
      <c r="C60" s="66" t="n">
        <f aca="false">SUM(C42:C59)</f>
        <v>26</v>
      </c>
      <c r="F60" s="22" t="n">
        <f aca="false">SUM(F42:F59)</f>
        <v>326950.334693763</v>
      </c>
      <c r="G60" s="22" t="n">
        <f aca="false">SUM(G42:G59)</f>
        <v>39234.0401632516</v>
      </c>
    </row>
    <row r="61" customFormat="false" ht="15" hidden="false" customHeight="false" outlineLevel="0" collapsed="false">
      <c r="B61" s="10" t="s">
        <v>356</v>
      </c>
      <c r="F61" s="48" t="n">
        <f aca="false">F60+G60</f>
        <v>366184.374857015</v>
      </c>
    </row>
    <row r="63" customFormat="false" ht="15" hidden="false" customHeight="false" outlineLevel="0" collapsed="false">
      <c r="B63" s="14" t="s">
        <v>376</v>
      </c>
      <c r="C63" s="67" t="n">
        <f aca="false">C38+C60</f>
        <v>140</v>
      </c>
      <c r="F63" s="15" t="n">
        <f aca="false">F39+F61</f>
        <v>2073122.56316688</v>
      </c>
    </row>
    <row r="64" customFormat="false" ht="15" hidden="false" customHeight="false" outlineLevel="0" collapsed="false">
      <c r="B64" s="3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378</v>
      </c>
      <c r="K2" s="51" t="s">
        <v>379</v>
      </c>
    </row>
    <row r="4" customFormat="false" ht="30" hidden="false" customHeight="true" outlineLevel="0" collapsed="false">
      <c r="B4" s="17" t="s">
        <v>42</v>
      </c>
      <c r="C4" s="18" t="s">
        <v>380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0" t="s">
        <v>381</v>
      </c>
      <c r="C6" s="60"/>
      <c r="D6" s="48" t="n">
        <f aca="false">SUM(D7:D11)</f>
        <v>187328.591638295</v>
      </c>
      <c r="E6" s="48" t="n">
        <f aca="false">SUM(E7:E11)</f>
        <v>632638.683793203</v>
      </c>
      <c r="F6" s="48" t="n">
        <f aca="false">SUM(F7:F11)</f>
        <v>628878.649625023</v>
      </c>
      <c r="G6" s="48" t="n">
        <f aca="false">SUM(G7:G11)</f>
        <v>625244.719870279</v>
      </c>
      <c r="H6" s="48" t="n">
        <f aca="false">SUM(H7:H11)</f>
        <v>621720.326457425</v>
      </c>
      <c r="I6" s="48" t="n">
        <f aca="false">SUM(I7:I11)</f>
        <v>618305.803389489</v>
      </c>
      <c r="J6" s="48" t="n">
        <f aca="false">SUM(J7:J11)</f>
        <v>615003.567814058</v>
      </c>
      <c r="K6" s="48" t="n">
        <f aca="false">SUM(K7:K11)</f>
        <v>3929120.34258777</v>
      </c>
    </row>
    <row r="7" customFormat="false" ht="15" hidden="false" customHeight="false" outlineLevel="0" collapsed="false">
      <c r="B7" s="19" t="s">
        <v>382</v>
      </c>
      <c r="C7" s="20" t="s">
        <v>383</v>
      </c>
      <c r="D7" s="12" t="n">
        <f aca="false">CostSold!D34</f>
        <v>106126.3125</v>
      </c>
      <c r="E7" s="12" t="n">
        <f aca="false">CostSold!E34</f>
        <v>415276.875</v>
      </c>
      <c r="F7" s="12" t="n">
        <f aca="false">CostSold!F34</f>
        <v>406758.375</v>
      </c>
      <c r="G7" s="12" t="n">
        <f aca="false">CostSold!G34</f>
        <v>398239.875</v>
      </c>
      <c r="H7" s="12" t="n">
        <f aca="false">CostSold!H34</f>
        <v>389721.375</v>
      </c>
      <c r="I7" s="12" t="n">
        <f aca="false">CostSold!I34</f>
        <v>381202.875</v>
      </c>
      <c r="J7" s="12" t="n">
        <f aca="false">CostSold!J34</f>
        <v>372684.375</v>
      </c>
      <c r="K7" s="12" t="n">
        <f aca="false">SUM(D7:J7)</f>
        <v>2470010.0625</v>
      </c>
    </row>
    <row r="8" customFormat="false" ht="15" hidden="false" customHeight="false" outlineLevel="0" collapsed="false">
      <c r="B8" s="19" t="s">
        <v>384</v>
      </c>
      <c r="C8" s="20"/>
      <c r="D8" s="12" t="n">
        <f aca="false">CostSold!D35</f>
        <v>0</v>
      </c>
      <c r="E8" s="12" t="n">
        <f aca="false">CostSold!E35</f>
        <v>0</v>
      </c>
      <c r="F8" s="12" t="n">
        <f aca="false">CostSold!F35</f>
        <v>0</v>
      </c>
      <c r="G8" s="12" t="n">
        <f aca="false">CostSold!G35</f>
        <v>0</v>
      </c>
      <c r="H8" s="12" t="n">
        <f aca="false">CostSold!H35</f>
        <v>0</v>
      </c>
      <c r="I8" s="12" t="n">
        <f aca="false">CostSold!I35</f>
        <v>0</v>
      </c>
      <c r="J8" s="12" t="n">
        <f aca="false">CostSold!J35</f>
        <v>0</v>
      </c>
      <c r="K8" s="12" t="n">
        <f aca="false">SUM(D8:J8)</f>
        <v>0</v>
      </c>
    </row>
    <row r="9" customFormat="false" ht="15" hidden="false" customHeight="false" outlineLevel="0" collapsed="false">
      <c r="B9" s="19" t="s">
        <v>385</v>
      </c>
      <c r="C9" s="20"/>
      <c r="D9" s="12" t="n">
        <f aca="false">CostSold!D36</f>
        <v>0</v>
      </c>
      <c r="E9" s="12" t="n">
        <f aca="false">CostSold!E36</f>
        <v>0</v>
      </c>
      <c r="F9" s="12" t="n">
        <f aca="false">CostSold!F36</f>
        <v>0</v>
      </c>
      <c r="G9" s="12" t="n">
        <f aca="false">CostSold!G36</f>
        <v>0</v>
      </c>
      <c r="H9" s="12" t="n">
        <f aca="false">CostSold!H36</f>
        <v>0</v>
      </c>
      <c r="I9" s="12" t="n">
        <f aca="false">CostSold!I36</f>
        <v>0</v>
      </c>
      <c r="J9" s="12" t="n">
        <f aca="false">CostSold!J36</f>
        <v>0</v>
      </c>
      <c r="K9" s="12" t="n">
        <f aca="false">SUM(D9:J9)</f>
        <v>0</v>
      </c>
    </row>
    <row r="10" customFormat="false" ht="15" hidden="false" customHeight="false" outlineLevel="0" collapsed="false">
      <c r="B10" s="19" t="s">
        <v>386</v>
      </c>
      <c r="C10" s="20"/>
      <c r="D10" s="12" t="n">
        <f aca="false">CostSold!D19</f>
        <v>0</v>
      </c>
      <c r="E10" s="12" t="n">
        <f aca="false">CostSold!E19</f>
        <v>0</v>
      </c>
      <c r="F10" s="12" t="n">
        <f aca="false">CostSold!F19</f>
        <v>0</v>
      </c>
      <c r="G10" s="12" t="n">
        <f aca="false">CostSold!G19</f>
        <v>0</v>
      </c>
      <c r="H10" s="12" t="n">
        <f aca="false">CostSold!H19</f>
        <v>0</v>
      </c>
      <c r="I10" s="12" t="n">
        <f aca="false">CostSold!I19</f>
        <v>0</v>
      </c>
      <c r="J10" s="12" t="n">
        <f aca="false">CostSold!J19</f>
        <v>0</v>
      </c>
      <c r="K10" s="12" t="n">
        <f aca="false">SUM(D10:J10)</f>
        <v>0</v>
      </c>
    </row>
    <row r="11" customFormat="false" ht="23.85" hidden="false" customHeight="false" outlineLevel="0" collapsed="false">
      <c r="B11" s="19" t="s">
        <v>387</v>
      </c>
      <c r="C11" s="20" t="s">
        <v>388</v>
      </c>
      <c r="D11" s="12" t="n">
        <f aca="false">Исх_данные!$F$61+Исх_данные!$F$69-(Исх_данные!$F$157+Исх_данные!$F$160+Исх_данные!$F$163+Исх_данные!$F$166+Исх_данные!$F$169+Исх_данные!$F$172+Исх_данные!$F$175+Исх_данные!$F$178+Исх_данные!$F$181+Исх_данные!$F$184+Исх_данные!$F$187+Исх_данные!$F$190+Исх_данные!$F$193+Исх_данные!$F$196+Исх_данные!$F$199+Исх_данные!$F$202+Исх_данные!$F$205+Исх_данные!$F$208)</f>
        <v>81202.2791382946</v>
      </c>
      <c r="E11" s="12" t="n">
        <f aca="false">Исх_данные!$G$61+Исх_данные!$G$69-(Исх_данные!$G$157+Исх_данные!$G$160+Исх_данные!$G$163+Исх_данные!$G$166+Исх_данные!$G$169+Исх_данные!$G$172+Исх_данные!$G$175+Исх_данные!$G$178+Исх_данные!$G$181+Исх_данные!$G$184+Исх_данные!$G$187+Исх_данные!$G$190+Исх_данные!$G$193+Исх_данные!$G$196+Исх_данные!$G$199+Исх_данные!$G$202+Исх_данные!$G$205+Исх_данные!$G$208)</f>
        <v>217361.808793203</v>
      </c>
      <c r="F11" s="12" t="n">
        <f aca="false">Исх_данные!$H$61+Исх_данные!$H$69-(Исх_данные!$H$157+Исх_данные!$H$160+Исх_данные!$H$163+Исх_данные!$H$166+Исх_данные!$H$169+Исх_данные!$H$172+Исх_данные!$H$175+Исх_данные!$H$178+Исх_данные!$H$181+Исх_данные!$H$184+Исх_данные!$H$187+Исх_данные!$H$190+Исх_данные!$H$193+Исх_данные!$H$196+Исх_данные!$H$199+Исх_данные!$H$202+Исх_данные!$H$205+Исх_данные!$H$208)</f>
        <v>222120.274625023</v>
      </c>
      <c r="G11" s="12" t="n">
        <f aca="false">Исх_данные!$I$61+Исх_данные!$I$69-(Исх_данные!$I$157+Исх_данные!$I$160+Исх_данные!$I$163+Исх_данные!$I$166+Исх_данные!$I$169+Исх_данные!$I$172+Исх_данные!$I$175+Исх_данные!$I$178+Исх_данные!$I$181+Исх_данные!$I$184+Исх_данные!$I$187+Исх_данные!$I$190+Исх_данные!$I$193+Исх_данные!$I$196+Исх_данные!$I$199+Исх_данные!$I$202+Исх_данные!$I$205+Исх_данные!$I$208)</f>
        <v>227004.844870279</v>
      </c>
      <c r="H11" s="12" t="n">
        <f aca="false">Исх_данные!$J$61+Исх_данные!$J$69-(Исх_данные!$J$157+Исх_данные!$J$160+Исх_данные!$J$163+Исх_данные!$J$166+Исх_данные!$J$169+Исх_данные!$J$172+Исх_данные!$J$175+Исх_данные!$J$178+Исх_данные!$J$181+Исх_данные!$J$184+Исх_данные!$J$187+Исх_данные!$J$190+Исх_данные!$J$193+Исх_данные!$J$196+Исх_данные!$J$199+Исх_данные!$J$202+Исх_данные!$J$205+Исх_данные!$J$208)</f>
        <v>231998.951457425</v>
      </c>
      <c r="I11" s="12" t="n">
        <f aca="false">Исх_данные!$K$61+Исх_данные!$K$69-(Исх_данные!$K$157+Исх_данные!$K$160+Исх_данные!$K$163+Исх_данные!$K$166+Исх_данные!$K$169+Исх_данные!$K$172+Исх_данные!$K$175+Исх_данные!$K$178+Исх_данные!$K$181+Исх_данные!$K$184+Исх_данные!$K$187+Исх_данные!$K$190+Исх_данные!$K$193+Исх_данные!$K$196+Исх_данные!$K$199+Исх_данные!$K$202+Исх_данные!$K$205+Исх_данные!$K$208)</f>
        <v>237102.928389489</v>
      </c>
      <c r="J11" s="12" t="n">
        <f aca="false">Исх_данные!$L$61+Исх_данные!$L$69-(Исх_данные!$L$157+Исх_данные!$L$160+Исх_данные!$L$163+Исх_данные!$L$166+Исх_данные!$L$169+Исх_данные!$L$172+Исх_данные!$L$175+Исх_данные!$L$178+Исх_данные!$L$181+Исх_данные!$L$184+Исх_данные!$L$187+Исх_данные!$L$190+Исх_данные!$L$193+Исх_данные!$L$196+Исх_данные!$L$199+Исх_данные!$L$202+Исх_данные!$L$205+Исх_данные!$L$208)</f>
        <v>242319.192814058</v>
      </c>
      <c r="K11" s="12" t="n">
        <f aca="false">SUM(D11:J11)</f>
        <v>1459110.28008777</v>
      </c>
    </row>
    <row r="13" customFormat="false" ht="15" hidden="false" customHeight="false" outlineLevel="0" collapsed="false">
      <c r="B13" s="10" t="s">
        <v>389</v>
      </c>
      <c r="C13" s="60"/>
      <c r="D13" s="48" t="n">
        <f aca="false">D14+D15</f>
        <v>611765.021380067</v>
      </c>
      <c r="E13" s="48" t="n">
        <f aca="false">E14+E15</f>
        <v>3682717.47683389</v>
      </c>
      <c r="F13" s="48" t="n">
        <f aca="false">F14+F15</f>
        <v>4726992.38019689</v>
      </c>
      <c r="G13" s="48" t="n">
        <f aca="false">G14+G15</f>
        <v>5099845.44233943</v>
      </c>
      <c r="H13" s="48" t="n">
        <f aca="false">H14+H15</f>
        <v>5248762.4145385</v>
      </c>
      <c r="I13" s="48" t="n">
        <f aca="false">I14+I15</f>
        <v>5400663.16711089</v>
      </c>
      <c r="J13" s="48" t="n">
        <f aca="false">J14+J15</f>
        <v>5556485.76289274</v>
      </c>
      <c r="K13" s="48" t="n">
        <f aca="false">K14+K15</f>
        <v>30327231.6652924</v>
      </c>
    </row>
    <row r="14" customFormat="false" ht="15" hidden="false" customHeight="false" outlineLevel="0" collapsed="false">
      <c r="B14" s="19" t="s">
        <v>390</v>
      </c>
      <c r="C14" s="20" t="s">
        <v>391</v>
      </c>
      <c r="D14" s="12" t="n">
        <f aca="false">ProfLoss!D21</f>
        <v>611765.021380067</v>
      </c>
      <c r="E14" s="12" t="n">
        <f aca="false">ProfLoss!E21</f>
        <v>3682717.47683389</v>
      </c>
      <c r="F14" s="12" t="n">
        <f aca="false">ProfLoss!F21</f>
        <v>4726992.38019689</v>
      </c>
      <c r="G14" s="12" t="n">
        <f aca="false">ProfLoss!G21</f>
        <v>5099845.44233943</v>
      </c>
      <c r="H14" s="12" t="n">
        <f aca="false">ProfLoss!H21</f>
        <v>5248762.4145385</v>
      </c>
      <c r="I14" s="12" t="n">
        <f aca="false">ProfLoss!I21</f>
        <v>5400663.16711089</v>
      </c>
      <c r="J14" s="12" t="n">
        <f aca="false">ProfLoss!J21</f>
        <v>5556485.76289274</v>
      </c>
      <c r="K14" s="12" t="n">
        <f aca="false">SUM(D14:J14)</f>
        <v>30327231.6652924</v>
      </c>
    </row>
    <row r="15" customFormat="false" ht="23.85" hidden="false" customHeight="false" outlineLevel="0" collapsed="false">
      <c r="B15" s="19" t="s">
        <v>392</v>
      </c>
      <c r="C15" s="20" t="s">
        <v>388</v>
      </c>
      <c r="D15" s="12" t="n">
        <f aca="false">MAX(0,D22)</f>
        <v>0</v>
      </c>
      <c r="E15" s="12" t="n">
        <f aca="false">MAX(0,E22)</f>
        <v>0</v>
      </c>
      <c r="F15" s="12" t="n">
        <f aca="false">MAX(0,F22)</f>
        <v>0</v>
      </c>
      <c r="G15" s="12" t="n">
        <f aca="false">MAX(0,G22)</f>
        <v>0</v>
      </c>
      <c r="H15" s="12" t="n">
        <f aca="false">MAX(0,H22)</f>
        <v>0</v>
      </c>
      <c r="I15" s="12" t="n">
        <f aca="false">MAX(0,I22)</f>
        <v>0</v>
      </c>
      <c r="J15" s="12" t="n">
        <f aca="false">MAX(0,J22)</f>
        <v>0</v>
      </c>
      <c r="K15" s="12" t="n">
        <f aca="false">SUM(D15:J15)</f>
        <v>0</v>
      </c>
    </row>
    <row r="16" customFormat="false" ht="15" hidden="false" customHeight="false" outlineLevel="0" collapsed="false">
      <c r="B16" s="38" t="s">
        <v>393</v>
      </c>
      <c r="C16" s="63"/>
      <c r="D16" s="15" t="n">
        <f aca="false">D6+D13</f>
        <v>799093.613018361</v>
      </c>
      <c r="E16" s="15" t="n">
        <f aca="false">E6+E13</f>
        <v>4315356.16062709</v>
      </c>
      <c r="F16" s="15" t="n">
        <f aca="false">F6+F13</f>
        <v>5355871.02982192</v>
      </c>
      <c r="G16" s="15" t="n">
        <f aca="false">G6+G13</f>
        <v>5725090.16220971</v>
      </c>
      <c r="H16" s="15" t="n">
        <f aca="false">H6+H13</f>
        <v>5870482.74099592</v>
      </c>
      <c r="I16" s="15" t="n">
        <f aca="false">I6+I13</f>
        <v>6018968.97050037</v>
      </c>
      <c r="J16" s="15" t="n">
        <f aca="false">J6+J13</f>
        <v>6171489.3307068</v>
      </c>
      <c r="K16" s="15" t="n">
        <f aca="false">SUM(D16:J16)</f>
        <v>34256352.0078802</v>
      </c>
    </row>
    <row r="18" customFormat="false" ht="15" hidden="false" customHeight="false" outlineLevel="0" collapsed="false">
      <c r="B18" s="33" t="s">
        <v>394</v>
      </c>
    </row>
    <row r="19" customFormat="false" ht="15" hidden="false" customHeight="false" outlineLevel="0" collapsed="false">
      <c r="B19" s="19" t="s">
        <v>395</v>
      </c>
      <c r="C19" s="20"/>
      <c r="D19" s="12" t="n">
        <f aca="false">Исх_данные!$F$77</f>
        <v>0</v>
      </c>
      <c r="E19" s="12" t="n">
        <f aca="false">Исх_данные!$G$77</f>
        <v>0</v>
      </c>
      <c r="F19" s="12" t="n">
        <f aca="false">Исх_данные!$H$77</f>
        <v>0</v>
      </c>
      <c r="G19" s="12" t="n">
        <f aca="false">Исх_данные!$I$77</f>
        <v>0</v>
      </c>
      <c r="H19" s="12" t="n">
        <f aca="false">Исх_данные!$J$77</f>
        <v>0</v>
      </c>
      <c r="I19" s="12" t="n">
        <f aca="false">Исх_данные!$K$77</f>
        <v>0</v>
      </c>
      <c r="J19" s="12" t="n">
        <f aca="false">Исх_данные!$L$77</f>
        <v>0</v>
      </c>
      <c r="K19" s="12" t="n">
        <f aca="false">SUM(D19:J19)</f>
        <v>0</v>
      </c>
    </row>
    <row r="20" customFormat="false" ht="15" hidden="false" customHeight="false" outlineLevel="0" collapsed="false">
      <c r="B20" s="19" t="s">
        <v>396</v>
      </c>
      <c r="C20" s="20"/>
      <c r="D20" s="12" t="n">
        <f aca="false">Исх_данные!$F$78</f>
        <v>3507350.65348618</v>
      </c>
      <c r="E20" s="12" t="n">
        <f aca="false">Исх_данные!$G$78</f>
        <v>26814175.4597839</v>
      </c>
      <c r="F20" s="12" t="n">
        <f aca="false">Исх_данные!$H$78</f>
        <v>32950208.451616</v>
      </c>
      <c r="G20" s="12" t="n">
        <f aca="false">Исх_данные!$I$78</f>
        <v>33677556.6826697</v>
      </c>
      <c r="H20" s="12" t="n">
        <f aca="false">Исх_данные!$J$78</f>
        <v>34418462.9296884</v>
      </c>
      <c r="I20" s="12" t="n">
        <f aca="false">Исх_данные!$K$78</f>
        <v>35175669.1141416</v>
      </c>
      <c r="J20" s="12" t="n">
        <f aca="false">Исх_данные!$L$78</f>
        <v>35949533.8346527</v>
      </c>
      <c r="K20" s="12" t="n">
        <f aca="false">SUM(D20:J20)</f>
        <v>202492957.126039</v>
      </c>
    </row>
    <row r="21" customFormat="false" ht="15" hidden="false" customHeight="false" outlineLevel="0" collapsed="false">
      <c r="B21" s="19" t="s">
        <v>397</v>
      </c>
      <c r="C21" s="20"/>
      <c r="D21" s="12" t="n">
        <f aca="false">Исх_данные!$F$79+Исх_данные!$E$79</f>
        <v>5731360.52678572</v>
      </c>
      <c r="E21" s="12" t="n">
        <f aca="false">Исх_данные!$G$79</f>
        <v>57170.6785714286</v>
      </c>
      <c r="F21" s="12" t="n">
        <f aca="false">Исх_данные!$H$79</f>
        <v>57170.6785714286</v>
      </c>
      <c r="G21" s="12" t="n">
        <f aca="false">Исх_данные!$I$79</f>
        <v>57170.6785714286</v>
      </c>
      <c r="H21" s="12" t="n">
        <f aca="false">Исх_данные!$J$79</f>
        <v>57170.6785714286</v>
      </c>
      <c r="I21" s="12" t="n">
        <f aca="false">Исх_данные!$K$79</f>
        <v>57170.6785714286</v>
      </c>
      <c r="J21" s="12" t="n">
        <f aca="false">Исх_данные!$L$79</f>
        <v>57170.6785714286</v>
      </c>
      <c r="K21" s="12" t="n">
        <f aca="false">SUM(D21:J21)</f>
        <v>6074384.59821429</v>
      </c>
    </row>
    <row r="22" customFormat="false" ht="15" hidden="false" customHeight="false" outlineLevel="0" collapsed="false">
      <c r="B22" s="62" t="s">
        <v>398</v>
      </c>
      <c r="C22" s="20"/>
      <c r="D22" s="22" t="n">
        <f aca="false">D19-D20-D21</f>
        <v>-9238711.1802719</v>
      </c>
      <c r="E22" s="22" t="n">
        <f aca="false">E19-E20-E21</f>
        <v>-26871346.1383553</v>
      </c>
      <c r="F22" s="22" t="n">
        <f aca="false">F19-F20-F21</f>
        <v>-33007379.1301875</v>
      </c>
      <c r="G22" s="22" t="n">
        <f aca="false">G19-G20-G21</f>
        <v>-33734727.3612412</v>
      </c>
      <c r="H22" s="22" t="n">
        <f aca="false">H19-H20-H21</f>
        <v>-34475633.6082599</v>
      </c>
      <c r="I22" s="22" t="n">
        <f aca="false">I19-I20-I21</f>
        <v>-35232839.792713</v>
      </c>
      <c r="J22" s="22" t="n">
        <f aca="false">J19-J20-J21</f>
        <v>-36006704.5132242</v>
      </c>
      <c r="K22" s="22" t="n">
        <f aca="false">SUM(D22:J22)</f>
        <v>-208567341.724253</v>
      </c>
    </row>
    <row r="24" customFormat="false" ht="15" hidden="false" customHeight="false" outlineLevel="0" collapsed="false">
      <c r="B24" s="33" t="s">
        <v>399</v>
      </c>
    </row>
    <row r="25" customFormat="false" ht="15" hidden="false" customHeight="false" outlineLevel="0" collapsed="false">
      <c r="B25" s="19" t="s">
        <v>400</v>
      </c>
      <c r="C25" s="20"/>
      <c r="D25" s="12" t="n">
        <f aca="false">Исх_данные!$F$46</f>
        <v>3479824.16391176</v>
      </c>
      <c r="E25" s="12" t="n">
        <f aca="false">Исх_данные!$G$46</f>
        <v>23334371.3110157</v>
      </c>
      <c r="F25" s="12" t="n">
        <f aca="false">Исх_данные!$H$46</f>
        <v>30384446.9937185</v>
      </c>
      <c r="G25" s="12" t="n">
        <f aca="false">Исх_данные!$I$46</f>
        <v>33137370.915535</v>
      </c>
      <c r="H25" s="12" t="n">
        <f aca="false">Исх_данные!$J$46</f>
        <v>34397387.5710614</v>
      </c>
      <c r="I25" s="12" t="n">
        <f aca="false">Исх_данные!$K$46</f>
        <v>35678353.5458366</v>
      </c>
      <c r="J25" s="12" t="n">
        <f aca="false">Исх_данные!$L$46</f>
        <v>36944299.2318691</v>
      </c>
      <c r="K25" s="12" t="n">
        <f aca="false">SUM(D25:J25)</f>
        <v>197356053.732948</v>
      </c>
    </row>
    <row r="26" customFormat="false" ht="23.85" hidden="false" customHeight="false" outlineLevel="0" collapsed="false">
      <c r="B26" s="19" t="s">
        <v>401</v>
      </c>
      <c r="C26" s="20"/>
      <c r="D26" s="12" t="n">
        <f aca="false">Исх_данные!$F$47</f>
        <v>521973.624586764</v>
      </c>
      <c r="E26" s="12" t="n">
        <f aca="false">Исх_данные!$G$47</f>
        <v>3500155.69665235</v>
      </c>
      <c r="F26" s="12" t="n">
        <f aca="false">Исх_данные!$H$47</f>
        <v>4557667.04905778</v>
      </c>
      <c r="G26" s="12" t="n">
        <f aca="false">Исх_данные!$I$47</f>
        <v>4970605.63733025</v>
      </c>
      <c r="H26" s="12" t="n">
        <f aca="false">Исх_данные!$J$47</f>
        <v>5159608.13565922</v>
      </c>
      <c r="I26" s="12" t="n">
        <f aca="false">Исх_данные!$K$47</f>
        <v>5351753.0318755</v>
      </c>
      <c r="J26" s="12" t="n">
        <f aca="false">Исх_данные!$L$47</f>
        <v>5541644.88478037</v>
      </c>
      <c r="K26" s="12" t="n">
        <f aca="false">SUM(D26:J26)</f>
        <v>29603408.0599422</v>
      </c>
    </row>
    <row r="27" customFormat="false" ht="15" hidden="false" customHeight="false" outlineLevel="0" collapsed="false">
      <c r="B27" s="19" t="s">
        <v>402</v>
      </c>
      <c r="C27" s="20"/>
      <c r="D27" s="12" t="n">
        <f aca="false">ProfLoss!D20</f>
        <v>4078433.47586711</v>
      </c>
      <c r="E27" s="12" t="n">
        <f aca="false">ProfLoss!E20</f>
        <v>24551449.8455592</v>
      </c>
      <c r="F27" s="12" t="n">
        <f aca="false">ProfLoss!F20</f>
        <v>31513282.534646</v>
      </c>
      <c r="G27" s="12" t="n">
        <f aca="false">ProfLoss!G20</f>
        <v>33998969.6155962</v>
      </c>
      <c r="H27" s="12" t="n">
        <f aca="false">ProfLoss!H20</f>
        <v>34991749.4302566</v>
      </c>
      <c r="I27" s="12" t="n">
        <f aca="false">ProfLoss!I20</f>
        <v>36004421.1140726</v>
      </c>
      <c r="J27" s="12" t="n">
        <f aca="false">ProfLoss!J20</f>
        <v>37043238.419285</v>
      </c>
      <c r="K27" s="12" t="n">
        <f aca="false">SUM(D27:J27)</f>
        <v>202181544.435283</v>
      </c>
    </row>
    <row r="28" customFormat="false" ht="15" hidden="false" customHeight="false" outlineLevel="0" collapsed="false">
      <c r="B28" s="19" t="s">
        <v>403</v>
      </c>
      <c r="C28" s="20" t="s">
        <v>262</v>
      </c>
      <c r="D28" s="13" t="n">
        <f aca="false">Исх_данные!$F$25</f>
        <v>0.15</v>
      </c>
      <c r="E28" s="13" t="n">
        <f aca="false">Исх_данные!$G$25</f>
        <v>0.15</v>
      </c>
      <c r="F28" s="13" t="n">
        <f aca="false">Исх_данные!$H$25</f>
        <v>0.15</v>
      </c>
      <c r="G28" s="13" t="n">
        <f aca="false">Исх_данные!$I$25</f>
        <v>0.15</v>
      </c>
      <c r="H28" s="13" t="n">
        <f aca="false">Исх_данные!$J$25</f>
        <v>0.15</v>
      </c>
      <c r="I28" s="13" t="n">
        <f aca="false">Исх_данные!$K$25</f>
        <v>0.15</v>
      </c>
      <c r="J28" s="13" t="n">
        <f aca="false">Исх_данные!$L$25</f>
        <v>0.15</v>
      </c>
    </row>
    <row r="29" customFormat="false" ht="23.85" hidden="false" customHeight="false" outlineLevel="0" collapsed="false">
      <c r="B29" s="62" t="s">
        <v>404</v>
      </c>
      <c r="C29" s="20"/>
      <c r="D29" s="22" t="n">
        <f aca="false">D26+D28*(D27-D25)</f>
        <v>611765.021380067</v>
      </c>
      <c r="E29" s="22" t="n">
        <f aca="false">E26+E28*(E27-E25)</f>
        <v>3682717.47683389</v>
      </c>
      <c r="F29" s="22" t="n">
        <f aca="false">F26+F28*(F27-F25)</f>
        <v>4726992.38019689</v>
      </c>
      <c r="G29" s="22" t="n">
        <f aca="false">G26+G28*(G27-G25)</f>
        <v>5099845.44233943</v>
      </c>
      <c r="H29" s="22" t="n">
        <f aca="false">H26+H28*(H27-H25)</f>
        <v>5248762.4145385</v>
      </c>
      <c r="I29" s="22" t="n">
        <f aca="false">I26+I28*(I27-I25)</f>
        <v>5400663.16711089</v>
      </c>
      <c r="J29" s="22" t="n">
        <f aca="false">J26+J28*(J27-J25)</f>
        <v>5556485.76289274</v>
      </c>
      <c r="K29" s="22" t="n">
        <f aca="false">SUM(D29:J29)</f>
        <v>30327231.6652924</v>
      </c>
    </row>
    <row r="30" customFormat="false" ht="15" hidden="false" customHeight="false" outlineLevel="0" collapsed="false">
      <c r="B30" s="3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7" min="6" style="0" width="16"/>
    <col collapsed="false" customWidth="true" hidden="false" outlineLevel="0" max="8" min="8" style="0" width="12"/>
  </cols>
  <sheetData>
    <row r="2" customFormat="false" ht="15" hidden="false" customHeight="false" outlineLevel="0" collapsed="false">
      <c r="B2" s="2" t="s">
        <v>406</v>
      </c>
      <c r="H2" s="51" t="s">
        <v>407</v>
      </c>
    </row>
    <row r="3" customFormat="false" ht="15" hidden="false" customHeight="false" outlineLevel="0" collapsed="false">
      <c r="B3" s="52" t="s">
        <v>408</v>
      </c>
    </row>
    <row r="5" customFormat="false" ht="42" hidden="false" customHeight="true" outlineLevel="0" collapsed="false">
      <c r="B5" s="18" t="s">
        <v>409</v>
      </c>
      <c r="C5" s="18" t="s">
        <v>410</v>
      </c>
      <c r="D5" s="18" t="s">
        <v>411</v>
      </c>
      <c r="E5" s="18" t="s">
        <v>412</v>
      </c>
      <c r="F5" s="18" t="s">
        <v>413</v>
      </c>
      <c r="G5" s="18" t="s">
        <v>414</v>
      </c>
    </row>
    <row r="6" customFormat="false" ht="15" hidden="false" customHeight="false" outlineLevel="0" collapsed="false">
      <c r="B6" s="26" t="s">
        <v>415</v>
      </c>
      <c r="C6" s="22" t="n">
        <f aca="false">C7+C8</f>
        <v>265305737.441635</v>
      </c>
      <c r="D6" s="23" t="n">
        <f aca="false">IFERROR(F6/C6,0)</f>
        <v>0</v>
      </c>
      <c r="E6" s="23" t="n">
        <f aca="false">IFERROR(G6/C6,0)</f>
        <v>1</v>
      </c>
      <c r="F6" s="22" t="n">
        <f aca="false">F7+F8</f>
        <v>0</v>
      </c>
      <c r="G6" s="22" t="n">
        <f aca="false">G7+G8</f>
        <v>265305737.441635</v>
      </c>
    </row>
    <row r="7" customFormat="false" ht="15" hidden="false" customHeight="false" outlineLevel="0" collapsed="false">
      <c r="B7" s="6" t="s">
        <v>416</v>
      </c>
      <c r="C7" s="12" t="n">
        <f aca="false">F7+G7</f>
        <v>259500642.73225</v>
      </c>
      <c r="D7" s="13" t="n">
        <f aca="false">IFERROR(F7/C7,0)</f>
        <v>0</v>
      </c>
      <c r="E7" s="13" t="n">
        <f aca="false">IFERROR(G7/C7,0)</f>
        <v>1</v>
      </c>
      <c r="F7" s="12" t="s">
        <v>417</v>
      </c>
      <c r="G7" s="12" t="n">
        <f aca="false">Исх_данные!$H$123</f>
        <v>259500642.73225</v>
      </c>
    </row>
    <row r="8" customFormat="false" ht="15" hidden="false" customHeight="false" outlineLevel="0" collapsed="false">
      <c r="B8" s="6" t="s">
        <v>418</v>
      </c>
      <c r="C8" s="12" t="n">
        <f aca="false">F8+G8</f>
        <v>5805094.70938421</v>
      </c>
      <c r="D8" s="13" t="n">
        <f aca="false">IFERROR(F8/C8,0)</f>
        <v>0</v>
      </c>
      <c r="E8" s="13" t="n">
        <f aca="false">IFERROR(G8/C8,0)</f>
        <v>1</v>
      </c>
      <c r="F8" s="12" t="n">
        <f aca="false">(Исх_данные!$H$55+Исх_данные!$H$56)-(Исх_данные!$H$123)-(Исх_данные!$H$125+Исх_данные!$H$127+Исх_данные!$H$129+Исх_данные!$H$131+Исх_данные!$H$133+Исх_данные!$H$135+Исх_данные!$H$137+Исх_данные!$H$139+Исх_данные!$H$141+Исх_данные!$H$143+Исх_данные!$H$145)</f>
        <v>0</v>
      </c>
      <c r="G8" s="12" t="n">
        <f aca="false">Исх_данные!$H$125+Исх_данные!$H$127+Исх_данные!$H$129+Исх_данные!$H$131+Исх_данные!$H$133+Исх_данные!$H$135+Исх_данные!$H$137+Исх_данные!$H$139+Исх_данные!$H$141+Исх_данные!$H$143+Исх_данные!$H$145</f>
        <v>5805094.70938421</v>
      </c>
    </row>
    <row r="9" customFormat="false" ht="15" hidden="false" customHeight="false" outlineLevel="0" collapsed="false">
      <c r="B9" s="26" t="s">
        <v>419</v>
      </c>
      <c r="C9" s="12" t="n">
        <f aca="false">F9+G9</f>
        <v>2429940.25285387</v>
      </c>
      <c r="D9" s="13" t="n">
        <f aca="false">IFERROR(F9/C9,0)</f>
        <v>0.199270116540869</v>
      </c>
      <c r="E9" s="13" t="n">
        <f aca="false">IFERROR(G9/C9,0)</f>
        <v>0.800729883459131</v>
      </c>
      <c r="F9" s="12" t="n">
        <f aca="false">(Исх_данные!$H$57+Исх_данные!$H$58+Исх_данные!$H$59)-(Исх_данные!$H$147+Исх_данные!$H$149+Исх_данные!$H$151+Исх_данные!$H$153)</f>
        <v>484214.477373539</v>
      </c>
      <c r="G9" s="12" t="n">
        <f aca="false">Исх_данные!$H$147+Исх_данные!$H$149+Исх_данные!$H$151+Исх_данные!$H$153</f>
        <v>1945725.77548033</v>
      </c>
    </row>
    <row r="10" customFormat="false" ht="15" hidden="false" customHeight="false" outlineLevel="0" collapsed="false">
      <c r="B10" s="26" t="s">
        <v>420</v>
      </c>
      <c r="C10" s="12" t="n">
        <f aca="false">F10+G10</f>
        <v>1706938.18830986</v>
      </c>
      <c r="D10" s="13" t="n">
        <f aca="false">IFERROR(F10/C10,0)</f>
        <v>1</v>
      </c>
      <c r="E10" s="13" t="n">
        <f aca="false">IFERROR(G10/C10,0)</f>
        <v>0</v>
      </c>
      <c r="F10" s="12" t="n">
        <f aca="false">Исх_данные!$H$60+Исх_данные!$H$61</f>
        <v>1706938.18830986</v>
      </c>
      <c r="G10" s="12" t="s">
        <v>417</v>
      </c>
    </row>
    <row r="11" customFormat="false" ht="15" hidden="false" customHeight="false" outlineLevel="0" collapsed="false">
      <c r="B11" s="26" t="s">
        <v>421</v>
      </c>
      <c r="C11" s="12" t="n">
        <f aca="false">F11+G11</f>
        <v>366184.374857015</v>
      </c>
      <c r="D11" s="13" t="n">
        <f aca="false">IFERROR(F11/C11,0)</f>
        <v>1</v>
      </c>
      <c r="E11" s="13" t="n">
        <f aca="false">IFERROR(G11/C11,0)</f>
        <v>0</v>
      </c>
      <c r="F11" s="12" t="n">
        <f aca="false">Исх_данные!$H$69</f>
        <v>366184.374857015</v>
      </c>
      <c r="G11" s="12" t="s">
        <v>417</v>
      </c>
    </row>
    <row r="12" customFormat="false" ht="15" hidden="false" customHeight="false" outlineLevel="0" collapsed="false">
      <c r="B12" s="26" t="s">
        <v>422</v>
      </c>
      <c r="C12" s="12" t="n">
        <f aca="false">F12+G12</f>
        <v>945456.722527941</v>
      </c>
      <c r="D12" s="13" t="n">
        <f aca="false">IFERROR(F12/C12,0)</f>
        <v>1</v>
      </c>
      <c r="E12" s="13" t="n">
        <f aca="false">IFERROR(G12/C12,0)</f>
        <v>0</v>
      </c>
      <c r="F12" s="12" t="n">
        <f aca="false">Исх_данные!$H$63-(0)</f>
        <v>945456.722527941</v>
      </c>
      <c r="G12" s="12" t="s">
        <v>417</v>
      </c>
    </row>
    <row r="13" customFormat="false" ht="15" hidden="false" customHeight="false" outlineLevel="0" collapsed="false">
      <c r="B13" s="26" t="s">
        <v>423</v>
      </c>
      <c r="C13" s="12" t="n">
        <f aca="false">F13+G13</f>
        <v>617586.499460136</v>
      </c>
      <c r="D13" s="13" t="n">
        <f aca="false">IFERROR(F13/C13,0)</f>
        <v>1</v>
      </c>
      <c r="E13" s="13" t="n">
        <f aca="false">IFERROR(G13/C13,0)</f>
        <v>0</v>
      </c>
      <c r="F13" s="12" t="n">
        <f aca="false">Исх_данные!$H$64-(0)-Исх_данные!$H$66</f>
        <v>617586.499460136</v>
      </c>
      <c r="G13" s="12" t="s">
        <v>417</v>
      </c>
    </row>
    <row r="14" customFormat="false" ht="15" hidden="false" customHeight="false" outlineLevel="0" collapsed="false">
      <c r="B14" s="26" t="s">
        <v>314</v>
      </c>
      <c r="C14" s="12" t="n">
        <f aca="false">F14+G14</f>
        <v>0</v>
      </c>
      <c r="D14" s="13" t="n">
        <f aca="false">IFERROR(F14/C14,0)</f>
        <v>0</v>
      </c>
      <c r="E14" s="13" t="n">
        <f aca="false">IFERROR(G14/C14,0)</f>
        <v>0</v>
      </c>
      <c r="F14" s="12" t="s">
        <v>417</v>
      </c>
      <c r="G14" s="12" t="n">
        <f aca="false">Исх_данные!$H$66</f>
        <v>0</v>
      </c>
    </row>
    <row r="15" customFormat="false" ht="15" hidden="false" customHeight="false" outlineLevel="0" collapsed="false">
      <c r="B15" s="26" t="s">
        <v>424</v>
      </c>
      <c r="C15" s="12" t="n">
        <f aca="false">F15+G15</f>
        <v>3712123.43081877</v>
      </c>
      <c r="D15" s="13" t="n">
        <f aca="false">IFERROR(F15/C15,0)</f>
        <v>0.690069131941596</v>
      </c>
      <c r="E15" s="13" t="n">
        <f aca="false">IFERROR(G15/C15,0)</f>
        <v>0.309930868058404</v>
      </c>
      <c r="F15" s="12" t="n">
        <f aca="false">Исх_данные!$H$70</f>
        <v>2561621.79356517</v>
      </c>
      <c r="G15" s="12" t="n">
        <f aca="false">Исх_данные!$H$71-Исх_данные!$H$40</f>
        <v>1150501.6372536</v>
      </c>
    </row>
    <row r="16" customFormat="false" ht="15" hidden="false" customHeight="false" outlineLevel="0" collapsed="false">
      <c r="B16" s="26" t="s">
        <v>425</v>
      </c>
      <c r="C16" s="12" t="n">
        <f aca="false">F16+G16</f>
        <v>1574226.08283865</v>
      </c>
      <c r="D16" s="13" t="n">
        <f aca="false">IFERROR(F16/C16,0)</f>
        <v>0</v>
      </c>
      <c r="E16" s="13" t="n">
        <f aca="false">IFERROR(G16/C16,0)</f>
        <v>1</v>
      </c>
      <c r="F16" s="12" t="s">
        <v>417</v>
      </c>
      <c r="G16" s="12" t="n">
        <f aca="false">Исх_данные!$H$40</f>
        <v>1574226.08283865</v>
      </c>
    </row>
    <row r="17" customFormat="false" ht="15" hidden="false" customHeight="false" outlineLevel="0" collapsed="false">
      <c r="B17" s="26" t="s">
        <v>426</v>
      </c>
      <c r="C17" s="12" t="n">
        <f aca="false">F17+G17</f>
        <v>406758.375</v>
      </c>
      <c r="D17" s="13" t="n">
        <f aca="false">IFERROR(F17/C17,0)</f>
        <v>1</v>
      </c>
      <c r="E17" s="13" t="n">
        <f aca="false">IFERROR(G17/C17,0)</f>
        <v>0</v>
      </c>
      <c r="F17" s="12" t="n">
        <f aca="false">Исх_данные!$H$74+Исх_данные!$H$75</f>
        <v>406758.375</v>
      </c>
      <c r="G17" s="12" t="s">
        <v>417</v>
      </c>
    </row>
    <row r="18" customFormat="false" ht="15" hidden="false" customHeight="false" outlineLevel="0" collapsed="false">
      <c r="B18" s="26" t="s">
        <v>427</v>
      </c>
      <c r="C18" s="12" t="n">
        <f aca="false">F18+G18</f>
        <v>0</v>
      </c>
      <c r="D18" s="13" t="n">
        <f aca="false">IFERROR(F18/C18,0)</f>
        <v>0</v>
      </c>
      <c r="E18" s="13" t="n">
        <f aca="false">IFERROR(G18/C18,0)</f>
        <v>0</v>
      </c>
      <c r="F18" s="12" t="s">
        <v>417</v>
      </c>
      <c r="G18" s="12" t="n">
        <f aca="false">Исх_данные!$H$76</f>
        <v>0</v>
      </c>
    </row>
    <row r="19" customFormat="false" ht="15" hidden="false" customHeight="false" outlineLevel="0" collapsed="false">
      <c r="B19" s="26" t="s">
        <v>428</v>
      </c>
      <c r="C19" s="12" t="n">
        <f aca="false">F19+G19</f>
        <v>5533163.85986601</v>
      </c>
      <c r="D19" s="13" t="n">
        <f aca="false">IFERROR(F19/C19,0)</f>
        <v>0</v>
      </c>
      <c r="E19" s="13" t="n">
        <f aca="false">IFERROR(G19/C19,0)</f>
        <v>1</v>
      </c>
      <c r="F19" s="12" t="s">
        <v>417</v>
      </c>
      <c r="G19" s="12" t="n">
        <f aca="false">Исх_данные!$H$73</f>
        <v>5533163.85986601</v>
      </c>
    </row>
    <row r="20" customFormat="false" ht="15" hidden="false" customHeight="false" outlineLevel="0" collapsed="false">
      <c r="B20" s="26" t="s">
        <v>429</v>
      </c>
      <c r="C20" s="12" t="n">
        <f aca="false">F20+G20</f>
        <v>0</v>
      </c>
      <c r="D20" s="13" t="n">
        <f aca="false">IFERROR(F20/C20,0)</f>
        <v>0</v>
      </c>
      <c r="E20" s="13" t="n">
        <f aca="false">IFERROR(G20/C20,0)</f>
        <v>0</v>
      </c>
      <c r="F20" s="12" t="n">
        <f aca="false">Исх_данные!$H$43-Исх_данные!$H$42-Исх_данные!$H$74-Исх_данные!$H$75-Исх_данные!$H$76-Исх_данные!$H$73</f>
        <v>0</v>
      </c>
      <c r="G20" s="12" t="s">
        <v>417</v>
      </c>
    </row>
    <row r="21" customFormat="false" ht="15" hidden="false" customHeight="false" outlineLevel="0" collapsed="false">
      <c r="B21" s="26" t="s">
        <v>430</v>
      </c>
      <c r="C21" s="12" t="n">
        <f aca="false">F21+G21</f>
        <v>2593626.12717861</v>
      </c>
      <c r="D21" s="13" t="n">
        <f aca="false">IFERROR(F21/C21,0)</f>
        <v>1</v>
      </c>
      <c r="E21" s="13" t="n">
        <f aca="false">IFERROR(G21/C21,0)</f>
        <v>0</v>
      </c>
      <c r="F21" s="12" t="n">
        <f aca="false">Depreciate!I21</f>
        <v>2593626.12717861</v>
      </c>
      <c r="G21" s="12" t="s">
        <v>417</v>
      </c>
    </row>
    <row r="22" customFormat="false" ht="15" hidden="false" customHeight="false" outlineLevel="0" collapsed="false">
      <c r="B22" s="14" t="s">
        <v>431</v>
      </c>
      <c r="C22" s="15" t="n">
        <f aca="false">SUM(C6:C21)-C6</f>
        <v>285191741.355345</v>
      </c>
      <c r="D22" s="16" t="n">
        <f aca="false">IFERROR(F22/C22,0)</f>
        <v>0.0339504451014524</v>
      </c>
      <c r="E22" s="16" t="n">
        <f aca="false">IFERROR(G22/C22,0)</f>
        <v>0.966049554898548</v>
      </c>
      <c r="F22" s="15" t="n">
        <f aca="false">SUM(F6:F21)-F6</f>
        <v>9682386.55827227</v>
      </c>
      <c r="G22" s="15" t="n">
        <f aca="false">SUM(G6:G21)-G6</f>
        <v>275509354.797073</v>
      </c>
    </row>
    <row r="23" customFormat="false" ht="15" hidden="false" customHeight="false" outlineLevel="0" collapsed="false">
      <c r="B23" s="6" t="s">
        <v>432</v>
      </c>
      <c r="C23" s="12" t="n">
        <f aca="false">C22-C24</f>
        <v>24236645.2305089</v>
      </c>
    </row>
    <row r="24" customFormat="false" ht="15" hidden="false" customHeight="false" outlineLevel="0" collapsed="false">
      <c r="B24" s="6" t="s">
        <v>433</v>
      </c>
      <c r="C24" s="12" t="n">
        <f aca="false">Исх_данные!$H$52</f>
        <v>260955096.124836</v>
      </c>
    </row>
    <row r="26" customFormat="false" ht="15" hidden="false" customHeight="false" outlineLevel="0" collapsed="false">
      <c r="B26" s="6" t="s">
        <v>434</v>
      </c>
      <c r="C26" s="12" t="n">
        <f aca="false">SalePlan!F14</f>
        <v>314845216.567729</v>
      </c>
    </row>
    <row r="27" customFormat="false" ht="15" hidden="false" customHeight="false" outlineLevel="0" collapsed="false">
      <c r="B27" s="6" t="s">
        <v>435</v>
      </c>
      <c r="C27" s="68" t="n">
        <f aca="false">IFERROR(C22/C26,0)</f>
        <v>0.905815703552209</v>
      </c>
    </row>
    <row r="28" customFormat="false" ht="15" hidden="false" customHeight="false" outlineLevel="0" collapsed="false">
      <c r="B28" s="6" t="s">
        <v>436</v>
      </c>
      <c r="C28" s="12" t="n">
        <f aca="false">IFERROR(C22/ProdPlan!F13,0)</f>
        <v>107356.198515093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437</v>
      </c>
      <c r="K2" s="51" t="s">
        <v>438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9" t="s">
        <v>439</v>
      </c>
      <c r="C6" s="20" t="s">
        <v>262</v>
      </c>
      <c r="D6" s="13" t="n">
        <f aca="false">ProdPlan!D11</f>
        <v>0.101637492941841</v>
      </c>
      <c r="E6" s="13" t="n">
        <f aca="false">ProdPlan!E11</f>
        <v>0.829710144927536</v>
      </c>
      <c r="F6" s="13" t="n">
        <f aca="false">ProdPlan!F11</f>
        <v>1</v>
      </c>
      <c r="G6" s="13" t="n">
        <f aca="false">ProdPlan!G11</f>
        <v>1</v>
      </c>
      <c r="H6" s="13" t="n">
        <f aca="false">ProdPlan!H11</f>
        <v>1</v>
      </c>
      <c r="I6" s="13" t="n">
        <f aca="false">ProdPlan!I11</f>
        <v>1</v>
      </c>
      <c r="J6" s="13" t="n">
        <f aca="false">ProdPlan!J11</f>
        <v>1</v>
      </c>
      <c r="K6" s="13" t="n">
        <f aca="false">AVERAGE(D6:J6)</f>
        <v>0.847335376838483</v>
      </c>
    </row>
    <row r="8" customFormat="false" ht="15" hidden="false" customHeight="false" outlineLevel="0" collapsed="false">
      <c r="B8" s="33" t="s">
        <v>440</v>
      </c>
    </row>
    <row r="9" customFormat="false" ht="15" hidden="false" customHeight="false" outlineLevel="0" collapsed="false">
      <c r="B9" s="19" t="s">
        <v>441</v>
      </c>
      <c r="C9" s="20" t="s">
        <v>32</v>
      </c>
      <c r="D9" s="12" t="n">
        <f aca="false">Исх_данные!$F$55</f>
        <v>25462057.0615867</v>
      </c>
      <c r="E9" s="12" t="n">
        <f aca="false">Исх_данные!$G$55</f>
        <v>210675455.861217</v>
      </c>
      <c r="F9" s="12" t="n">
        <f aca="false">Исх_данные!$H$55</f>
        <v>259500642.73225</v>
      </c>
      <c r="G9" s="12" t="n">
        <f aca="false">Исх_данные!$I$55</f>
        <v>265209656.87236</v>
      </c>
      <c r="H9" s="12" t="n">
        <f aca="false">Исх_данные!$J$55</f>
        <v>271044269.323552</v>
      </c>
      <c r="I9" s="12" t="n">
        <f aca="false">Исх_данные!$K$55</f>
        <v>277007243.24867</v>
      </c>
      <c r="J9" s="12" t="n">
        <f aca="false">Исх_данные!$L$55</f>
        <v>283101402.600141</v>
      </c>
      <c r="K9" s="12" t="n">
        <f aca="false">SUM(D9:J9)</f>
        <v>1592000727.69978</v>
      </c>
    </row>
    <row r="10" customFormat="false" ht="15" hidden="false" customHeight="false" outlineLevel="0" collapsed="false">
      <c r="B10" s="19" t="s">
        <v>442</v>
      </c>
      <c r="C10" s="20" t="s">
        <v>32</v>
      </c>
      <c r="D10" s="12" t="n">
        <f aca="false">Исх_данные!$F$56</f>
        <v>569592.626754162</v>
      </c>
      <c r="E10" s="12" t="n">
        <f aca="false">Исх_данные!$G$56</f>
        <v>4712862.98692881</v>
      </c>
      <c r="F10" s="12" t="n">
        <f aca="false">Исх_данные!$H$56</f>
        <v>5805094.70938421</v>
      </c>
      <c r="G10" s="12" t="n">
        <f aca="false">Исх_данные!$I$56</f>
        <v>5932806.79299066</v>
      </c>
      <c r="H10" s="12" t="n">
        <f aca="false">Исх_данные!$J$56</f>
        <v>6063328.54243646</v>
      </c>
      <c r="I10" s="12" t="n">
        <f aca="false">Исх_данные!$K$56</f>
        <v>6196721.77037006</v>
      </c>
      <c r="J10" s="12" t="n">
        <f aca="false">Исх_данные!$L$56</f>
        <v>6333049.6493182</v>
      </c>
      <c r="K10" s="12" t="n">
        <f aca="false">SUM(D10:J10)</f>
        <v>35613457.0781826</v>
      </c>
    </row>
    <row r="11" customFormat="false" ht="15" hidden="false" customHeight="false" outlineLevel="0" collapsed="false">
      <c r="B11" s="19" t="s">
        <v>443</v>
      </c>
      <c r="C11" s="20" t="s">
        <v>32</v>
      </c>
      <c r="D11" s="12" t="n">
        <f aca="false">Исх_данные!$F$57</f>
        <v>149650.332211388</v>
      </c>
      <c r="E11" s="12" t="n">
        <f aca="false">Исх_данные!$G$57</f>
        <v>997808.6907449</v>
      </c>
      <c r="F11" s="12" t="n">
        <f aca="false">Исх_данные!$H$57</f>
        <v>1180595.18882465</v>
      </c>
      <c r="G11" s="12" t="n">
        <f aca="false">Исх_данные!$I$57</f>
        <v>1206568.28297879</v>
      </c>
      <c r="H11" s="12" t="n">
        <f aca="false">Исх_данные!$J$57</f>
        <v>1233112.78520432</v>
      </c>
      <c r="I11" s="12" t="n">
        <f aca="false">Исх_данные!$K$57</f>
        <v>1260241.26647882</v>
      </c>
      <c r="J11" s="12" t="n">
        <f aca="false">Исх_данные!$L$57</f>
        <v>1287966.57434135</v>
      </c>
      <c r="K11" s="12" t="n">
        <f aca="false">SUM(D11:J11)</f>
        <v>7315943.12078421</v>
      </c>
    </row>
    <row r="12" customFormat="false" ht="15" hidden="false" customHeight="false" outlineLevel="0" collapsed="false">
      <c r="B12" s="19" t="s">
        <v>444</v>
      </c>
      <c r="C12" s="20" t="s">
        <v>32</v>
      </c>
      <c r="D12" s="12" t="n">
        <f aca="false">Исх_данные!$F$58</f>
        <v>139941.219510979</v>
      </c>
      <c r="E12" s="12" t="n">
        <f aca="false">Исх_данные!$G$58</f>
        <v>933072.202100125</v>
      </c>
      <c r="F12" s="12" t="n">
        <f aca="false">Исх_данные!$H$58</f>
        <v>1103999.75751169</v>
      </c>
      <c r="G12" s="12" t="n">
        <f aca="false">Исх_данные!$I$58</f>
        <v>1128287.75217695</v>
      </c>
      <c r="H12" s="12" t="n">
        <f aca="false">Исх_данные!$J$58</f>
        <v>1153110.08272484</v>
      </c>
      <c r="I12" s="12" t="n">
        <f aca="false">Исх_данные!$K$58</f>
        <v>1178478.50454479</v>
      </c>
      <c r="J12" s="12" t="n">
        <f aca="false">Исх_данные!$L$58</f>
        <v>1204405.03164477</v>
      </c>
      <c r="K12" s="12" t="n">
        <f aca="false">SUM(D12:J12)</f>
        <v>6841294.55021413</v>
      </c>
    </row>
    <row r="13" customFormat="false" ht="15" hidden="false" customHeight="false" outlineLevel="0" collapsed="false">
      <c r="B13" s="19" t="s">
        <v>445</v>
      </c>
      <c r="C13" s="20" t="s">
        <v>32</v>
      </c>
      <c r="D13" s="12" t="n">
        <f aca="false">Исх_данные!$F$59</f>
        <v>18169.7691323263</v>
      </c>
      <c r="E13" s="12" t="n">
        <f aca="false">Исх_данные!$G$59</f>
        <v>122546.594959834</v>
      </c>
      <c r="F13" s="12" t="n">
        <f aca="false">Исх_данные!$H$59</f>
        <v>145345.306517534</v>
      </c>
      <c r="G13" s="12" t="n">
        <f aca="false">Исх_данные!$I$59</f>
        <v>148542.90326092</v>
      </c>
      <c r="H13" s="12" t="n">
        <f aca="false">Исх_данные!$J$59</f>
        <v>151810.84713266</v>
      </c>
      <c r="I13" s="12" t="n">
        <f aca="false">Исх_данные!$K$59</f>
        <v>155150.685769579</v>
      </c>
      <c r="J13" s="12" t="n">
        <f aca="false">Исх_данные!$L$59</f>
        <v>158564.00085651</v>
      </c>
      <c r="K13" s="12" t="n">
        <f aca="false">SUM(D13:J13)</f>
        <v>900130.107629364</v>
      </c>
    </row>
    <row r="14" customFormat="false" ht="15" hidden="false" customHeight="false" outlineLevel="0" collapsed="false">
      <c r="B14" s="19" t="s">
        <v>446</v>
      </c>
      <c r="C14" s="20" t="s">
        <v>32</v>
      </c>
      <c r="D14" s="12" t="n">
        <f aca="false">Исх_данные!$F$60</f>
        <v>361689.029259401</v>
      </c>
      <c r="E14" s="12" t="n">
        <f aca="false">Исх_данные!$G$60</f>
        <v>1491402.30419073</v>
      </c>
      <c r="F14" s="12" t="n">
        <f aca="false">Исх_данные!$H$60</f>
        <v>1524051.95384809</v>
      </c>
      <c r="G14" s="12" t="n">
        <f aca="false">Исх_данные!$I$60</f>
        <v>1557566.85400099</v>
      </c>
      <c r="H14" s="12" t="n">
        <f aca="false">Исх_данные!$J$60</f>
        <v>1591833.32478901</v>
      </c>
      <c r="I14" s="12" t="n">
        <f aca="false">Исх_данные!$K$60</f>
        <v>1626853.65793437</v>
      </c>
      <c r="J14" s="12" t="n">
        <f aca="false">Исх_данные!$L$60</f>
        <v>1662644.43840893</v>
      </c>
      <c r="K14" s="12" t="n">
        <f aca="false">SUM(D14:J14)</f>
        <v>9816041.56243151</v>
      </c>
    </row>
    <row r="15" customFormat="false" ht="15" hidden="false" customHeight="false" outlineLevel="0" collapsed="false">
      <c r="B15" s="19" t="s">
        <v>447</v>
      </c>
      <c r="C15" s="20" t="s">
        <v>32</v>
      </c>
      <c r="D15" s="12" t="n">
        <f aca="false">Исх_данные!$F$61</f>
        <v>43402.6835111281</v>
      </c>
      <c r="E15" s="12" t="n">
        <f aca="false">Исх_данные!$G$61</f>
        <v>178968.276502888</v>
      </c>
      <c r="F15" s="12" t="n">
        <f aca="false">Исх_данные!$H$61</f>
        <v>182886.234461771</v>
      </c>
      <c r="G15" s="12" t="n">
        <f aca="false">Исх_данные!$I$61</f>
        <v>186908.022480119</v>
      </c>
      <c r="H15" s="12" t="n">
        <f aca="false">Исх_данные!$J$61</f>
        <v>191019.998974681</v>
      </c>
      <c r="I15" s="12" t="n">
        <f aca="false">Исх_данные!$K$61</f>
        <v>195222.438952124</v>
      </c>
      <c r="J15" s="12" t="n">
        <f aca="false">Исх_данные!$L$61</f>
        <v>199517.332609071</v>
      </c>
      <c r="K15" s="12" t="n">
        <f aca="false">SUM(D15:J15)</f>
        <v>1177924.98749178</v>
      </c>
    </row>
    <row r="16" customFormat="false" ht="15" hidden="false" customHeight="false" outlineLevel="0" collapsed="false">
      <c r="B16" s="19" t="s">
        <v>448</v>
      </c>
      <c r="C16" s="20" t="s">
        <v>32</v>
      </c>
      <c r="D16" s="12" t="n">
        <f aca="false">Depreciate!$G$22</f>
        <v>620914.297791676</v>
      </c>
      <c r="E16" s="12" t="n">
        <f aca="false">Depreciate!$H$22</f>
        <v>2535269.60932147</v>
      </c>
      <c r="F16" s="12" t="n">
        <f aca="false">Depreciate!$I$22</f>
        <v>2582911.84146432</v>
      </c>
      <c r="G16" s="12" t="n">
        <f aca="false">Depreciate!$J$22</f>
        <v>2630554.07360718</v>
      </c>
      <c r="H16" s="12" t="n">
        <f aca="false">Depreciate!$K$22</f>
        <v>2678196.30575004</v>
      </c>
      <c r="I16" s="12" t="n">
        <f aca="false">Depreciate!$L$22</f>
        <v>2725838.5378929</v>
      </c>
      <c r="J16" s="12" t="n">
        <f aca="false">Depreciate!$M$22</f>
        <v>2773480.77003575</v>
      </c>
      <c r="K16" s="12" t="n">
        <f aca="false">SUM(D16:J16)</f>
        <v>16547165.4358633</v>
      </c>
    </row>
    <row r="17" customFormat="false" ht="15" hidden="false" customHeight="false" outlineLevel="0" collapsed="false">
      <c r="B17" s="19" t="s">
        <v>449</v>
      </c>
      <c r="C17" s="20" t="s">
        <v>32</v>
      </c>
      <c r="D17" s="12" t="n">
        <f aca="false">Исх_данные!$F$63</f>
        <v>92767.6816704678</v>
      </c>
      <c r="E17" s="12" t="n">
        <f aca="false">Исх_данные!$G$63</f>
        <v>767568.526684317</v>
      </c>
      <c r="F17" s="12" t="n">
        <f aca="false">Исх_данные!$H$63</f>
        <v>945456.722527941</v>
      </c>
      <c r="G17" s="12" t="n">
        <f aca="false">Исх_данные!$I$63</f>
        <v>966256.770423556</v>
      </c>
      <c r="H17" s="12" t="n">
        <f aca="false">Исх_данные!$J$63</f>
        <v>987514.419372874</v>
      </c>
      <c r="I17" s="12" t="n">
        <f aca="false">Исх_данные!$K$63</f>
        <v>1009239.73659908</v>
      </c>
      <c r="J17" s="12" t="n">
        <f aca="false">Исх_данные!$L$63</f>
        <v>1031443.01080426</v>
      </c>
      <c r="K17" s="12" t="n">
        <f aca="false">SUM(D17:J17)</f>
        <v>5800246.86808249</v>
      </c>
    </row>
    <row r="18" customFormat="false" ht="15" hidden="false" customHeight="false" outlineLevel="0" collapsed="false">
      <c r="B18" s="19" t="s">
        <v>450</v>
      </c>
      <c r="C18" s="20" t="s">
        <v>32</v>
      </c>
      <c r="D18" s="12" t="n">
        <f aca="false">Исх_данные!$F$64-Исх_данные!$F$66</f>
        <v>60597.2398532533</v>
      </c>
      <c r="E18" s="12" t="n">
        <f aca="false">Исх_данные!$G$64-Исх_данные!$G$66</f>
        <v>501387.264160821</v>
      </c>
      <c r="F18" s="12" t="n">
        <f aca="false">Исх_данные!$H$64-Исх_данные!$H$66</f>
        <v>617586.499460136</v>
      </c>
      <c r="G18" s="12" t="n">
        <f aca="false">Исх_данные!$I$64-Исх_данные!$I$66</f>
        <v>631173.402448259</v>
      </c>
      <c r="H18" s="12" t="n">
        <f aca="false">Исх_данные!$J$64-Исх_данные!$J$66</f>
        <v>645059.21730212</v>
      </c>
      <c r="I18" s="12" t="n">
        <f aca="false">Исх_данные!$K$64-Исх_данные!$K$66</f>
        <v>659250.520082767</v>
      </c>
      <c r="J18" s="12" t="n">
        <f aca="false">Исх_данные!$L$64-Исх_данные!$L$66</f>
        <v>673754.031524588</v>
      </c>
      <c r="K18" s="12" t="n">
        <f aca="false">SUM(D18:J18)</f>
        <v>3788808.17483194</v>
      </c>
    </row>
    <row r="19" customFormat="false" ht="15" hidden="false" customHeight="false" outlineLevel="0" collapsed="false">
      <c r="B19" s="19" t="s">
        <v>451</v>
      </c>
      <c r="C19" s="20" t="s">
        <v>32</v>
      </c>
      <c r="D19" s="12" t="n">
        <f aca="false">Исх_данные!$F$66</f>
        <v>0</v>
      </c>
      <c r="E19" s="12" t="n">
        <f aca="false">Исх_данные!$G$66</f>
        <v>0</v>
      </c>
      <c r="F19" s="12" t="n">
        <f aca="false">Исх_данные!$H$66</f>
        <v>0</v>
      </c>
      <c r="G19" s="12" t="n">
        <f aca="false">Исх_данные!$I$66</f>
        <v>0</v>
      </c>
      <c r="H19" s="12" t="n">
        <f aca="false">Исх_данные!$J$66</f>
        <v>0</v>
      </c>
      <c r="I19" s="12" t="n">
        <f aca="false">Исх_данные!$K$66</f>
        <v>0</v>
      </c>
      <c r="J19" s="12" t="n">
        <f aca="false">Исх_данные!$L$66</f>
        <v>0</v>
      </c>
      <c r="K19" s="12" t="n">
        <f aca="false">SUM(D19:J19)</f>
        <v>0</v>
      </c>
    </row>
    <row r="20" customFormat="false" ht="15" hidden="false" customHeight="false" outlineLevel="0" collapsed="false">
      <c r="B20" s="69" t="s">
        <v>452</v>
      </c>
      <c r="C20" s="59" t="s">
        <v>32</v>
      </c>
      <c r="D20" s="48" t="n">
        <f aca="false">SUM(D9:D19)</f>
        <v>27518781.9412815</v>
      </c>
      <c r="E20" s="48" t="n">
        <f aca="false">SUM(E9:E19)</f>
        <v>222916342.316811</v>
      </c>
      <c r="F20" s="48" t="n">
        <f aca="false">SUM(F9:F19)</f>
        <v>273588570.946251</v>
      </c>
      <c r="G20" s="48" t="n">
        <f aca="false">SUM(G9:G19)</f>
        <v>279598321.726727</v>
      </c>
      <c r="H20" s="48" t="n">
        <f aca="false">SUM(H9:H19)</f>
        <v>285739254.847239</v>
      </c>
      <c r="I20" s="48" t="n">
        <f aca="false">SUM(I9:I19)</f>
        <v>292014240.367294</v>
      </c>
      <c r="J20" s="48" t="n">
        <f aca="false">SUM(J9:J19)</f>
        <v>298426227.439684</v>
      </c>
      <c r="K20" s="48" t="n">
        <f aca="false">SUM(D20:J20)</f>
        <v>1679801739.58529</v>
      </c>
    </row>
    <row r="21" customFormat="false" ht="15" hidden="false" customHeight="false" outlineLevel="0" collapsed="false">
      <c r="B21" s="19" t="s">
        <v>453</v>
      </c>
      <c r="C21" s="20" t="s">
        <v>32</v>
      </c>
      <c r="D21" s="12" t="n">
        <f aca="false">Исх_данные!$F$38-Исх_данные!$F$65-Исх_данные!$F$51</f>
        <v>-6425081.90462449</v>
      </c>
      <c r="E21" s="12" t="n">
        <f aca="false">Исх_данные!$G$38-Исх_данные!$G$65-Исх_данные!$G$51</f>
        <v>-5650593.31222437</v>
      </c>
      <c r="F21" s="12" t="n">
        <f aca="false">Исх_данные!$H$38-Исх_данные!$H$65-Исх_данные!$H$51</f>
        <v>-2773949.93957783</v>
      </c>
      <c r="G21" s="12" t="n">
        <f aca="false">Исх_данные!$I$38-Исх_данные!$I$65-Исх_данные!$I$51</f>
        <v>-326690.879360625</v>
      </c>
      <c r="H21" s="12" t="n">
        <f aca="false">Исх_данные!$J$38-Исх_данные!$J$65-Исх_данные!$J$51</f>
        <v>-333878.952787467</v>
      </c>
      <c r="I21" s="12" t="n">
        <f aca="false">Исх_данные!$K$38-Исх_данные!$K$65-Исх_данные!$K$51</f>
        <v>-341224.289748737</v>
      </c>
      <c r="J21" s="12" t="n">
        <f aca="false">Исх_данные!$L$38-Исх_данные!$L$65-Исх_данные!$L$51</f>
        <v>-348731.224123188</v>
      </c>
      <c r="K21" s="12" t="n">
        <f aca="false">SUM(D21:J21)</f>
        <v>-16200150.5024467</v>
      </c>
    </row>
    <row r="22" customFormat="false" ht="15" hidden="false" customHeight="false" outlineLevel="0" collapsed="false">
      <c r="B22" s="69" t="s">
        <v>454</v>
      </c>
      <c r="C22" s="59" t="s">
        <v>32</v>
      </c>
      <c r="D22" s="48" t="n">
        <f aca="false">D20+D21</f>
        <v>21093700.036657</v>
      </c>
      <c r="E22" s="48" t="n">
        <f aca="false">E20+E21</f>
        <v>217265749.004587</v>
      </c>
      <c r="F22" s="48" t="n">
        <f aca="false">F20+F21</f>
        <v>270814621.006673</v>
      </c>
      <c r="G22" s="48" t="n">
        <f aca="false">G20+G21</f>
        <v>279271630.847367</v>
      </c>
      <c r="H22" s="48" t="n">
        <f aca="false">H20+H21</f>
        <v>285405375.894451</v>
      </c>
      <c r="I22" s="48" t="n">
        <f aca="false">I20+I21</f>
        <v>291673016.077546</v>
      </c>
      <c r="J22" s="48" t="n">
        <f aca="false">J20+J21</f>
        <v>298077496.215561</v>
      </c>
      <c r="K22" s="48" t="n">
        <f aca="false">SUM(D22:J22)</f>
        <v>1663601589.08284</v>
      </c>
    </row>
    <row r="23" customFormat="false" ht="15" hidden="false" customHeight="false" outlineLevel="0" collapsed="false">
      <c r="B23" s="19" t="s">
        <v>455</v>
      </c>
      <c r="C23" s="20" t="s">
        <v>32</v>
      </c>
      <c r="D23" s="12" t="n">
        <f aca="false">D22*MIN(1,IFERROR(Исх_данные!$F$52/(D20-D16),0))</f>
        <v>20083620.0616148</v>
      </c>
      <c r="E23" s="12" t="n">
        <f aca="false">E22*MIN(1,IFERROR(Исх_данные!$G$52/(E20-E16),0))</f>
        <v>208886891.028481</v>
      </c>
      <c r="F23" s="12" t="n">
        <f aca="false">F22*MIN(1,IFERROR(Исх_данные!$H$52/(F20-F16),0))</f>
        <v>260771142.898836</v>
      </c>
      <c r="G23" s="12" t="n">
        <f aca="false">G22*MIN(1,IFERROR(Исх_данные!$I$52/(G20-G16),0))</f>
        <v>268882462.667563</v>
      </c>
      <c r="H23" s="12" t="n">
        <f aca="false">H22*MIN(1,IFERROR(Исх_данные!$J$52/(H20-H16),0))</f>
        <v>274755960.337592</v>
      </c>
      <c r="I23" s="12" t="n">
        <f aca="false">I22*MIN(1,IFERROR(Исх_данные!$K$52/(I20-I16),0))</f>
        <v>280757669.167197</v>
      </c>
      <c r="J23" s="12" t="n">
        <f aca="false">J22*MIN(1,IFERROR(Исх_данные!$L$52/(J20-J16),0))</f>
        <v>286890409.252092</v>
      </c>
      <c r="K23" s="12" t="n">
        <f aca="false">SUM(D23:J23)</f>
        <v>1601028155.41338</v>
      </c>
    </row>
    <row r="24" customFormat="false" ht="15" hidden="false" customHeight="false" outlineLevel="0" collapsed="false">
      <c r="B24" s="19" t="s">
        <v>456</v>
      </c>
      <c r="C24" s="20" t="s">
        <v>32</v>
      </c>
      <c r="D24" s="12" t="n">
        <f aca="false">D22-D23</f>
        <v>1010079.97504218</v>
      </c>
      <c r="E24" s="12" t="n">
        <f aca="false">E22-E23</f>
        <v>8378857.97610557</v>
      </c>
      <c r="F24" s="12" t="n">
        <f aca="false">F22-F23</f>
        <v>10043478.107837</v>
      </c>
      <c r="G24" s="12" t="n">
        <f aca="false">G22-G23</f>
        <v>10389168.179804</v>
      </c>
      <c r="H24" s="12" t="n">
        <f aca="false">H22-H23</f>
        <v>10649415.5568596</v>
      </c>
      <c r="I24" s="12" t="n">
        <f aca="false">I22-I23</f>
        <v>10915346.9103482</v>
      </c>
      <c r="J24" s="12" t="n">
        <f aca="false">J22-J23</f>
        <v>11187086.9634693</v>
      </c>
      <c r="K24" s="12" t="n">
        <f aca="false">SUM(D24:J24)</f>
        <v>62573433.6694658</v>
      </c>
    </row>
    <row r="26" customFormat="false" ht="15" hidden="false" customHeight="false" outlineLevel="0" collapsed="false">
      <c r="B26" s="33" t="s">
        <v>457</v>
      </c>
    </row>
    <row r="27" customFormat="false" ht="15" hidden="false" customHeight="false" outlineLevel="0" collapsed="false">
      <c r="B27" s="19" t="s">
        <v>458</v>
      </c>
      <c r="C27" s="20" t="s">
        <v>32</v>
      </c>
      <c r="D27" s="12" t="n">
        <f aca="false">Исх_данные!$F$69</f>
        <v>352796.225853555</v>
      </c>
      <c r="E27" s="12" t="n">
        <f aca="false">Исх_данные!$G$69</f>
        <v>358339.634709611</v>
      </c>
      <c r="F27" s="12" t="n">
        <f aca="false">Исх_данные!$H$69</f>
        <v>366184.374857015</v>
      </c>
      <c r="G27" s="12" t="n">
        <f aca="false">Исх_данные!$I$69</f>
        <v>374237.008974832</v>
      </c>
      <c r="H27" s="12" t="n">
        <f aca="false">Исх_данные!$J$69</f>
        <v>382470.223172278</v>
      </c>
      <c r="I27" s="12" t="n">
        <f aca="false">Исх_данные!$K$69</f>
        <v>390884.568082069</v>
      </c>
      <c r="J27" s="12" t="n">
        <f aca="false">Исх_данные!$L$69</f>
        <v>399484.028579874</v>
      </c>
      <c r="K27" s="12" t="n">
        <f aca="false">SUM(D27:J27)</f>
        <v>2624396.06422923</v>
      </c>
    </row>
    <row r="28" customFormat="false" ht="15" hidden="false" customHeight="false" outlineLevel="0" collapsed="false">
      <c r="B28" s="19" t="s">
        <v>459</v>
      </c>
      <c r="C28" s="20" t="s">
        <v>32</v>
      </c>
      <c r="D28" s="12" t="n">
        <f aca="false">Depreciate!$G$23</f>
        <v>2678.57142857143</v>
      </c>
      <c r="E28" s="12" t="n">
        <f aca="false">Depreciate!$H$23</f>
        <v>10714.2857142857</v>
      </c>
      <c r="F28" s="12" t="n">
        <f aca="false">Depreciate!$I$23</f>
        <v>10714.2857142857</v>
      </c>
      <c r="G28" s="12" t="n">
        <f aca="false">Depreciate!$J$23</f>
        <v>10714.2857142857</v>
      </c>
      <c r="H28" s="12" t="n">
        <f aca="false">Depreciate!$K$23</f>
        <v>10714.2857142857</v>
      </c>
      <c r="I28" s="12" t="n">
        <f aca="false">Depreciate!$L$23</f>
        <v>8035.71428571429</v>
      </c>
      <c r="J28" s="12" t="n">
        <f aca="false">Depreciate!$M$23</f>
        <v>0</v>
      </c>
      <c r="K28" s="12" t="n">
        <f aca="false">SUM(D28:J28)</f>
        <v>53571.4285714286</v>
      </c>
    </row>
    <row r="29" customFormat="false" ht="23.85" hidden="false" customHeight="false" outlineLevel="0" collapsed="false">
      <c r="B29" s="19" t="s">
        <v>460</v>
      </c>
      <c r="C29" s="20" t="s">
        <v>32</v>
      </c>
      <c r="D29" s="12" t="n">
        <f aca="false">Исх_данные!$F$41-Исх_данные!$F$69-Исх_данные!$F$72</f>
        <v>2590303.19664062</v>
      </c>
      <c r="E29" s="12" t="n">
        <f aca="false">Исх_данные!$G$41-Исх_данные!$G$69-Исх_данные!$G$72</f>
        <v>3475906.66142137</v>
      </c>
      <c r="F29" s="12" t="n">
        <f aca="false">Исх_данные!$H$41-Исх_данные!$H$69-Исх_данные!$H$72</f>
        <v>3712123.43081877</v>
      </c>
      <c r="G29" s="12" t="n">
        <f aca="false">Исх_данные!$I$41-Исх_данные!$I$69-Исх_данные!$I$72</f>
        <v>3793788.55109963</v>
      </c>
      <c r="H29" s="12" t="n">
        <f aca="false">Исх_данные!$J$41-Исх_данные!$J$69-Исх_данные!$J$72</f>
        <v>3877251.8992238</v>
      </c>
      <c r="I29" s="12" t="n">
        <f aca="false">Исх_данные!$K$41-Исх_данные!$K$69-Исх_данные!$K$72</f>
        <v>3962551.44100674</v>
      </c>
      <c r="J29" s="12" t="n">
        <f aca="false">Исх_данные!$L$41-Исх_данные!$L$69-Исх_данные!$L$72</f>
        <v>4049727.57270889</v>
      </c>
      <c r="K29" s="12" t="n">
        <f aca="false">SUM(D29:J29)</f>
        <v>25461652.7529198</v>
      </c>
    </row>
    <row r="30" customFormat="false" ht="15" hidden="false" customHeight="false" outlineLevel="0" collapsed="false">
      <c r="B30" s="19" t="s">
        <v>461</v>
      </c>
      <c r="C30" s="20" t="s">
        <v>32</v>
      </c>
      <c r="D30" s="12" t="n">
        <f aca="false">Исх_данные!$F$40</f>
        <v>144842.98502496</v>
      </c>
      <c r="E30" s="12" t="n">
        <f aca="false">Исх_данные!$G$40</f>
        <v>1264853.37664797</v>
      </c>
      <c r="F30" s="12" t="n">
        <f aca="false">Исх_данные!$H$40</f>
        <v>1574226.08283865</v>
      </c>
      <c r="G30" s="12" t="n">
        <f aca="false">Исх_данные!$I$40</f>
        <v>1629224.36117579</v>
      </c>
      <c r="H30" s="12" t="n">
        <f aca="false">Исх_данные!$J$40</f>
        <v>1665067.29712166</v>
      </c>
      <c r="I30" s="12" t="n">
        <f aca="false">Исх_данные!$K$40</f>
        <v>1701698.77765834</v>
      </c>
      <c r="J30" s="12" t="n">
        <f aca="false">Исх_данные!$L$40</f>
        <v>1739136.15076682</v>
      </c>
      <c r="K30" s="12" t="n">
        <f aca="false">SUM(D30:J30)</f>
        <v>9719049.03123418</v>
      </c>
    </row>
    <row r="31" customFormat="false" ht="15" hidden="false" customHeight="false" outlineLevel="0" collapsed="false">
      <c r="B31" s="69" t="s">
        <v>462</v>
      </c>
      <c r="C31" s="59" t="s">
        <v>32</v>
      </c>
      <c r="D31" s="48" t="n">
        <f aca="false">SUM(D27:D30)</f>
        <v>3090620.97894771</v>
      </c>
      <c r="E31" s="48" t="n">
        <f aca="false">SUM(E27:E30)</f>
        <v>5109813.95849323</v>
      </c>
      <c r="F31" s="48" t="n">
        <f aca="false">SUM(F27:F30)</f>
        <v>5663248.17422871</v>
      </c>
      <c r="G31" s="48" t="n">
        <f aca="false">SUM(G27:G30)</f>
        <v>5807964.20696454</v>
      </c>
      <c r="H31" s="48" t="n">
        <f aca="false">SUM(H27:H30)</f>
        <v>5935503.70523203</v>
      </c>
      <c r="I31" s="48" t="n">
        <f aca="false">SUM(I27:I30)</f>
        <v>6063170.50103286</v>
      </c>
      <c r="J31" s="48" t="n">
        <f aca="false">SUM(J27:J30)</f>
        <v>6188347.75205558</v>
      </c>
      <c r="K31" s="48" t="n">
        <f aca="false">SUM(D31:J31)</f>
        <v>37858669.2769547</v>
      </c>
    </row>
    <row r="33" customFormat="false" ht="15" hidden="false" customHeight="false" outlineLevel="0" collapsed="false">
      <c r="B33" s="33" t="s">
        <v>463</v>
      </c>
    </row>
    <row r="34" customFormat="false" ht="15" hidden="false" customHeight="false" outlineLevel="0" collapsed="false">
      <c r="B34" s="19" t="s">
        <v>382</v>
      </c>
      <c r="C34" s="20" t="s">
        <v>32</v>
      </c>
      <c r="D34" s="12" t="n">
        <f aca="false">Исх_данные!$F$74</f>
        <v>106126.3125</v>
      </c>
      <c r="E34" s="12" t="n">
        <f aca="false">Исх_данные!$G$74</f>
        <v>415276.875</v>
      </c>
      <c r="F34" s="12" t="n">
        <f aca="false">Исх_данные!$H$74</f>
        <v>406758.375</v>
      </c>
      <c r="G34" s="12" t="n">
        <f aca="false">Исх_данные!$I$74</f>
        <v>398239.875</v>
      </c>
      <c r="H34" s="12" t="n">
        <f aca="false">Исх_данные!$J$74</f>
        <v>389721.375</v>
      </c>
      <c r="I34" s="12" t="n">
        <f aca="false">Исх_данные!$K$74</f>
        <v>381202.875</v>
      </c>
      <c r="J34" s="12" t="n">
        <f aca="false">Исх_данные!$L$74</f>
        <v>372684.375</v>
      </c>
      <c r="K34" s="12" t="n">
        <f aca="false">SUM(D34:J34)</f>
        <v>2470010.0625</v>
      </c>
    </row>
    <row r="35" customFormat="false" ht="15" hidden="false" customHeight="false" outlineLevel="0" collapsed="false">
      <c r="B35" s="19" t="s">
        <v>384</v>
      </c>
      <c r="C35" s="20" t="s">
        <v>32</v>
      </c>
      <c r="D35" s="12" t="n">
        <f aca="false">Исх_данные!$F$75</f>
        <v>0</v>
      </c>
      <c r="E35" s="12" t="n">
        <f aca="false">Исх_данные!$G$75</f>
        <v>0</v>
      </c>
      <c r="F35" s="12" t="n">
        <f aca="false">Исх_данные!$H$75</f>
        <v>0</v>
      </c>
      <c r="G35" s="12" t="n">
        <f aca="false">Исх_данные!$I$75</f>
        <v>0</v>
      </c>
      <c r="H35" s="12" t="n">
        <f aca="false">Исх_данные!$J$75</f>
        <v>0</v>
      </c>
      <c r="I35" s="12" t="n">
        <f aca="false">Исх_данные!$K$75</f>
        <v>0</v>
      </c>
      <c r="J35" s="12" t="n">
        <f aca="false">Исх_данные!$L$75</f>
        <v>0</v>
      </c>
      <c r="K35" s="12" t="n">
        <f aca="false">SUM(D35:J35)</f>
        <v>0</v>
      </c>
    </row>
    <row r="36" customFormat="false" ht="15" hidden="false" customHeight="false" outlineLevel="0" collapsed="false">
      <c r="B36" s="19" t="s">
        <v>385</v>
      </c>
      <c r="C36" s="20" t="s">
        <v>32</v>
      </c>
      <c r="D36" s="12" t="n">
        <f aca="false">Исх_данные!$F$76</f>
        <v>0</v>
      </c>
      <c r="E36" s="12" t="n">
        <f aca="false">Исх_данные!$G$76</f>
        <v>0</v>
      </c>
      <c r="F36" s="12" t="n">
        <f aca="false">Исх_данные!$H$76</f>
        <v>0</v>
      </c>
      <c r="G36" s="12" t="n">
        <f aca="false">Исх_данные!$I$76</f>
        <v>0</v>
      </c>
      <c r="H36" s="12" t="n">
        <f aca="false">Исх_данные!$J$76</f>
        <v>0</v>
      </c>
      <c r="I36" s="12" t="n">
        <f aca="false">Исх_данные!$K$76</f>
        <v>0</v>
      </c>
      <c r="J36" s="12" t="n">
        <f aca="false">Исх_данные!$L$76</f>
        <v>0</v>
      </c>
      <c r="K36" s="12" t="n">
        <f aca="false">SUM(D36:J36)</f>
        <v>0</v>
      </c>
    </row>
    <row r="37" customFormat="false" ht="15" hidden="false" customHeight="false" outlineLevel="0" collapsed="false">
      <c r="B37" s="19" t="s">
        <v>464</v>
      </c>
      <c r="C37" s="20" t="s">
        <v>32</v>
      </c>
      <c r="D37" s="12" t="n">
        <f aca="false">Исх_данные!$F$73</f>
        <v>599716.201020179</v>
      </c>
      <c r="E37" s="12" t="n">
        <f aca="false">Исх_данные!$G$73</f>
        <v>4509603.44760537</v>
      </c>
      <c r="F37" s="12" t="n">
        <f aca="false">Исх_данные!$H$73</f>
        <v>5533163.85986601</v>
      </c>
      <c r="G37" s="12" t="n">
        <f aca="false">Исх_данные!$I$73</f>
        <v>5655300.35148741</v>
      </c>
      <c r="H37" s="12" t="n">
        <f aca="false">Исх_данные!$J$73</f>
        <v>5779716.95922013</v>
      </c>
      <c r="I37" s="12" t="n">
        <f aca="false">Исх_данные!$K$73</f>
        <v>5906870.73232297</v>
      </c>
      <c r="J37" s="12" t="n">
        <f aca="false">Исх_данные!$L$73</f>
        <v>6036821.88843408</v>
      </c>
      <c r="K37" s="12" t="n">
        <f aca="false">SUM(D37:J37)</f>
        <v>34021193.4399562</v>
      </c>
    </row>
    <row r="38" customFormat="false" ht="15" hidden="false" customHeight="false" outlineLevel="0" collapsed="false">
      <c r="B38" s="19" t="s">
        <v>465</v>
      </c>
      <c r="C38" s="20" t="s">
        <v>32</v>
      </c>
      <c r="D38" s="12" t="n">
        <f aca="false">Исх_данные!$F$43-Исх_данные!$F$42-D34-D35-D36-D37</f>
        <v>0</v>
      </c>
      <c r="E38" s="12" t="n">
        <f aca="false">Исх_данные!$G$43-Исх_данные!$G$42-E34-E35-E36-E37</f>
        <v>0</v>
      </c>
      <c r="F38" s="12" t="n">
        <f aca="false">Исх_данные!$H$43-Исх_данные!$H$42-F34-F35-F36-F37</f>
        <v>0</v>
      </c>
      <c r="G38" s="12" t="n">
        <f aca="false">Исх_данные!$I$43-Исх_данные!$I$42-G34-G35-G36-G37</f>
        <v>0</v>
      </c>
      <c r="H38" s="12" t="n">
        <f aca="false">Исх_данные!$J$43-Исх_данные!$J$42-H34-H35-H36-H37</f>
        <v>0</v>
      </c>
      <c r="I38" s="12" t="n">
        <f aca="false">Исх_данные!$K$43-Исх_данные!$K$42-I34-I35-I36-I37</f>
        <v>0</v>
      </c>
      <c r="J38" s="12" t="n">
        <f aca="false">Исх_данные!$L$43-Исх_данные!$L$42-J34-J35-J36-J37</f>
        <v>0</v>
      </c>
      <c r="K38" s="12" t="n">
        <f aca="false">SUM(D38:J38)</f>
        <v>0</v>
      </c>
    </row>
    <row r="39" customFormat="false" ht="15" hidden="false" customHeight="false" outlineLevel="0" collapsed="false">
      <c r="B39" s="69" t="s">
        <v>466</v>
      </c>
      <c r="C39" s="59" t="s">
        <v>32</v>
      </c>
      <c r="D39" s="48" t="n">
        <f aca="false">SUM(D34:D38)</f>
        <v>705842.513520179</v>
      </c>
      <c r="E39" s="48" t="n">
        <f aca="false">SUM(E34:E38)</f>
        <v>4924880.32260537</v>
      </c>
      <c r="F39" s="48" t="n">
        <f aca="false">SUM(F34:F38)</f>
        <v>5939922.23486601</v>
      </c>
      <c r="G39" s="48" t="n">
        <f aca="false">SUM(G34:G38)</f>
        <v>6053540.22648741</v>
      </c>
      <c r="H39" s="48" t="n">
        <f aca="false">SUM(H34:H38)</f>
        <v>6169438.33422013</v>
      </c>
      <c r="I39" s="48" t="n">
        <f aca="false">SUM(I34:I38)</f>
        <v>6288073.60732297</v>
      </c>
      <c r="J39" s="48" t="n">
        <f aca="false">SUM(J34:J38)</f>
        <v>6409506.26343408</v>
      </c>
      <c r="K39" s="48" t="n">
        <f aca="false">SUM(D39:J39)</f>
        <v>36491203.5024562</v>
      </c>
    </row>
    <row r="41" customFormat="false" ht="15" hidden="false" customHeight="false" outlineLevel="0" collapsed="false">
      <c r="B41" s="33" t="s">
        <v>467</v>
      </c>
    </row>
    <row r="42" customFormat="false" ht="23.85" hidden="false" customHeight="false" outlineLevel="0" collapsed="false">
      <c r="B42" s="19" t="s">
        <v>468</v>
      </c>
      <c r="C42" s="20" t="s">
        <v>32</v>
      </c>
      <c r="D42" s="12" t="n">
        <f aca="false">0</f>
        <v>0</v>
      </c>
      <c r="E42" s="12" t="n">
        <f aca="false">LOANS!$D$106</f>
        <v>1118782.19834813</v>
      </c>
      <c r="F42" s="12" t="n">
        <f aca="false">LOANS!$E$106</f>
        <v>914142.617315518</v>
      </c>
      <c r="G42" s="12" t="n">
        <f aca="false">LOANS!$F$106</f>
        <v>712767.338743775</v>
      </c>
      <c r="H42" s="12" t="n">
        <f aca="false">LOANS!$G$106</f>
        <v>511392.060172031</v>
      </c>
      <c r="I42" s="12" t="n">
        <f aca="false">LOANS!$H$106</f>
        <v>311074.231693245</v>
      </c>
      <c r="J42" s="12" t="n">
        <f aca="false">LOANS!$I$106</f>
        <v>108641.503028545</v>
      </c>
      <c r="K42" s="12" t="n">
        <f aca="false">SUM(D42:J42)</f>
        <v>3676799.94930124</v>
      </c>
    </row>
    <row r="44" customFormat="false" ht="15" hidden="false" customHeight="false" outlineLevel="0" collapsed="false">
      <c r="B44" s="38" t="s">
        <v>469</v>
      </c>
      <c r="C44" s="63" t="s">
        <v>32</v>
      </c>
      <c r="D44" s="15" t="n">
        <f aca="false">D22+D31+D39+D42</f>
        <v>24890163.5291249</v>
      </c>
      <c r="E44" s="15" t="n">
        <f aca="false">E22+E31+E39+E42</f>
        <v>228419225.484034</v>
      </c>
      <c r="F44" s="15" t="n">
        <f aca="false">F22+F31+F39+F42</f>
        <v>283331934.033083</v>
      </c>
      <c r="G44" s="15" t="n">
        <f aca="false">G22+G31+G39+G42</f>
        <v>291845902.619562</v>
      </c>
      <c r="H44" s="15" t="n">
        <f aca="false">H22+H31+H39+H42</f>
        <v>298021709.994075</v>
      </c>
      <c r="I44" s="15" t="n">
        <f aca="false">I22+I31+I39+I42</f>
        <v>304335334.417595</v>
      </c>
      <c r="J44" s="15" t="n">
        <f aca="false">J22+J31+J39+J42</f>
        <v>310783991.734079</v>
      </c>
      <c r="K44" s="15" t="n">
        <f aca="false">SUM(D44:J44)</f>
        <v>1741628261.81155</v>
      </c>
    </row>
    <row r="45" customFormat="false" ht="15" hidden="false" customHeight="false" outlineLevel="0" collapsed="false">
      <c r="B45" s="19" t="s">
        <v>470</v>
      </c>
      <c r="C45" s="20" t="s">
        <v>269</v>
      </c>
      <c r="D45" s="12" t="n">
        <f aca="false">IFERROR(D44/(ProdPlan!D15+ProdPlan!D16),0)</f>
        <v>99560.6541164995</v>
      </c>
      <c r="E45" s="12" t="n">
        <f aca="false">IFERROR(E44/(ProdPlan!E15+ProdPlan!E16),0)</f>
        <v>106038.05511938</v>
      </c>
      <c r="F45" s="12" t="n">
        <f aca="false">IFERROR(F44/(ProdPlan!F15+ProdPlan!F16),0)</f>
        <v>108006.178886022</v>
      </c>
      <c r="G45" s="12" t="n">
        <f aca="false">IFERROR(G44/(ProdPlan!G15+ProdPlan!G16),0)</f>
        <v>109861.058768892</v>
      </c>
      <c r="H45" s="12" t="n">
        <f aca="false">IFERROR(H44/(ProdPlan!H15+ProdPlan!H16),0)</f>
        <v>112185.849800141</v>
      </c>
      <c r="I45" s="12" t="n">
        <f aca="false">IFERROR(I44/(ProdPlan!I15+ProdPlan!I16),0)</f>
        <v>114562.520014152</v>
      </c>
      <c r="J45" s="12" t="n">
        <f aca="false">IFERROR(J44/(ProdPlan!J15+ProdPlan!J16),0)</f>
        <v>116990.021356702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8" min="3" style="0" width="16"/>
    <col collapsed="false" customWidth="true" hidden="false" outlineLevel="0" max="10" min="9" style="0" width="8"/>
    <col collapsed="false" customWidth="true" hidden="false" outlineLevel="0" max="12" min="11" style="0" width="3"/>
  </cols>
  <sheetData>
    <row r="2" customFormat="false" ht="15" hidden="false" customHeight="false" outlineLevel="0" collapsed="false">
      <c r="B2" s="2" t="s">
        <v>471</v>
      </c>
      <c r="H2" s="51" t="s">
        <v>472</v>
      </c>
    </row>
    <row r="5" customFormat="false" ht="15" hidden="false" customHeight="false" outlineLevel="0" collapsed="false">
      <c r="B5" s="6" t="s">
        <v>23</v>
      </c>
      <c r="C5" s="58" t="n">
        <f aca="false">ИНФОРМАЦИЯ!$C$28</f>
        <v>84</v>
      </c>
      <c r="D5" s="70" t="s">
        <v>473</v>
      </c>
    </row>
    <row r="6" customFormat="false" ht="15" hidden="false" customHeight="false" outlineLevel="0" collapsed="false">
      <c r="B6" s="6" t="s">
        <v>474</v>
      </c>
      <c r="C6" s="58" t="n">
        <f aca="false">ИНФОРМАЦИЯ!$C$29</f>
        <v>12</v>
      </c>
      <c r="D6" s="70" t="s">
        <v>473</v>
      </c>
    </row>
    <row r="7" customFormat="false" ht="15" hidden="false" customHeight="false" outlineLevel="0" collapsed="false">
      <c r="B7" s="6" t="s">
        <v>475</v>
      </c>
      <c r="C7" s="58" t="n">
        <f aca="false">ИНФОРМАЦИЯ!$C$30</f>
        <v>12</v>
      </c>
      <c r="D7" s="70" t="s">
        <v>473</v>
      </c>
    </row>
    <row r="8" customFormat="false" ht="15" hidden="false" customHeight="false" outlineLevel="0" collapsed="false">
      <c r="B8" s="6" t="s">
        <v>22</v>
      </c>
      <c r="C8" s="13" t="n">
        <f aca="false">ИНФОРМАЦИЯ!$C$27</f>
        <v>0.07</v>
      </c>
      <c r="D8" s="70" t="s">
        <v>476</v>
      </c>
    </row>
    <row r="9" customFormat="false" ht="15" hidden="false" customHeight="false" outlineLevel="0" collapsed="false">
      <c r="B9" s="6" t="s">
        <v>477</v>
      </c>
      <c r="C9" s="12" t="n">
        <f aca="false">ИНФОРМАЦИЯ!$C$26</f>
        <v>17024289.695302</v>
      </c>
      <c r="D9" s="70" t="s">
        <v>32</v>
      </c>
    </row>
    <row r="10" customFormat="false" ht="15" hidden="false" customHeight="false" outlineLevel="0" collapsed="false">
      <c r="B10" s="6" t="s">
        <v>478</v>
      </c>
      <c r="C10" s="71" t="n">
        <f aca="false">ИНФОРМАЦИЯ!$C$31</f>
        <v>46388</v>
      </c>
      <c r="D10" s="70"/>
    </row>
    <row r="11" customFormat="false" ht="15" hidden="false" customHeight="false" outlineLevel="0" collapsed="false">
      <c r="B11" s="6" t="s">
        <v>479</v>
      </c>
      <c r="C11" s="58" t="n">
        <f aca="false">ИНФОРМАЦИЯ!$C$32</f>
        <v>360</v>
      </c>
      <c r="D11" s="70" t="s">
        <v>480</v>
      </c>
    </row>
    <row r="12" customFormat="false" ht="15" hidden="false" customHeight="false" outlineLevel="0" collapsed="false">
      <c r="B12" s="6" t="s">
        <v>481</v>
      </c>
      <c r="C12" s="58" t="n">
        <f aca="false">C5-C6</f>
        <v>72</v>
      </c>
      <c r="D12" s="70" t="s">
        <v>482</v>
      </c>
    </row>
    <row r="13" customFormat="false" ht="15" hidden="false" customHeight="false" outlineLevel="0" collapsed="false">
      <c r="B13" s="6" t="s">
        <v>483</v>
      </c>
      <c r="C13" s="29" t="n">
        <f aca="false">C9/C12</f>
        <v>236448.467990305</v>
      </c>
      <c r="D13" s="70" t="s">
        <v>32</v>
      </c>
    </row>
    <row r="15" customFormat="false" ht="30" hidden="false" customHeight="true" outlineLevel="0" collapsed="false">
      <c r="A15" s="18" t="s">
        <v>484</v>
      </c>
      <c r="B15" s="18" t="s">
        <v>485</v>
      </c>
      <c r="C15" s="18" t="s">
        <v>486</v>
      </c>
      <c r="D15" s="18" t="s">
        <v>137</v>
      </c>
      <c r="E15" s="18" t="s">
        <v>487</v>
      </c>
      <c r="F15" s="18" t="s">
        <v>488</v>
      </c>
      <c r="G15" s="18" t="s">
        <v>489</v>
      </c>
      <c r="H15" s="18" t="s">
        <v>490</v>
      </c>
      <c r="I15" s="18" t="s">
        <v>491</v>
      </c>
    </row>
    <row r="16" customFormat="false" ht="15" hidden="false" customHeight="false" outlineLevel="0" collapsed="false">
      <c r="A16" s="72" t="n">
        <v>1</v>
      </c>
      <c r="B16" s="73" t="n">
        <f aca="false">EOMONTH($C$10,0)</f>
        <v>46418</v>
      </c>
      <c r="C16" s="29" t="n">
        <f aca="false">$C$9</f>
        <v>17024289.695302</v>
      </c>
      <c r="D16" s="29" t="n">
        <f aca="false">IF(A16&gt;$C$6,MIN(C16,$C$13),0)</f>
        <v>0</v>
      </c>
      <c r="E16" s="29" t="n">
        <f aca="false">C16*$C$8*DAY(B16)/$C$11</f>
        <v>102618.635107792</v>
      </c>
      <c r="F16" s="29" t="n">
        <f aca="false">D16+E16</f>
        <v>102618.635107792</v>
      </c>
      <c r="G16" s="29" t="n">
        <f aca="false">C16-D16</f>
        <v>17024289.695302</v>
      </c>
      <c r="H16" s="72" t="n">
        <f aca="false">YEAR(B16)</f>
        <v>2027</v>
      </c>
      <c r="I16" s="72" t="n">
        <f aca="false">H16-2026</f>
        <v>1</v>
      </c>
    </row>
    <row r="17" customFormat="false" ht="15" hidden="false" customHeight="false" outlineLevel="0" collapsed="false">
      <c r="A17" s="72" t="n">
        <v>2</v>
      </c>
      <c r="B17" s="73" t="n">
        <f aca="false">EOMONTH($C$10,1)</f>
        <v>46446</v>
      </c>
      <c r="C17" s="29" t="n">
        <f aca="false">G16</f>
        <v>17024289.695302</v>
      </c>
      <c r="D17" s="29" t="n">
        <f aca="false">IF(A17&gt;$C$6,MIN(C17,$C$13),0)</f>
        <v>0</v>
      </c>
      <c r="E17" s="29" t="n">
        <f aca="false">C17*$C$8*DAY(B17)/$C$11</f>
        <v>92687.7994521996</v>
      </c>
      <c r="F17" s="29" t="n">
        <f aca="false">D17+E17</f>
        <v>92687.7994521996</v>
      </c>
      <c r="G17" s="29" t="n">
        <f aca="false">C17-D17</f>
        <v>17024289.695302</v>
      </c>
      <c r="H17" s="72" t="n">
        <f aca="false">YEAR(B17)</f>
        <v>2027</v>
      </c>
      <c r="I17" s="72" t="n">
        <f aca="false">H17-2026</f>
        <v>1</v>
      </c>
    </row>
    <row r="18" customFormat="false" ht="15" hidden="false" customHeight="false" outlineLevel="0" collapsed="false">
      <c r="A18" s="72" t="n">
        <v>3</v>
      </c>
      <c r="B18" s="73" t="n">
        <f aca="false">EOMONTH($C$10,2)</f>
        <v>46477</v>
      </c>
      <c r="C18" s="29" t="n">
        <f aca="false">G17</f>
        <v>17024289.695302</v>
      </c>
      <c r="D18" s="29" t="n">
        <f aca="false">IF(A18&gt;$C$6,MIN(C18,$C$13),0)</f>
        <v>0</v>
      </c>
      <c r="E18" s="29" t="n">
        <f aca="false">C18*$C$8*DAY(B18)/$C$11</f>
        <v>102618.635107792</v>
      </c>
      <c r="F18" s="29" t="n">
        <f aca="false">D18+E18</f>
        <v>102618.635107792</v>
      </c>
      <c r="G18" s="29" t="n">
        <f aca="false">C18-D18</f>
        <v>17024289.695302</v>
      </c>
      <c r="H18" s="72" t="n">
        <f aca="false">YEAR(B18)</f>
        <v>2027</v>
      </c>
      <c r="I18" s="72" t="n">
        <f aca="false">H18-2026</f>
        <v>1</v>
      </c>
    </row>
    <row r="19" customFormat="false" ht="15" hidden="false" customHeight="false" outlineLevel="0" collapsed="false">
      <c r="A19" s="72" t="n">
        <v>4</v>
      </c>
      <c r="B19" s="73" t="n">
        <f aca="false">EOMONTH($C$10,3)</f>
        <v>46507</v>
      </c>
      <c r="C19" s="29" t="n">
        <f aca="false">G18</f>
        <v>17024289.695302</v>
      </c>
      <c r="D19" s="29" t="n">
        <f aca="false">IF(A19&gt;$C$6,MIN(C19,$C$13),0)</f>
        <v>0</v>
      </c>
      <c r="E19" s="29" t="n">
        <f aca="false">C19*$C$8*DAY(B19)/$C$11</f>
        <v>99308.3565559282</v>
      </c>
      <c r="F19" s="29" t="n">
        <f aca="false">D19+E19</f>
        <v>99308.3565559282</v>
      </c>
      <c r="G19" s="29" t="n">
        <f aca="false">C19-D19</f>
        <v>17024289.695302</v>
      </c>
      <c r="H19" s="72" t="n">
        <f aca="false">YEAR(B19)</f>
        <v>2027</v>
      </c>
      <c r="I19" s="72" t="n">
        <f aca="false">H19-2026</f>
        <v>1</v>
      </c>
    </row>
    <row r="20" customFormat="false" ht="15" hidden="false" customHeight="false" outlineLevel="0" collapsed="false">
      <c r="A20" s="72" t="n">
        <v>5</v>
      </c>
      <c r="B20" s="73" t="n">
        <f aca="false">EOMONTH($C$10,4)</f>
        <v>46538</v>
      </c>
      <c r="C20" s="29" t="n">
        <f aca="false">G19</f>
        <v>17024289.695302</v>
      </c>
      <c r="D20" s="29" t="n">
        <f aca="false">IF(A20&gt;$C$6,MIN(C20,$C$13),0)</f>
        <v>0</v>
      </c>
      <c r="E20" s="29" t="n">
        <f aca="false">C20*$C$8*DAY(B20)/$C$11</f>
        <v>102618.635107792</v>
      </c>
      <c r="F20" s="29" t="n">
        <f aca="false">D20+E20</f>
        <v>102618.635107792</v>
      </c>
      <c r="G20" s="29" t="n">
        <f aca="false">C20-D20</f>
        <v>17024289.695302</v>
      </c>
      <c r="H20" s="72" t="n">
        <f aca="false">YEAR(B20)</f>
        <v>2027</v>
      </c>
      <c r="I20" s="72" t="n">
        <f aca="false">H20-2026</f>
        <v>1</v>
      </c>
    </row>
    <row r="21" customFormat="false" ht="15" hidden="false" customHeight="false" outlineLevel="0" collapsed="false">
      <c r="A21" s="72" t="n">
        <v>6</v>
      </c>
      <c r="B21" s="73" t="n">
        <f aca="false">EOMONTH($C$10,5)</f>
        <v>46568</v>
      </c>
      <c r="C21" s="29" t="n">
        <f aca="false">G20</f>
        <v>17024289.695302</v>
      </c>
      <c r="D21" s="29" t="n">
        <f aca="false">IF(A21&gt;$C$6,MIN(C21,$C$13),0)</f>
        <v>0</v>
      </c>
      <c r="E21" s="29" t="n">
        <f aca="false">C21*$C$8*DAY(B21)/$C$11</f>
        <v>99308.3565559282</v>
      </c>
      <c r="F21" s="29" t="n">
        <f aca="false">D21+E21</f>
        <v>99308.3565559282</v>
      </c>
      <c r="G21" s="29" t="n">
        <f aca="false">C21-D21</f>
        <v>17024289.695302</v>
      </c>
      <c r="H21" s="72" t="n">
        <f aca="false">YEAR(B21)</f>
        <v>2027</v>
      </c>
      <c r="I21" s="72" t="n">
        <f aca="false">H21-2026</f>
        <v>1</v>
      </c>
    </row>
    <row r="22" customFormat="false" ht="15" hidden="false" customHeight="false" outlineLevel="0" collapsed="false">
      <c r="A22" s="72" t="n">
        <v>7</v>
      </c>
      <c r="B22" s="73" t="n">
        <f aca="false">EOMONTH($C$10,6)</f>
        <v>46599</v>
      </c>
      <c r="C22" s="29" t="n">
        <f aca="false">G21</f>
        <v>17024289.695302</v>
      </c>
      <c r="D22" s="29" t="n">
        <f aca="false">IF(A22&gt;$C$6,MIN(C22,$C$13),0)</f>
        <v>0</v>
      </c>
      <c r="E22" s="29" t="n">
        <f aca="false">C22*$C$8*DAY(B22)/$C$11</f>
        <v>102618.635107792</v>
      </c>
      <c r="F22" s="29" t="n">
        <f aca="false">D22+E22</f>
        <v>102618.635107792</v>
      </c>
      <c r="G22" s="29" t="n">
        <f aca="false">C22-D22</f>
        <v>17024289.695302</v>
      </c>
      <c r="H22" s="72" t="n">
        <f aca="false">YEAR(B22)</f>
        <v>2027</v>
      </c>
      <c r="I22" s="72" t="n">
        <f aca="false">H22-2026</f>
        <v>1</v>
      </c>
    </row>
    <row r="23" customFormat="false" ht="15" hidden="false" customHeight="false" outlineLevel="0" collapsed="false">
      <c r="A23" s="72" t="n">
        <v>8</v>
      </c>
      <c r="B23" s="73" t="n">
        <f aca="false">EOMONTH($C$10,7)</f>
        <v>46630</v>
      </c>
      <c r="C23" s="29" t="n">
        <f aca="false">G22</f>
        <v>17024289.695302</v>
      </c>
      <c r="D23" s="29" t="n">
        <f aca="false">IF(A23&gt;$C$6,MIN(C23,$C$13),0)</f>
        <v>0</v>
      </c>
      <c r="E23" s="29" t="n">
        <f aca="false">C23*$C$8*DAY(B23)/$C$11</f>
        <v>102618.635107792</v>
      </c>
      <c r="F23" s="29" t="n">
        <f aca="false">D23+E23</f>
        <v>102618.635107792</v>
      </c>
      <c r="G23" s="29" t="n">
        <f aca="false">C23-D23</f>
        <v>17024289.695302</v>
      </c>
      <c r="H23" s="72" t="n">
        <f aca="false">YEAR(B23)</f>
        <v>2027</v>
      </c>
      <c r="I23" s="72" t="n">
        <f aca="false">H23-2026</f>
        <v>1</v>
      </c>
    </row>
    <row r="24" customFormat="false" ht="15" hidden="false" customHeight="false" outlineLevel="0" collapsed="false">
      <c r="A24" s="72" t="n">
        <v>9</v>
      </c>
      <c r="B24" s="73" t="n">
        <f aca="false">EOMONTH($C$10,8)</f>
        <v>46660</v>
      </c>
      <c r="C24" s="29" t="n">
        <f aca="false">G23</f>
        <v>17024289.695302</v>
      </c>
      <c r="D24" s="29" t="n">
        <f aca="false">IF(A24&gt;$C$6,MIN(C24,$C$13),0)</f>
        <v>0</v>
      </c>
      <c r="E24" s="29" t="n">
        <f aca="false">C24*$C$8*DAY(B24)/$C$11</f>
        <v>99308.3565559282</v>
      </c>
      <c r="F24" s="29" t="n">
        <f aca="false">D24+E24</f>
        <v>99308.3565559282</v>
      </c>
      <c r="G24" s="29" t="n">
        <f aca="false">C24-D24</f>
        <v>17024289.695302</v>
      </c>
      <c r="H24" s="72" t="n">
        <f aca="false">YEAR(B24)</f>
        <v>2027</v>
      </c>
      <c r="I24" s="72" t="n">
        <f aca="false">H24-2026</f>
        <v>1</v>
      </c>
    </row>
    <row r="25" customFormat="false" ht="15" hidden="false" customHeight="false" outlineLevel="0" collapsed="false">
      <c r="A25" s="72" t="n">
        <v>10</v>
      </c>
      <c r="B25" s="73" t="n">
        <f aca="false">EOMONTH($C$10,9)</f>
        <v>46691</v>
      </c>
      <c r="C25" s="29" t="n">
        <f aca="false">G24</f>
        <v>17024289.695302</v>
      </c>
      <c r="D25" s="29" t="n">
        <f aca="false">IF(A25&gt;$C$6,MIN(C25,$C$13),0)</f>
        <v>0</v>
      </c>
      <c r="E25" s="29" t="n">
        <f aca="false">C25*$C$8*DAY(B25)/$C$11</f>
        <v>102618.635107792</v>
      </c>
      <c r="F25" s="29" t="n">
        <f aca="false">D25+E25</f>
        <v>102618.635107792</v>
      </c>
      <c r="G25" s="29" t="n">
        <f aca="false">C25-D25</f>
        <v>17024289.695302</v>
      </c>
      <c r="H25" s="72" t="n">
        <f aca="false">YEAR(B25)</f>
        <v>2027</v>
      </c>
      <c r="I25" s="72" t="n">
        <f aca="false">H25-2026</f>
        <v>1</v>
      </c>
    </row>
    <row r="26" customFormat="false" ht="15" hidden="false" customHeight="false" outlineLevel="0" collapsed="false">
      <c r="A26" s="72" t="n">
        <v>11</v>
      </c>
      <c r="B26" s="73" t="n">
        <f aca="false">EOMONTH($C$10,10)</f>
        <v>46721</v>
      </c>
      <c r="C26" s="29" t="n">
        <f aca="false">G25</f>
        <v>17024289.695302</v>
      </c>
      <c r="D26" s="29" t="n">
        <f aca="false">IF(A26&gt;$C$6,MIN(C26,$C$13),0)</f>
        <v>0</v>
      </c>
      <c r="E26" s="29" t="n">
        <f aca="false">C26*$C$8*DAY(B26)/$C$11</f>
        <v>99308.3565559282</v>
      </c>
      <c r="F26" s="29" t="n">
        <f aca="false">D26+E26</f>
        <v>99308.3565559282</v>
      </c>
      <c r="G26" s="29" t="n">
        <f aca="false">C26-D26</f>
        <v>17024289.695302</v>
      </c>
      <c r="H26" s="72" t="n">
        <f aca="false">YEAR(B26)</f>
        <v>2027</v>
      </c>
      <c r="I26" s="72" t="n">
        <f aca="false">H26-2026</f>
        <v>1</v>
      </c>
    </row>
    <row r="27" customFormat="false" ht="15" hidden="false" customHeight="false" outlineLevel="0" collapsed="false">
      <c r="A27" s="72" t="n">
        <v>12</v>
      </c>
      <c r="B27" s="73" t="n">
        <f aca="false">EOMONTH($C$10,11)</f>
        <v>46752</v>
      </c>
      <c r="C27" s="29" t="n">
        <f aca="false">G26</f>
        <v>17024289.695302</v>
      </c>
      <c r="D27" s="29" t="n">
        <f aca="false">IF(A27&gt;$C$6,MIN(C27,$C$13),0)</f>
        <v>0</v>
      </c>
      <c r="E27" s="29" t="n">
        <f aca="false">C27*$C$8*DAY(B27)/$C$11</f>
        <v>102618.635107792</v>
      </c>
      <c r="F27" s="29" t="n">
        <f aca="false">D27+E27</f>
        <v>102618.635107792</v>
      </c>
      <c r="G27" s="29" t="n">
        <f aca="false">C27-D27</f>
        <v>17024289.695302</v>
      </c>
      <c r="H27" s="72" t="n">
        <f aca="false">YEAR(B27)</f>
        <v>2027</v>
      </c>
      <c r="I27" s="72" t="n">
        <f aca="false">H27-2026</f>
        <v>1</v>
      </c>
    </row>
    <row r="28" customFormat="false" ht="15" hidden="false" customHeight="false" outlineLevel="0" collapsed="false">
      <c r="A28" s="72" t="n">
        <v>13</v>
      </c>
      <c r="B28" s="73" t="n">
        <f aca="false">EOMONTH($C$10,12)</f>
        <v>46783</v>
      </c>
      <c r="C28" s="29" t="n">
        <f aca="false">G27</f>
        <v>17024289.695302</v>
      </c>
      <c r="D28" s="29" t="n">
        <f aca="false">IF(A28&gt;$C$6,MIN(C28,$C$13),0)</f>
        <v>236448.467990305</v>
      </c>
      <c r="E28" s="29" t="n">
        <f aca="false">C28*$C$8*DAY(B28)/$C$11</f>
        <v>102618.635107792</v>
      </c>
      <c r="F28" s="29" t="n">
        <f aca="false">D28+E28</f>
        <v>339067.103098098</v>
      </c>
      <c r="G28" s="29" t="n">
        <f aca="false">C28-D28</f>
        <v>16787841.2273117</v>
      </c>
      <c r="H28" s="72" t="n">
        <f aca="false">YEAR(B28)</f>
        <v>2028</v>
      </c>
      <c r="I28" s="72" t="n">
        <f aca="false">H28-2026</f>
        <v>2</v>
      </c>
    </row>
    <row r="29" customFormat="false" ht="15" hidden="false" customHeight="false" outlineLevel="0" collapsed="false">
      <c r="A29" s="72" t="n">
        <v>14</v>
      </c>
      <c r="B29" s="73" t="n">
        <f aca="false">EOMONTH($C$10,13)</f>
        <v>46812</v>
      </c>
      <c r="C29" s="29" t="n">
        <f aca="false">G28</f>
        <v>16787841.2273117</v>
      </c>
      <c r="D29" s="29" t="n">
        <f aca="false">IF(A29&gt;$C$6,MIN(C29,$C$13),0)</f>
        <v>236448.467990305</v>
      </c>
      <c r="E29" s="29" t="n">
        <f aca="false">C29*$C$8*DAY(B29)/$C$11</f>
        <v>94664.7713651186</v>
      </c>
      <c r="F29" s="29" t="n">
        <f aca="false">D29+E29</f>
        <v>331113.239355424</v>
      </c>
      <c r="G29" s="29" t="n">
        <f aca="false">C29-D29</f>
        <v>16551392.7593214</v>
      </c>
      <c r="H29" s="72" t="n">
        <f aca="false">YEAR(B29)</f>
        <v>2028</v>
      </c>
      <c r="I29" s="72" t="n">
        <f aca="false">H29-2026</f>
        <v>2</v>
      </c>
    </row>
    <row r="30" customFormat="false" ht="15" hidden="false" customHeight="false" outlineLevel="0" collapsed="false">
      <c r="A30" s="72" t="n">
        <v>15</v>
      </c>
      <c r="B30" s="73" t="n">
        <f aca="false">EOMONTH($C$10,14)</f>
        <v>46843</v>
      </c>
      <c r="C30" s="29" t="n">
        <f aca="false">G29</f>
        <v>16551392.7593214</v>
      </c>
      <c r="D30" s="29" t="n">
        <f aca="false">IF(A30&gt;$C$6,MIN(C30,$C$13),0)</f>
        <v>236448.467990305</v>
      </c>
      <c r="E30" s="29" t="n">
        <f aca="false">C30*$C$8*DAY(B30)/$C$11</f>
        <v>99768.1174659093</v>
      </c>
      <c r="F30" s="29" t="n">
        <f aca="false">D30+E30</f>
        <v>336216.585456214</v>
      </c>
      <c r="G30" s="29" t="n">
        <f aca="false">C30-D30</f>
        <v>16314944.2913311</v>
      </c>
      <c r="H30" s="72" t="n">
        <f aca="false">YEAR(B30)</f>
        <v>2028</v>
      </c>
      <c r="I30" s="72" t="n">
        <f aca="false">H30-2026</f>
        <v>2</v>
      </c>
    </row>
    <row r="31" customFormat="false" ht="15" hidden="false" customHeight="false" outlineLevel="0" collapsed="false">
      <c r="A31" s="72" t="n">
        <v>16</v>
      </c>
      <c r="B31" s="73" t="n">
        <f aca="false">EOMONTH($C$10,15)</f>
        <v>46873</v>
      </c>
      <c r="C31" s="29" t="n">
        <f aca="false">G30</f>
        <v>16314944.2913311</v>
      </c>
      <c r="D31" s="29" t="n">
        <f aca="false">IF(A31&gt;$C$6,MIN(C31,$C$13),0)</f>
        <v>236448.467990305</v>
      </c>
      <c r="E31" s="29" t="n">
        <f aca="false">C31*$C$8*DAY(B31)/$C$11</f>
        <v>95170.5083660978</v>
      </c>
      <c r="F31" s="29" t="n">
        <f aca="false">D31+E31</f>
        <v>331618.976356403</v>
      </c>
      <c r="G31" s="29" t="n">
        <f aca="false">C31-D31</f>
        <v>16078495.8233407</v>
      </c>
      <c r="H31" s="72" t="n">
        <f aca="false">YEAR(B31)</f>
        <v>2028</v>
      </c>
      <c r="I31" s="72" t="n">
        <f aca="false">H31-2026</f>
        <v>2</v>
      </c>
    </row>
    <row r="32" customFormat="false" ht="15" hidden="false" customHeight="false" outlineLevel="0" collapsed="false">
      <c r="A32" s="72" t="n">
        <v>17</v>
      </c>
      <c r="B32" s="73" t="n">
        <f aca="false">EOMONTH($C$10,16)</f>
        <v>46904</v>
      </c>
      <c r="C32" s="29" t="n">
        <f aca="false">G31</f>
        <v>16078495.8233407</v>
      </c>
      <c r="D32" s="29" t="n">
        <f aca="false">IF(A32&gt;$C$6,MIN(C32,$C$13),0)</f>
        <v>236448.467990305</v>
      </c>
      <c r="E32" s="29" t="n">
        <f aca="false">C32*$C$8*DAY(B32)/$C$11</f>
        <v>96917.5998240262</v>
      </c>
      <c r="F32" s="29" t="n">
        <f aca="false">D32+E32</f>
        <v>333366.067814331</v>
      </c>
      <c r="G32" s="29" t="n">
        <f aca="false">C32-D32</f>
        <v>15842047.3553504</v>
      </c>
      <c r="H32" s="72" t="n">
        <f aca="false">YEAR(B32)</f>
        <v>2028</v>
      </c>
      <c r="I32" s="72" t="n">
        <f aca="false">H32-2026</f>
        <v>2</v>
      </c>
    </row>
    <row r="33" customFormat="false" ht="15" hidden="false" customHeight="false" outlineLevel="0" collapsed="false">
      <c r="A33" s="72" t="n">
        <v>18</v>
      </c>
      <c r="B33" s="73" t="n">
        <f aca="false">EOMONTH($C$10,17)</f>
        <v>46934</v>
      </c>
      <c r="C33" s="29" t="n">
        <f aca="false">G32</f>
        <v>15842047.3553504</v>
      </c>
      <c r="D33" s="29" t="n">
        <f aca="false">IF(A33&gt;$C$6,MIN(C33,$C$13),0)</f>
        <v>236448.467990305</v>
      </c>
      <c r="E33" s="29" t="n">
        <f aca="false">C33*$C$8*DAY(B33)/$C$11</f>
        <v>92411.9429062109</v>
      </c>
      <c r="F33" s="29" t="n">
        <f aca="false">D33+E33</f>
        <v>328860.410896516</v>
      </c>
      <c r="G33" s="29" t="n">
        <f aca="false">C33-D33</f>
        <v>15605598.8873601</v>
      </c>
      <c r="H33" s="72" t="n">
        <f aca="false">YEAR(B33)</f>
        <v>2028</v>
      </c>
      <c r="I33" s="72" t="n">
        <f aca="false">H33-2026</f>
        <v>2</v>
      </c>
    </row>
    <row r="34" customFormat="false" ht="15" hidden="false" customHeight="false" outlineLevel="0" collapsed="false">
      <c r="A34" s="72" t="n">
        <v>19</v>
      </c>
      <c r="B34" s="73" t="n">
        <f aca="false">EOMONTH($C$10,18)</f>
        <v>46965</v>
      </c>
      <c r="C34" s="29" t="n">
        <f aca="false">G33</f>
        <v>15605598.8873601</v>
      </c>
      <c r="D34" s="29" t="n">
        <f aca="false">IF(A34&gt;$C$6,MIN(C34,$C$13),0)</f>
        <v>236448.467990305</v>
      </c>
      <c r="E34" s="29" t="n">
        <f aca="false">C34*$C$8*DAY(B34)/$C$11</f>
        <v>94067.0821821431</v>
      </c>
      <c r="F34" s="29" t="n">
        <f aca="false">D34+E34</f>
        <v>330515.550172448</v>
      </c>
      <c r="G34" s="29" t="n">
        <f aca="false">C34-D34</f>
        <v>15369150.4193698</v>
      </c>
      <c r="H34" s="72" t="n">
        <f aca="false">YEAR(B34)</f>
        <v>2028</v>
      </c>
      <c r="I34" s="72" t="n">
        <f aca="false">H34-2026</f>
        <v>2</v>
      </c>
    </row>
    <row r="35" customFormat="false" ht="15" hidden="false" customHeight="false" outlineLevel="0" collapsed="false">
      <c r="A35" s="72" t="n">
        <v>20</v>
      </c>
      <c r="B35" s="73" t="n">
        <f aca="false">EOMONTH($C$10,19)</f>
        <v>46996</v>
      </c>
      <c r="C35" s="29" t="n">
        <f aca="false">G34</f>
        <v>15369150.4193698</v>
      </c>
      <c r="D35" s="29" t="n">
        <f aca="false">IF(A35&gt;$C$6,MIN(C35,$C$13),0)</f>
        <v>236448.467990305</v>
      </c>
      <c r="E35" s="29" t="n">
        <f aca="false">C35*$C$8*DAY(B35)/$C$11</f>
        <v>92641.8233612015</v>
      </c>
      <c r="F35" s="29" t="n">
        <f aca="false">D35+E35</f>
        <v>329090.291351507</v>
      </c>
      <c r="G35" s="29" t="n">
        <f aca="false">C35-D35</f>
        <v>15132701.9513795</v>
      </c>
      <c r="H35" s="72" t="n">
        <f aca="false">YEAR(B35)</f>
        <v>2028</v>
      </c>
      <c r="I35" s="72" t="n">
        <f aca="false">H35-2026</f>
        <v>2</v>
      </c>
    </row>
    <row r="36" customFormat="false" ht="15" hidden="false" customHeight="false" outlineLevel="0" collapsed="false">
      <c r="A36" s="72" t="n">
        <v>21</v>
      </c>
      <c r="B36" s="73" t="n">
        <f aca="false">EOMONTH($C$10,20)</f>
        <v>47026</v>
      </c>
      <c r="C36" s="29" t="n">
        <f aca="false">G35</f>
        <v>15132701.9513795</v>
      </c>
      <c r="D36" s="29" t="n">
        <f aca="false">IF(A36&gt;$C$6,MIN(C36,$C$13),0)</f>
        <v>236448.467990305</v>
      </c>
      <c r="E36" s="29" t="n">
        <f aca="false">C36*$C$8*DAY(B36)/$C$11</f>
        <v>88274.0947163806</v>
      </c>
      <c r="F36" s="29" t="n">
        <f aca="false">D36+E36</f>
        <v>324722.562706686</v>
      </c>
      <c r="G36" s="29" t="n">
        <f aca="false">C36-D36</f>
        <v>14896253.4833892</v>
      </c>
      <c r="H36" s="72" t="n">
        <f aca="false">YEAR(B36)</f>
        <v>2028</v>
      </c>
      <c r="I36" s="72" t="n">
        <f aca="false">H36-2026</f>
        <v>2</v>
      </c>
    </row>
    <row r="37" customFormat="false" ht="15" hidden="false" customHeight="false" outlineLevel="0" collapsed="false">
      <c r="A37" s="72" t="n">
        <v>22</v>
      </c>
      <c r="B37" s="73" t="n">
        <f aca="false">EOMONTH($C$10,21)</f>
        <v>47057</v>
      </c>
      <c r="C37" s="29" t="n">
        <f aca="false">G36</f>
        <v>14896253.4833892</v>
      </c>
      <c r="D37" s="29" t="n">
        <f aca="false">IF(A37&gt;$C$6,MIN(C37,$C$13),0)</f>
        <v>236448.467990305</v>
      </c>
      <c r="E37" s="29" t="n">
        <f aca="false">C37*$C$8*DAY(B37)/$C$11</f>
        <v>89791.3057193184</v>
      </c>
      <c r="F37" s="29" t="n">
        <f aca="false">D37+E37</f>
        <v>326239.773709624</v>
      </c>
      <c r="G37" s="29" t="n">
        <f aca="false">C37-D37</f>
        <v>14659805.0153989</v>
      </c>
      <c r="H37" s="72" t="n">
        <f aca="false">YEAR(B37)</f>
        <v>2028</v>
      </c>
      <c r="I37" s="72" t="n">
        <f aca="false">H37-2026</f>
        <v>2</v>
      </c>
    </row>
    <row r="38" customFormat="false" ht="15" hidden="false" customHeight="false" outlineLevel="0" collapsed="false">
      <c r="A38" s="72" t="n">
        <v>23</v>
      </c>
      <c r="B38" s="73" t="n">
        <f aca="false">EOMONTH($C$10,22)</f>
        <v>47087</v>
      </c>
      <c r="C38" s="29" t="n">
        <f aca="false">G37</f>
        <v>14659805.0153989</v>
      </c>
      <c r="D38" s="29" t="n">
        <f aca="false">IF(A38&gt;$C$6,MIN(C38,$C$13),0)</f>
        <v>236448.467990305</v>
      </c>
      <c r="E38" s="29" t="n">
        <f aca="false">C38*$C$8*DAY(B38)/$C$11</f>
        <v>85515.5292564937</v>
      </c>
      <c r="F38" s="29" t="n">
        <f aca="false">D38+E38</f>
        <v>321963.997246799</v>
      </c>
      <c r="G38" s="29" t="n">
        <f aca="false">C38-D38</f>
        <v>14423356.5474086</v>
      </c>
      <c r="H38" s="72" t="n">
        <f aca="false">YEAR(B38)</f>
        <v>2028</v>
      </c>
      <c r="I38" s="72" t="n">
        <f aca="false">H38-2026</f>
        <v>2</v>
      </c>
    </row>
    <row r="39" customFormat="false" ht="15" hidden="false" customHeight="false" outlineLevel="0" collapsed="false">
      <c r="A39" s="72" t="n">
        <v>24</v>
      </c>
      <c r="B39" s="73" t="n">
        <f aca="false">EOMONTH($C$10,23)</f>
        <v>47118</v>
      </c>
      <c r="C39" s="29" t="n">
        <f aca="false">G38</f>
        <v>14423356.5474086</v>
      </c>
      <c r="D39" s="29" t="n">
        <f aca="false">IF(A39&gt;$C$6,MIN(C39,$C$13),0)</f>
        <v>236448.467990305</v>
      </c>
      <c r="E39" s="29" t="n">
        <f aca="false">C39*$C$8*DAY(B39)/$C$11</f>
        <v>86940.7880774353</v>
      </c>
      <c r="F39" s="29" t="n">
        <f aca="false">D39+E39</f>
        <v>323389.25606774</v>
      </c>
      <c r="G39" s="29" t="n">
        <f aca="false">C39-D39</f>
        <v>14186908.0794183</v>
      </c>
      <c r="H39" s="72" t="n">
        <f aca="false">YEAR(B39)</f>
        <v>2028</v>
      </c>
      <c r="I39" s="72" t="n">
        <f aca="false">H39-2026</f>
        <v>2</v>
      </c>
    </row>
    <row r="40" customFormat="false" ht="15" hidden="false" customHeight="false" outlineLevel="0" collapsed="false">
      <c r="A40" s="72" t="n">
        <v>25</v>
      </c>
      <c r="B40" s="73" t="n">
        <f aca="false">EOMONTH($C$10,24)</f>
        <v>47149</v>
      </c>
      <c r="C40" s="29" t="n">
        <f aca="false">G39</f>
        <v>14186908.0794183</v>
      </c>
      <c r="D40" s="29" t="n">
        <f aca="false">IF(A40&gt;$C$6,MIN(C40,$C$13),0)</f>
        <v>236448.467990305</v>
      </c>
      <c r="E40" s="29" t="n">
        <f aca="false">C40*$C$8*DAY(B40)/$C$11</f>
        <v>85515.5292564937</v>
      </c>
      <c r="F40" s="29" t="n">
        <f aca="false">D40+E40</f>
        <v>321963.997246799</v>
      </c>
      <c r="G40" s="29" t="n">
        <f aca="false">C40-D40</f>
        <v>13950459.611428</v>
      </c>
      <c r="H40" s="72" t="n">
        <f aca="false">YEAR(B40)</f>
        <v>2029</v>
      </c>
      <c r="I40" s="72" t="n">
        <f aca="false">H40-2026</f>
        <v>3</v>
      </c>
    </row>
    <row r="41" customFormat="false" ht="15" hidden="false" customHeight="false" outlineLevel="0" collapsed="false">
      <c r="A41" s="72" t="n">
        <v>26</v>
      </c>
      <c r="B41" s="73" t="n">
        <f aca="false">EOMONTH($C$10,25)</f>
        <v>47177</v>
      </c>
      <c r="C41" s="29" t="n">
        <f aca="false">G40</f>
        <v>13950459.611428</v>
      </c>
      <c r="D41" s="29" t="n">
        <f aca="false">IF(A41&gt;$C$6,MIN(C41,$C$13),0)</f>
        <v>236448.467990305</v>
      </c>
      <c r="E41" s="29" t="n">
        <f aca="false">C41*$C$8*DAY(B41)/$C$11</f>
        <v>75952.5023288858</v>
      </c>
      <c r="F41" s="29" t="n">
        <f aca="false">D41+E41</f>
        <v>312400.970319191</v>
      </c>
      <c r="G41" s="29" t="n">
        <f aca="false">C41-D41</f>
        <v>13714011.1434377</v>
      </c>
      <c r="H41" s="72" t="n">
        <f aca="false">YEAR(B41)</f>
        <v>2029</v>
      </c>
      <c r="I41" s="72" t="n">
        <f aca="false">H41-2026</f>
        <v>3</v>
      </c>
    </row>
    <row r="42" customFormat="false" ht="15" hidden="false" customHeight="false" outlineLevel="0" collapsed="false">
      <c r="A42" s="72" t="n">
        <v>27</v>
      </c>
      <c r="B42" s="73" t="n">
        <f aca="false">EOMONTH($C$10,26)</f>
        <v>47208</v>
      </c>
      <c r="C42" s="29" t="n">
        <f aca="false">G41</f>
        <v>13714011.1434377</v>
      </c>
      <c r="D42" s="29" t="n">
        <f aca="false">IF(A42&gt;$C$6,MIN(C42,$C$13),0)</f>
        <v>236448.467990305</v>
      </c>
      <c r="E42" s="29" t="n">
        <f aca="false">C42*$C$8*DAY(B42)/$C$11</f>
        <v>82665.0116146106</v>
      </c>
      <c r="F42" s="29" t="n">
        <f aca="false">D42+E42</f>
        <v>319113.479604916</v>
      </c>
      <c r="G42" s="29" t="n">
        <f aca="false">C42-D42</f>
        <v>13477562.6754474</v>
      </c>
      <c r="H42" s="72" t="n">
        <f aca="false">YEAR(B42)</f>
        <v>2029</v>
      </c>
      <c r="I42" s="72" t="n">
        <f aca="false">H42-2026</f>
        <v>3</v>
      </c>
    </row>
    <row r="43" customFormat="false" ht="15" hidden="false" customHeight="false" outlineLevel="0" collapsed="false">
      <c r="A43" s="72" t="n">
        <v>28</v>
      </c>
      <c r="B43" s="73" t="n">
        <f aca="false">EOMONTH($C$10,27)</f>
        <v>47238</v>
      </c>
      <c r="C43" s="29" t="n">
        <f aca="false">G42</f>
        <v>13477562.6754474</v>
      </c>
      <c r="D43" s="29" t="n">
        <f aca="false">IF(A43&gt;$C$6,MIN(C43,$C$13),0)</f>
        <v>236448.467990305</v>
      </c>
      <c r="E43" s="29" t="n">
        <f aca="false">C43*$C$8*DAY(B43)/$C$11</f>
        <v>78619.1156067765</v>
      </c>
      <c r="F43" s="29" t="n">
        <f aca="false">D43+E43</f>
        <v>315067.583597082</v>
      </c>
      <c r="G43" s="29" t="n">
        <f aca="false">C43-D43</f>
        <v>13241114.2074571</v>
      </c>
      <c r="H43" s="72" t="n">
        <f aca="false">YEAR(B43)</f>
        <v>2029</v>
      </c>
      <c r="I43" s="72" t="n">
        <f aca="false">H43-2026</f>
        <v>3</v>
      </c>
    </row>
    <row r="44" customFormat="false" ht="15" hidden="false" customHeight="false" outlineLevel="0" collapsed="false">
      <c r="A44" s="72" t="n">
        <v>29</v>
      </c>
      <c r="B44" s="73" t="n">
        <f aca="false">EOMONTH($C$10,28)</f>
        <v>47269</v>
      </c>
      <c r="C44" s="29" t="n">
        <f aca="false">G43</f>
        <v>13241114.2074571</v>
      </c>
      <c r="D44" s="29" t="n">
        <f aca="false">IF(A44&gt;$C$6,MIN(C44,$C$13),0)</f>
        <v>236448.467990305</v>
      </c>
      <c r="E44" s="29" t="n">
        <f aca="false">C44*$C$8*DAY(B44)/$C$11</f>
        <v>79814.4939727274</v>
      </c>
      <c r="F44" s="29" t="n">
        <f aca="false">D44+E44</f>
        <v>316262.961963033</v>
      </c>
      <c r="G44" s="29" t="n">
        <f aca="false">C44-D44</f>
        <v>13004665.7394668</v>
      </c>
      <c r="H44" s="72" t="n">
        <f aca="false">YEAR(B44)</f>
        <v>2029</v>
      </c>
      <c r="I44" s="72" t="n">
        <f aca="false">H44-2026</f>
        <v>3</v>
      </c>
    </row>
    <row r="45" customFormat="false" ht="15" hidden="false" customHeight="false" outlineLevel="0" collapsed="false">
      <c r="A45" s="72" t="n">
        <v>30</v>
      </c>
      <c r="B45" s="73" t="n">
        <f aca="false">EOMONTH($C$10,29)</f>
        <v>47299</v>
      </c>
      <c r="C45" s="29" t="n">
        <f aca="false">G44</f>
        <v>13004665.7394668</v>
      </c>
      <c r="D45" s="29" t="n">
        <f aca="false">IF(A45&gt;$C$6,MIN(C45,$C$13),0)</f>
        <v>236448.467990305</v>
      </c>
      <c r="E45" s="29" t="n">
        <f aca="false">C45*$C$8*DAY(B45)/$C$11</f>
        <v>75860.5501468896</v>
      </c>
      <c r="F45" s="29" t="n">
        <f aca="false">D45+E45</f>
        <v>312309.018137195</v>
      </c>
      <c r="G45" s="29" t="n">
        <f aca="false">C45-D45</f>
        <v>12768217.2714765</v>
      </c>
      <c r="H45" s="72" t="n">
        <f aca="false">YEAR(B45)</f>
        <v>2029</v>
      </c>
      <c r="I45" s="72" t="n">
        <f aca="false">H45-2026</f>
        <v>3</v>
      </c>
    </row>
    <row r="46" customFormat="false" ht="15" hidden="false" customHeight="false" outlineLevel="0" collapsed="false">
      <c r="A46" s="72" t="n">
        <v>31</v>
      </c>
      <c r="B46" s="73" t="n">
        <f aca="false">EOMONTH($C$10,30)</f>
        <v>47330</v>
      </c>
      <c r="C46" s="29" t="n">
        <f aca="false">G45</f>
        <v>12768217.2714765</v>
      </c>
      <c r="D46" s="29" t="n">
        <f aca="false">IF(A46&gt;$C$6,MIN(C46,$C$13),0)</f>
        <v>236448.467990305</v>
      </c>
      <c r="E46" s="29" t="n">
        <f aca="false">C46*$C$8*DAY(B46)/$C$11</f>
        <v>76963.9763308443</v>
      </c>
      <c r="F46" s="29" t="n">
        <f aca="false">D46+E46</f>
        <v>313412.444321149</v>
      </c>
      <c r="G46" s="29" t="n">
        <f aca="false">C46-D46</f>
        <v>12531768.8034862</v>
      </c>
      <c r="H46" s="72" t="n">
        <f aca="false">YEAR(B46)</f>
        <v>2029</v>
      </c>
      <c r="I46" s="72" t="n">
        <f aca="false">H46-2026</f>
        <v>3</v>
      </c>
    </row>
    <row r="47" customFormat="false" ht="15" hidden="false" customHeight="false" outlineLevel="0" collapsed="false">
      <c r="A47" s="72" t="n">
        <v>32</v>
      </c>
      <c r="B47" s="73" t="n">
        <f aca="false">EOMONTH($C$10,31)</f>
        <v>47361</v>
      </c>
      <c r="C47" s="29" t="n">
        <f aca="false">G46</f>
        <v>12531768.8034862</v>
      </c>
      <c r="D47" s="29" t="n">
        <f aca="false">IF(A47&gt;$C$6,MIN(C47,$C$13),0)</f>
        <v>236448.467990305</v>
      </c>
      <c r="E47" s="29" t="n">
        <f aca="false">C47*$C$8*DAY(B47)/$C$11</f>
        <v>75538.7175099028</v>
      </c>
      <c r="F47" s="29" t="n">
        <f aca="false">D47+E47</f>
        <v>311987.185500208</v>
      </c>
      <c r="G47" s="29" t="n">
        <f aca="false">C47-D47</f>
        <v>12295320.3354959</v>
      </c>
      <c r="H47" s="72" t="n">
        <f aca="false">YEAR(B47)</f>
        <v>2029</v>
      </c>
      <c r="I47" s="72" t="n">
        <f aca="false">H47-2026</f>
        <v>3</v>
      </c>
    </row>
    <row r="48" customFormat="false" ht="15" hidden="false" customHeight="false" outlineLevel="0" collapsed="false">
      <c r="A48" s="72" t="n">
        <v>33</v>
      </c>
      <c r="B48" s="73" t="n">
        <f aca="false">EOMONTH($C$10,32)</f>
        <v>47391</v>
      </c>
      <c r="C48" s="29" t="n">
        <f aca="false">G47</f>
        <v>12295320.3354959</v>
      </c>
      <c r="D48" s="29" t="n">
        <f aca="false">IF(A48&gt;$C$6,MIN(C48,$C$13),0)</f>
        <v>236448.467990305</v>
      </c>
      <c r="E48" s="29" t="n">
        <f aca="false">C48*$C$8*DAY(B48)/$C$11</f>
        <v>71722.7019570592</v>
      </c>
      <c r="F48" s="29" t="n">
        <f aca="false">D48+E48</f>
        <v>308171.169947364</v>
      </c>
      <c r="G48" s="29" t="n">
        <f aca="false">C48-D48</f>
        <v>12058871.8675056</v>
      </c>
      <c r="H48" s="72" t="n">
        <f aca="false">YEAR(B48)</f>
        <v>2029</v>
      </c>
      <c r="I48" s="72" t="n">
        <f aca="false">H48-2026</f>
        <v>3</v>
      </c>
    </row>
    <row r="49" customFormat="false" ht="15" hidden="false" customHeight="false" outlineLevel="0" collapsed="false">
      <c r="A49" s="72" t="n">
        <v>34</v>
      </c>
      <c r="B49" s="73" t="n">
        <f aca="false">EOMONTH($C$10,33)</f>
        <v>47422</v>
      </c>
      <c r="C49" s="29" t="n">
        <f aca="false">G48</f>
        <v>12058871.8675056</v>
      </c>
      <c r="D49" s="29" t="n">
        <f aca="false">IF(A49&gt;$C$6,MIN(C49,$C$13),0)</f>
        <v>236448.467990305</v>
      </c>
      <c r="E49" s="29" t="n">
        <f aca="false">C49*$C$8*DAY(B49)/$C$11</f>
        <v>72688.1998680196</v>
      </c>
      <c r="F49" s="29" t="n">
        <f aca="false">D49+E49</f>
        <v>309136.667858325</v>
      </c>
      <c r="G49" s="29" t="n">
        <f aca="false">C49-D49</f>
        <v>11822423.3995153</v>
      </c>
      <c r="H49" s="72" t="n">
        <f aca="false">YEAR(B49)</f>
        <v>2029</v>
      </c>
      <c r="I49" s="72" t="n">
        <f aca="false">H49-2026</f>
        <v>3</v>
      </c>
    </row>
    <row r="50" customFormat="false" ht="15" hidden="false" customHeight="false" outlineLevel="0" collapsed="false">
      <c r="A50" s="72" t="n">
        <v>35</v>
      </c>
      <c r="B50" s="73" t="n">
        <f aca="false">EOMONTH($C$10,34)</f>
        <v>47452</v>
      </c>
      <c r="C50" s="29" t="n">
        <f aca="false">G49</f>
        <v>11822423.3995153</v>
      </c>
      <c r="D50" s="29" t="n">
        <f aca="false">IF(A50&gt;$C$6,MIN(C50,$C$13),0)</f>
        <v>236448.467990305</v>
      </c>
      <c r="E50" s="29" t="n">
        <f aca="false">C50*$C$8*DAY(B50)/$C$11</f>
        <v>68964.1364971723</v>
      </c>
      <c r="F50" s="29" t="n">
        <f aca="false">D50+E50</f>
        <v>305412.604487477</v>
      </c>
      <c r="G50" s="29" t="n">
        <f aca="false">C50-D50</f>
        <v>11585974.9315249</v>
      </c>
      <c r="H50" s="72" t="n">
        <f aca="false">YEAR(B50)</f>
        <v>2029</v>
      </c>
      <c r="I50" s="72" t="n">
        <f aca="false">H50-2026</f>
        <v>3</v>
      </c>
    </row>
    <row r="51" customFormat="false" ht="15" hidden="false" customHeight="false" outlineLevel="0" collapsed="false">
      <c r="A51" s="72" t="n">
        <v>36</v>
      </c>
      <c r="B51" s="73" t="n">
        <f aca="false">EOMONTH($C$10,35)</f>
        <v>47483</v>
      </c>
      <c r="C51" s="29" t="n">
        <f aca="false">G50</f>
        <v>11585974.9315249</v>
      </c>
      <c r="D51" s="29" t="n">
        <f aca="false">IF(A51&gt;$C$6,MIN(C51,$C$13),0)</f>
        <v>236448.467990305</v>
      </c>
      <c r="E51" s="29" t="n">
        <f aca="false">C51*$C$8*DAY(B51)/$C$11</f>
        <v>69837.6822261365</v>
      </c>
      <c r="F51" s="29" t="n">
        <f aca="false">D51+E51</f>
        <v>306286.150216442</v>
      </c>
      <c r="G51" s="29" t="n">
        <f aca="false">C51-D51</f>
        <v>11349526.4635346</v>
      </c>
      <c r="H51" s="72" t="n">
        <f aca="false">YEAR(B51)</f>
        <v>2029</v>
      </c>
      <c r="I51" s="72" t="n">
        <f aca="false">H51-2026</f>
        <v>3</v>
      </c>
    </row>
    <row r="52" customFormat="false" ht="15" hidden="false" customHeight="false" outlineLevel="0" collapsed="false">
      <c r="A52" s="72" t="n">
        <v>37</v>
      </c>
      <c r="B52" s="73" t="n">
        <f aca="false">EOMONTH($C$10,36)</f>
        <v>47514</v>
      </c>
      <c r="C52" s="29" t="n">
        <f aca="false">G51</f>
        <v>11349526.4635346</v>
      </c>
      <c r="D52" s="29" t="n">
        <f aca="false">IF(A52&gt;$C$6,MIN(C52,$C$13),0)</f>
        <v>236448.467990305</v>
      </c>
      <c r="E52" s="29" t="n">
        <f aca="false">C52*$C$8*DAY(B52)/$C$11</f>
        <v>68412.4234051949</v>
      </c>
      <c r="F52" s="29" t="n">
        <f aca="false">D52+E52</f>
        <v>304860.8913955</v>
      </c>
      <c r="G52" s="29" t="n">
        <f aca="false">C52-D52</f>
        <v>11113077.9955443</v>
      </c>
      <c r="H52" s="72" t="n">
        <f aca="false">YEAR(B52)</f>
        <v>2030</v>
      </c>
      <c r="I52" s="72" t="n">
        <f aca="false">H52-2026</f>
        <v>4</v>
      </c>
    </row>
    <row r="53" customFormat="false" ht="15" hidden="false" customHeight="false" outlineLevel="0" collapsed="false">
      <c r="A53" s="72" t="n">
        <v>38</v>
      </c>
      <c r="B53" s="73" t="n">
        <f aca="false">EOMONTH($C$10,37)</f>
        <v>47542</v>
      </c>
      <c r="C53" s="29" t="n">
        <f aca="false">G52</f>
        <v>11113077.9955443</v>
      </c>
      <c r="D53" s="29" t="n">
        <f aca="false">IF(A53&gt;$C$6,MIN(C53,$C$13),0)</f>
        <v>236448.467990305</v>
      </c>
      <c r="E53" s="29" t="n">
        <f aca="false">C53*$C$8*DAY(B53)/$C$11</f>
        <v>60504.5357535192</v>
      </c>
      <c r="F53" s="29" t="n">
        <f aca="false">D53+E53</f>
        <v>296953.003743824</v>
      </c>
      <c r="G53" s="29" t="n">
        <f aca="false">C53-D53</f>
        <v>10876629.527554</v>
      </c>
      <c r="H53" s="72" t="n">
        <f aca="false">YEAR(B53)</f>
        <v>2030</v>
      </c>
      <c r="I53" s="72" t="n">
        <f aca="false">H53-2026</f>
        <v>4</v>
      </c>
    </row>
    <row r="54" customFormat="false" ht="15" hidden="false" customHeight="false" outlineLevel="0" collapsed="false">
      <c r="A54" s="72" t="n">
        <v>39</v>
      </c>
      <c r="B54" s="73" t="n">
        <f aca="false">EOMONTH($C$10,38)</f>
        <v>47573</v>
      </c>
      <c r="C54" s="29" t="n">
        <f aca="false">G53</f>
        <v>10876629.527554</v>
      </c>
      <c r="D54" s="29" t="n">
        <f aca="false">IF(A54&gt;$C$6,MIN(C54,$C$13),0)</f>
        <v>236448.467990305</v>
      </c>
      <c r="E54" s="29" t="n">
        <f aca="false">C54*$C$8*DAY(B54)/$C$11</f>
        <v>65561.9057633118</v>
      </c>
      <c r="F54" s="29" t="n">
        <f aca="false">D54+E54</f>
        <v>302010.373753617</v>
      </c>
      <c r="G54" s="29" t="n">
        <f aca="false">C54-D54</f>
        <v>10640181.0595637</v>
      </c>
      <c r="H54" s="72" t="n">
        <f aca="false">YEAR(B54)</f>
        <v>2030</v>
      </c>
      <c r="I54" s="72" t="n">
        <f aca="false">H54-2026</f>
        <v>4</v>
      </c>
    </row>
    <row r="55" customFormat="false" ht="15" hidden="false" customHeight="false" outlineLevel="0" collapsed="false">
      <c r="A55" s="72" t="n">
        <v>40</v>
      </c>
      <c r="B55" s="73" t="n">
        <f aca="false">EOMONTH($C$10,39)</f>
        <v>47603</v>
      </c>
      <c r="C55" s="29" t="n">
        <f aca="false">G54</f>
        <v>10640181.0595637</v>
      </c>
      <c r="D55" s="29" t="n">
        <f aca="false">IF(A55&gt;$C$6,MIN(C55,$C$13),0)</f>
        <v>236448.467990305</v>
      </c>
      <c r="E55" s="29" t="n">
        <f aca="false">C55*$C$8*DAY(B55)/$C$11</f>
        <v>62067.7228474551</v>
      </c>
      <c r="F55" s="29" t="n">
        <f aca="false">D55+E55</f>
        <v>298516.19083776</v>
      </c>
      <c r="G55" s="29" t="n">
        <f aca="false">C55-D55</f>
        <v>10403732.5915734</v>
      </c>
      <c r="H55" s="72" t="n">
        <f aca="false">YEAR(B55)</f>
        <v>2030</v>
      </c>
      <c r="I55" s="72" t="n">
        <f aca="false">H55-2026</f>
        <v>4</v>
      </c>
    </row>
    <row r="56" customFormat="false" ht="15" hidden="false" customHeight="false" outlineLevel="0" collapsed="false">
      <c r="A56" s="72" t="n">
        <v>41</v>
      </c>
      <c r="B56" s="73" t="n">
        <f aca="false">EOMONTH($C$10,40)</f>
        <v>47634</v>
      </c>
      <c r="C56" s="29" t="n">
        <f aca="false">G55</f>
        <v>10403732.5915734</v>
      </c>
      <c r="D56" s="29" t="n">
        <f aca="false">IF(A56&gt;$C$6,MIN(C56,$C$13),0)</f>
        <v>236448.467990305</v>
      </c>
      <c r="E56" s="29" t="n">
        <f aca="false">C56*$C$8*DAY(B56)/$C$11</f>
        <v>62711.3881214287</v>
      </c>
      <c r="F56" s="29" t="n">
        <f aca="false">D56+E56</f>
        <v>299159.856111734</v>
      </c>
      <c r="G56" s="29" t="n">
        <f aca="false">C56-D56</f>
        <v>10167284.1235831</v>
      </c>
      <c r="H56" s="72" t="n">
        <f aca="false">YEAR(B56)</f>
        <v>2030</v>
      </c>
      <c r="I56" s="72" t="n">
        <f aca="false">H56-2026</f>
        <v>4</v>
      </c>
    </row>
    <row r="57" customFormat="false" ht="15" hidden="false" customHeight="false" outlineLevel="0" collapsed="false">
      <c r="A57" s="72" t="n">
        <v>42</v>
      </c>
      <c r="B57" s="73" t="n">
        <f aca="false">EOMONTH($C$10,41)</f>
        <v>47664</v>
      </c>
      <c r="C57" s="29" t="n">
        <f aca="false">G56</f>
        <v>10167284.1235831</v>
      </c>
      <c r="D57" s="29" t="n">
        <f aca="false">IF(A57&gt;$C$6,MIN(C57,$C$13),0)</f>
        <v>236448.467990305</v>
      </c>
      <c r="E57" s="29" t="n">
        <f aca="false">C57*$C$8*DAY(B57)/$C$11</f>
        <v>59309.1573875682</v>
      </c>
      <c r="F57" s="29" t="n">
        <f aca="false">D57+E57</f>
        <v>295757.625377873</v>
      </c>
      <c r="G57" s="29" t="n">
        <f aca="false">C57-D57</f>
        <v>9930835.65559281</v>
      </c>
      <c r="H57" s="72" t="n">
        <f aca="false">YEAR(B57)</f>
        <v>2030</v>
      </c>
      <c r="I57" s="72" t="n">
        <f aca="false">H57-2026</f>
        <v>4</v>
      </c>
    </row>
    <row r="58" customFormat="false" ht="15" hidden="false" customHeight="false" outlineLevel="0" collapsed="false">
      <c r="A58" s="72" t="n">
        <v>43</v>
      </c>
      <c r="B58" s="73" t="n">
        <f aca="false">EOMONTH($C$10,42)</f>
        <v>47695</v>
      </c>
      <c r="C58" s="29" t="n">
        <f aca="false">G57</f>
        <v>9930835.65559281</v>
      </c>
      <c r="D58" s="29" t="n">
        <f aca="false">IF(A58&gt;$C$6,MIN(C58,$C$13),0)</f>
        <v>236448.467990305</v>
      </c>
      <c r="E58" s="29" t="n">
        <f aca="false">C58*$C$8*DAY(B58)/$C$11</f>
        <v>59860.8704795456</v>
      </c>
      <c r="F58" s="29" t="n">
        <f aca="false">D58+E58</f>
        <v>296309.338469851</v>
      </c>
      <c r="G58" s="29" t="n">
        <f aca="false">C58-D58</f>
        <v>9694387.18760251</v>
      </c>
      <c r="H58" s="72" t="n">
        <f aca="false">YEAR(B58)</f>
        <v>2030</v>
      </c>
      <c r="I58" s="72" t="n">
        <f aca="false">H58-2026</f>
        <v>4</v>
      </c>
    </row>
    <row r="59" customFormat="false" ht="15" hidden="false" customHeight="false" outlineLevel="0" collapsed="false">
      <c r="A59" s="72" t="n">
        <v>44</v>
      </c>
      <c r="B59" s="73" t="n">
        <f aca="false">EOMONTH($C$10,43)</f>
        <v>47726</v>
      </c>
      <c r="C59" s="29" t="n">
        <f aca="false">G58</f>
        <v>9694387.18760251</v>
      </c>
      <c r="D59" s="29" t="n">
        <f aca="false">IF(A59&gt;$C$6,MIN(C59,$C$13),0)</f>
        <v>236448.467990305</v>
      </c>
      <c r="E59" s="29" t="n">
        <f aca="false">C59*$C$8*DAY(B59)/$C$11</f>
        <v>58435.611658604</v>
      </c>
      <c r="F59" s="29" t="n">
        <f aca="false">D59+E59</f>
        <v>294884.079648909</v>
      </c>
      <c r="G59" s="29" t="n">
        <f aca="false">C59-D59</f>
        <v>9457938.7196122</v>
      </c>
      <c r="H59" s="72" t="n">
        <f aca="false">YEAR(B59)</f>
        <v>2030</v>
      </c>
      <c r="I59" s="72" t="n">
        <f aca="false">H59-2026</f>
        <v>4</v>
      </c>
    </row>
    <row r="60" customFormat="false" ht="15" hidden="false" customHeight="false" outlineLevel="0" collapsed="false">
      <c r="A60" s="72" t="n">
        <v>45</v>
      </c>
      <c r="B60" s="73" t="n">
        <f aca="false">EOMONTH($C$10,44)</f>
        <v>47756</v>
      </c>
      <c r="C60" s="29" t="n">
        <f aca="false">G59</f>
        <v>9457938.7196122</v>
      </c>
      <c r="D60" s="29" t="n">
        <f aca="false">IF(A60&gt;$C$6,MIN(C60,$C$13),0)</f>
        <v>236448.467990305</v>
      </c>
      <c r="E60" s="29" t="n">
        <f aca="false">C60*$C$8*DAY(B60)/$C$11</f>
        <v>55171.3091977378</v>
      </c>
      <c r="F60" s="29" t="n">
        <f aca="false">D60+E60</f>
        <v>291619.777188043</v>
      </c>
      <c r="G60" s="29" t="n">
        <f aca="false">C60-D60</f>
        <v>9221490.2516219</v>
      </c>
      <c r="H60" s="72" t="n">
        <f aca="false">YEAR(B60)</f>
        <v>2030</v>
      </c>
      <c r="I60" s="72" t="n">
        <f aca="false">H60-2026</f>
        <v>4</v>
      </c>
    </row>
    <row r="61" customFormat="false" ht="15" hidden="false" customHeight="false" outlineLevel="0" collapsed="false">
      <c r="A61" s="72" t="n">
        <v>46</v>
      </c>
      <c r="B61" s="73" t="n">
        <f aca="false">EOMONTH($C$10,45)</f>
        <v>47787</v>
      </c>
      <c r="C61" s="29" t="n">
        <f aca="false">G60</f>
        <v>9221490.2516219</v>
      </c>
      <c r="D61" s="29" t="n">
        <f aca="false">IF(A61&gt;$C$6,MIN(C61,$C$13),0)</f>
        <v>236448.467990305</v>
      </c>
      <c r="E61" s="29" t="n">
        <f aca="false">C61*$C$8*DAY(B61)/$C$11</f>
        <v>55585.0940167209</v>
      </c>
      <c r="F61" s="29" t="n">
        <f aca="false">D61+E61</f>
        <v>292033.562007026</v>
      </c>
      <c r="G61" s="29" t="n">
        <f aca="false">C61-D61</f>
        <v>8985041.78363159</v>
      </c>
      <c r="H61" s="72" t="n">
        <f aca="false">YEAR(B61)</f>
        <v>2030</v>
      </c>
      <c r="I61" s="72" t="n">
        <f aca="false">H61-2026</f>
        <v>4</v>
      </c>
    </row>
    <row r="62" customFormat="false" ht="15" hidden="false" customHeight="false" outlineLevel="0" collapsed="false">
      <c r="A62" s="72" t="n">
        <v>47</v>
      </c>
      <c r="B62" s="73" t="n">
        <f aca="false">EOMONTH($C$10,46)</f>
        <v>47817</v>
      </c>
      <c r="C62" s="29" t="n">
        <f aca="false">G61</f>
        <v>8985041.78363159</v>
      </c>
      <c r="D62" s="29" t="n">
        <f aca="false">IF(A62&gt;$C$6,MIN(C62,$C$13),0)</f>
        <v>236448.467990305</v>
      </c>
      <c r="E62" s="29" t="n">
        <f aca="false">C62*$C$8*DAY(B62)/$C$11</f>
        <v>52412.7437378509</v>
      </c>
      <c r="F62" s="29" t="n">
        <f aca="false">D62+E62</f>
        <v>288861.211728156</v>
      </c>
      <c r="G62" s="29" t="n">
        <f aca="false">C62-D62</f>
        <v>8748593.31564128</v>
      </c>
      <c r="H62" s="72" t="n">
        <f aca="false">YEAR(B62)</f>
        <v>2030</v>
      </c>
      <c r="I62" s="72" t="n">
        <f aca="false">H62-2026</f>
        <v>4</v>
      </c>
    </row>
    <row r="63" customFormat="false" ht="15" hidden="false" customHeight="false" outlineLevel="0" collapsed="false">
      <c r="A63" s="72" t="n">
        <v>48</v>
      </c>
      <c r="B63" s="73" t="n">
        <f aca="false">EOMONTH($C$10,47)</f>
        <v>47848</v>
      </c>
      <c r="C63" s="29" t="n">
        <f aca="false">G62</f>
        <v>8748593.31564128</v>
      </c>
      <c r="D63" s="29" t="n">
        <f aca="false">IF(A63&gt;$C$6,MIN(C63,$C$13),0)</f>
        <v>236448.467990305</v>
      </c>
      <c r="E63" s="29" t="n">
        <f aca="false">C63*$C$8*DAY(B63)/$C$11</f>
        <v>52734.5763748377</v>
      </c>
      <c r="F63" s="29" t="n">
        <f aca="false">D63+E63</f>
        <v>289183.044365143</v>
      </c>
      <c r="G63" s="29" t="n">
        <f aca="false">C63-D63</f>
        <v>8512144.84765098</v>
      </c>
      <c r="H63" s="72" t="n">
        <f aca="false">YEAR(B63)</f>
        <v>2030</v>
      </c>
      <c r="I63" s="72" t="n">
        <f aca="false">H63-2026</f>
        <v>4</v>
      </c>
    </row>
    <row r="64" customFormat="false" ht="15" hidden="false" customHeight="false" outlineLevel="0" collapsed="false">
      <c r="A64" s="72" t="n">
        <v>49</v>
      </c>
      <c r="B64" s="73" t="n">
        <f aca="false">EOMONTH($C$10,48)</f>
        <v>47879</v>
      </c>
      <c r="C64" s="29" t="n">
        <f aca="false">G63</f>
        <v>8512144.84765098</v>
      </c>
      <c r="D64" s="29" t="n">
        <f aca="false">IF(A64&gt;$C$6,MIN(C64,$C$13),0)</f>
        <v>236448.467990305</v>
      </c>
      <c r="E64" s="29" t="n">
        <f aca="false">C64*$C$8*DAY(B64)/$C$11</f>
        <v>51309.3175538962</v>
      </c>
      <c r="F64" s="29" t="n">
        <f aca="false">D64+E64</f>
        <v>287757.785544201</v>
      </c>
      <c r="G64" s="29" t="n">
        <f aca="false">C64-D64</f>
        <v>8275696.37966067</v>
      </c>
      <c r="H64" s="72" t="n">
        <f aca="false">YEAR(B64)</f>
        <v>2031</v>
      </c>
      <c r="I64" s="72" t="n">
        <f aca="false">H64-2026</f>
        <v>5</v>
      </c>
    </row>
    <row r="65" customFormat="false" ht="15" hidden="false" customHeight="false" outlineLevel="0" collapsed="false">
      <c r="A65" s="72" t="n">
        <v>50</v>
      </c>
      <c r="B65" s="73" t="n">
        <f aca="false">EOMONTH($C$10,49)</f>
        <v>47907</v>
      </c>
      <c r="C65" s="29" t="n">
        <f aca="false">G64</f>
        <v>8275696.37966067</v>
      </c>
      <c r="D65" s="29" t="n">
        <f aca="false">IF(A65&gt;$C$6,MIN(C65,$C$13),0)</f>
        <v>236448.467990305</v>
      </c>
      <c r="E65" s="29" t="n">
        <f aca="false">C65*$C$8*DAY(B65)/$C$11</f>
        <v>45056.5691781526</v>
      </c>
      <c r="F65" s="29" t="n">
        <f aca="false">D65+E65</f>
        <v>281505.037168458</v>
      </c>
      <c r="G65" s="29" t="n">
        <f aca="false">C65-D65</f>
        <v>8039247.91167037</v>
      </c>
      <c r="H65" s="72" t="n">
        <f aca="false">YEAR(B65)</f>
        <v>2031</v>
      </c>
      <c r="I65" s="72" t="n">
        <f aca="false">H65-2026</f>
        <v>5</v>
      </c>
    </row>
    <row r="66" customFormat="false" ht="15" hidden="false" customHeight="false" outlineLevel="0" collapsed="false">
      <c r="A66" s="72" t="n">
        <v>51</v>
      </c>
      <c r="B66" s="73" t="n">
        <f aca="false">EOMONTH($C$10,50)</f>
        <v>47938</v>
      </c>
      <c r="C66" s="29" t="n">
        <f aca="false">G65</f>
        <v>8039247.91167037</v>
      </c>
      <c r="D66" s="29" t="n">
        <f aca="false">IF(A66&gt;$C$6,MIN(C66,$C$13),0)</f>
        <v>236448.467990305</v>
      </c>
      <c r="E66" s="29" t="n">
        <f aca="false">C66*$C$8*DAY(B66)/$C$11</f>
        <v>48458.7999120131</v>
      </c>
      <c r="F66" s="29" t="n">
        <f aca="false">D66+E66</f>
        <v>284907.267902318</v>
      </c>
      <c r="G66" s="29" t="n">
        <f aca="false">C66-D66</f>
        <v>7802799.44368006</v>
      </c>
      <c r="H66" s="72" t="n">
        <f aca="false">YEAR(B66)</f>
        <v>2031</v>
      </c>
      <c r="I66" s="72" t="n">
        <f aca="false">H66-2026</f>
        <v>5</v>
      </c>
    </row>
    <row r="67" customFormat="false" ht="15" hidden="false" customHeight="false" outlineLevel="0" collapsed="false">
      <c r="A67" s="72" t="n">
        <v>52</v>
      </c>
      <c r="B67" s="73" t="n">
        <f aca="false">EOMONTH($C$10,51)</f>
        <v>47968</v>
      </c>
      <c r="C67" s="29" t="n">
        <f aca="false">G66</f>
        <v>7802799.44368006</v>
      </c>
      <c r="D67" s="29" t="n">
        <f aca="false">IF(A67&gt;$C$6,MIN(C67,$C$13),0)</f>
        <v>236448.467990305</v>
      </c>
      <c r="E67" s="29" t="n">
        <f aca="false">C67*$C$8*DAY(B67)/$C$11</f>
        <v>45516.3300881337</v>
      </c>
      <c r="F67" s="29" t="n">
        <f aca="false">D67+E67</f>
        <v>281964.798078439</v>
      </c>
      <c r="G67" s="29" t="n">
        <f aca="false">C67-D67</f>
        <v>7566350.97568976</v>
      </c>
      <c r="H67" s="72" t="n">
        <f aca="false">YEAR(B67)</f>
        <v>2031</v>
      </c>
      <c r="I67" s="72" t="n">
        <f aca="false">H67-2026</f>
        <v>5</v>
      </c>
    </row>
    <row r="68" customFormat="false" ht="15" hidden="false" customHeight="false" outlineLevel="0" collapsed="false">
      <c r="A68" s="72" t="n">
        <v>53</v>
      </c>
      <c r="B68" s="73" t="n">
        <f aca="false">EOMONTH($C$10,52)</f>
        <v>47999</v>
      </c>
      <c r="C68" s="29" t="n">
        <f aca="false">G67</f>
        <v>7566350.97568976</v>
      </c>
      <c r="D68" s="29" t="n">
        <f aca="false">IF(A68&gt;$C$6,MIN(C68,$C$13),0)</f>
        <v>236448.467990305</v>
      </c>
      <c r="E68" s="29" t="n">
        <f aca="false">C68*$C$8*DAY(B68)/$C$11</f>
        <v>45608.2822701299</v>
      </c>
      <c r="F68" s="29" t="n">
        <f aca="false">D68+E68</f>
        <v>282056.750260435</v>
      </c>
      <c r="G68" s="29" t="n">
        <f aca="false">C68-D68</f>
        <v>7329902.50769945</v>
      </c>
      <c r="H68" s="72" t="n">
        <f aca="false">YEAR(B68)</f>
        <v>2031</v>
      </c>
      <c r="I68" s="72" t="n">
        <f aca="false">H68-2026</f>
        <v>5</v>
      </c>
    </row>
    <row r="69" customFormat="false" ht="15" hidden="false" customHeight="false" outlineLevel="0" collapsed="false">
      <c r="A69" s="72" t="n">
        <v>54</v>
      </c>
      <c r="B69" s="73" t="n">
        <f aca="false">EOMONTH($C$10,53)</f>
        <v>48029</v>
      </c>
      <c r="C69" s="29" t="n">
        <f aca="false">G68</f>
        <v>7329902.50769945</v>
      </c>
      <c r="D69" s="29" t="n">
        <f aca="false">IF(A69&gt;$C$6,MIN(C69,$C$13),0)</f>
        <v>236448.467990305</v>
      </c>
      <c r="E69" s="29" t="n">
        <f aca="false">C69*$C$8*DAY(B69)/$C$11</f>
        <v>42757.7646282468</v>
      </c>
      <c r="F69" s="29" t="n">
        <f aca="false">D69+E69</f>
        <v>279206.232618552</v>
      </c>
      <c r="G69" s="29" t="n">
        <f aca="false">C69-D69</f>
        <v>7093454.03970915</v>
      </c>
      <c r="H69" s="72" t="n">
        <f aca="false">YEAR(B69)</f>
        <v>2031</v>
      </c>
      <c r="I69" s="72" t="n">
        <f aca="false">H69-2026</f>
        <v>5</v>
      </c>
    </row>
    <row r="70" customFormat="false" ht="15" hidden="false" customHeight="false" outlineLevel="0" collapsed="false">
      <c r="A70" s="72" t="n">
        <v>55</v>
      </c>
      <c r="B70" s="73" t="n">
        <f aca="false">EOMONTH($C$10,54)</f>
        <v>48060</v>
      </c>
      <c r="C70" s="29" t="n">
        <f aca="false">G69</f>
        <v>7093454.03970915</v>
      </c>
      <c r="D70" s="29" t="n">
        <f aca="false">IF(A70&gt;$C$6,MIN(C70,$C$13),0)</f>
        <v>236448.467990305</v>
      </c>
      <c r="E70" s="29" t="n">
        <f aca="false">C70*$C$8*DAY(B70)/$C$11</f>
        <v>42757.7646282468</v>
      </c>
      <c r="F70" s="29" t="n">
        <f aca="false">D70+E70</f>
        <v>279206.232618552</v>
      </c>
      <c r="G70" s="29" t="n">
        <f aca="false">C70-D70</f>
        <v>6857005.57171884</v>
      </c>
      <c r="H70" s="72" t="n">
        <f aca="false">YEAR(B70)</f>
        <v>2031</v>
      </c>
      <c r="I70" s="72" t="n">
        <f aca="false">H70-2026</f>
        <v>5</v>
      </c>
    </row>
    <row r="71" customFormat="false" ht="15" hidden="false" customHeight="false" outlineLevel="0" collapsed="false">
      <c r="A71" s="72" t="n">
        <v>56</v>
      </c>
      <c r="B71" s="73" t="n">
        <f aca="false">EOMONTH($C$10,55)</f>
        <v>48091</v>
      </c>
      <c r="C71" s="29" t="n">
        <f aca="false">G70</f>
        <v>6857005.57171884</v>
      </c>
      <c r="D71" s="29" t="n">
        <f aca="false">IF(A71&gt;$C$6,MIN(C71,$C$13),0)</f>
        <v>236448.467990305</v>
      </c>
      <c r="E71" s="29" t="n">
        <f aca="false">C71*$C$8*DAY(B71)/$C$11</f>
        <v>41332.5058073053</v>
      </c>
      <c r="F71" s="29" t="n">
        <f aca="false">D71+E71</f>
        <v>277780.97379761</v>
      </c>
      <c r="G71" s="29" t="n">
        <f aca="false">C71-D71</f>
        <v>6620557.10372854</v>
      </c>
      <c r="H71" s="72" t="n">
        <f aca="false">YEAR(B71)</f>
        <v>2031</v>
      </c>
      <c r="I71" s="72" t="n">
        <f aca="false">H71-2026</f>
        <v>5</v>
      </c>
    </row>
    <row r="72" customFormat="false" ht="15" hidden="false" customHeight="false" outlineLevel="0" collapsed="false">
      <c r="A72" s="72" t="n">
        <v>57</v>
      </c>
      <c r="B72" s="73" t="n">
        <f aca="false">EOMONTH($C$10,56)</f>
        <v>48121</v>
      </c>
      <c r="C72" s="29" t="n">
        <f aca="false">G71</f>
        <v>6620557.10372854</v>
      </c>
      <c r="D72" s="29" t="n">
        <f aca="false">IF(A72&gt;$C$6,MIN(C72,$C$13),0)</f>
        <v>236448.467990305</v>
      </c>
      <c r="E72" s="29" t="n">
        <f aca="false">C72*$C$8*DAY(B72)/$C$11</f>
        <v>38619.9164384165</v>
      </c>
      <c r="F72" s="29" t="n">
        <f aca="false">D72+E72</f>
        <v>275068.384428722</v>
      </c>
      <c r="G72" s="29" t="n">
        <f aca="false">C72-D72</f>
        <v>6384108.63573823</v>
      </c>
      <c r="H72" s="72" t="n">
        <f aca="false">YEAR(B72)</f>
        <v>2031</v>
      </c>
      <c r="I72" s="72" t="n">
        <f aca="false">H72-2026</f>
        <v>5</v>
      </c>
    </row>
    <row r="73" customFormat="false" ht="15" hidden="false" customHeight="false" outlineLevel="0" collapsed="false">
      <c r="A73" s="72" t="n">
        <v>58</v>
      </c>
      <c r="B73" s="73" t="n">
        <f aca="false">EOMONTH($C$10,57)</f>
        <v>48152</v>
      </c>
      <c r="C73" s="29" t="n">
        <f aca="false">G72</f>
        <v>6384108.63573823</v>
      </c>
      <c r="D73" s="29" t="n">
        <f aca="false">IF(A73&gt;$C$6,MIN(C73,$C$13),0)</f>
        <v>236448.467990305</v>
      </c>
      <c r="E73" s="29" t="n">
        <f aca="false">C73*$C$8*DAY(B73)/$C$11</f>
        <v>38481.9881654221</v>
      </c>
      <c r="F73" s="29" t="n">
        <f aca="false">D73+E73</f>
        <v>274930.456155727</v>
      </c>
      <c r="G73" s="29" t="n">
        <f aca="false">C73-D73</f>
        <v>6147660.16774793</v>
      </c>
      <c r="H73" s="72" t="n">
        <f aca="false">YEAR(B73)</f>
        <v>2031</v>
      </c>
      <c r="I73" s="72" t="n">
        <f aca="false">H73-2026</f>
        <v>5</v>
      </c>
    </row>
    <row r="74" customFormat="false" ht="15" hidden="false" customHeight="false" outlineLevel="0" collapsed="false">
      <c r="A74" s="72" t="n">
        <v>59</v>
      </c>
      <c r="B74" s="73" t="n">
        <f aca="false">EOMONTH($C$10,58)</f>
        <v>48182</v>
      </c>
      <c r="C74" s="29" t="n">
        <f aca="false">G73</f>
        <v>6147660.16774793</v>
      </c>
      <c r="D74" s="29" t="n">
        <f aca="false">IF(A74&gt;$C$6,MIN(C74,$C$13),0)</f>
        <v>236448.467990305</v>
      </c>
      <c r="E74" s="29" t="n">
        <f aca="false">C74*$C$8*DAY(B74)/$C$11</f>
        <v>35861.3509785296</v>
      </c>
      <c r="F74" s="29" t="n">
        <f aca="false">D74+E74</f>
        <v>272309.818968835</v>
      </c>
      <c r="G74" s="29" t="n">
        <f aca="false">C74-D74</f>
        <v>5911211.69975762</v>
      </c>
      <c r="H74" s="72" t="n">
        <f aca="false">YEAR(B74)</f>
        <v>2031</v>
      </c>
      <c r="I74" s="72" t="n">
        <f aca="false">H74-2026</f>
        <v>5</v>
      </c>
    </row>
    <row r="75" customFormat="false" ht="15" hidden="false" customHeight="false" outlineLevel="0" collapsed="false">
      <c r="A75" s="72" t="n">
        <v>60</v>
      </c>
      <c r="B75" s="73" t="n">
        <f aca="false">EOMONTH($C$10,59)</f>
        <v>48213</v>
      </c>
      <c r="C75" s="29" t="n">
        <f aca="false">G74</f>
        <v>5911211.69975762</v>
      </c>
      <c r="D75" s="29" t="n">
        <f aca="false">IF(A75&gt;$C$6,MIN(C75,$C$13),0)</f>
        <v>236448.467990305</v>
      </c>
      <c r="E75" s="29" t="n">
        <f aca="false">C75*$C$8*DAY(B75)/$C$11</f>
        <v>35631.470523539</v>
      </c>
      <c r="F75" s="29" t="n">
        <f aca="false">D75+E75</f>
        <v>272079.938513844</v>
      </c>
      <c r="G75" s="29" t="n">
        <f aca="false">C75-D75</f>
        <v>5674763.23176732</v>
      </c>
      <c r="H75" s="72" t="n">
        <f aca="false">YEAR(B75)</f>
        <v>2031</v>
      </c>
      <c r="I75" s="72" t="n">
        <f aca="false">H75-2026</f>
        <v>5</v>
      </c>
    </row>
    <row r="76" customFormat="false" ht="15" hidden="false" customHeight="false" outlineLevel="0" collapsed="false">
      <c r="A76" s="72" t="n">
        <v>61</v>
      </c>
      <c r="B76" s="73" t="n">
        <f aca="false">EOMONTH($C$10,60)</f>
        <v>48244</v>
      </c>
      <c r="C76" s="29" t="n">
        <f aca="false">G75</f>
        <v>5674763.23176732</v>
      </c>
      <c r="D76" s="29" t="n">
        <f aca="false">IF(A76&gt;$C$6,MIN(C76,$C$13),0)</f>
        <v>236448.467990305</v>
      </c>
      <c r="E76" s="29" t="n">
        <f aca="false">C76*$C$8*DAY(B76)/$C$11</f>
        <v>34206.2117025974</v>
      </c>
      <c r="F76" s="29" t="n">
        <f aca="false">D76+E76</f>
        <v>270654.679692903</v>
      </c>
      <c r="G76" s="29" t="n">
        <f aca="false">C76-D76</f>
        <v>5438314.76377701</v>
      </c>
      <c r="H76" s="72" t="n">
        <f aca="false">YEAR(B76)</f>
        <v>2032</v>
      </c>
      <c r="I76" s="72" t="n">
        <f aca="false">H76-2026</f>
        <v>6</v>
      </c>
    </row>
    <row r="77" customFormat="false" ht="15" hidden="false" customHeight="false" outlineLevel="0" collapsed="false">
      <c r="A77" s="72" t="n">
        <v>62</v>
      </c>
      <c r="B77" s="73" t="n">
        <f aca="false">EOMONTH($C$10,61)</f>
        <v>48273</v>
      </c>
      <c r="C77" s="29" t="n">
        <f aca="false">G76</f>
        <v>5438314.76377701</v>
      </c>
      <c r="D77" s="29" t="n">
        <f aca="false">IF(A77&gt;$C$6,MIN(C77,$C$13),0)</f>
        <v>236448.467990305</v>
      </c>
      <c r="E77" s="29" t="n">
        <f aca="false">C77*$C$8*DAY(B77)/$C$11</f>
        <v>30666.0526957426</v>
      </c>
      <c r="F77" s="29" t="n">
        <f aca="false">D77+E77</f>
        <v>267114.520686048</v>
      </c>
      <c r="G77" s="29" t="n">
        <f aca="false">C77-D77</f>
        <v>5201866.29578671</v>
      </c>
      <c r="H77" s="72" t="n">
        <f aca="false">YEAR(B77)</f>
        <v>2032</v>
      </c>
      <c r="I77" s="72" t="n">
        <f aca="false">H77-2026</f>
        <v>6</v>
      </c>
    </row>
    <row r="78" customFormat="false" ht="15" hidden="false" customHeight="false" outlineLevel="0" collapsed="false">
      <c r="A78" s="72" t="n">
        <v>63</v>
      </c>
      <c r="B78" s="73" t="n">
        <f aca="false">EOMONTH($C$10,62)</f>
        <v>48304</v>
      </c>
      <c r="C78" s="29" t="n">
        <f aca="false">G77</f>
        <v>5201866.29578671</v>
      </c>
      <c r="D78" s="29" t="n">
        <f aca="false">IF(A78&gt;$C$6,MIN(C78,$C$13),0)</f>
        <v>236448.467990305</v>
      </c>
      <c r="E78" s="29" t="n">
        <f aca="false">C78*$C$8*DAY(B78)/$C$11</f>
        <v>31355.6940607143</v>
      </c>
      <c r="F78" s="29" t="n">
        <f aca="false">D78+E78</f>
        <v>267804.162051019</v>
      </c>
      <c r="G78" s="29" t="n">
        <f aca="false">C78-D78</f>
        <v>4965417.8277964</v>
      </c>
      <c r="H78" s="72" t="n">
        <f aca="false">YEAR(B78)</f>
        <v>2032</v>
      </c>
      <c r="I78" s="72" t="n">
        <f aca="false">H78-2026</f>
        <v>6</v>
      </c>
    </row>
    <row r="79" customFormat="false" ht="15" hidden="false" customHeight="false" outlineLevel="0" collapsed="false">
      <c r="A79" s="72" t="n">
        <v>64</v>
      </c>
      <c r="B79" s="73" t="n">
        <f aca="false">EOMONTH($C$10,63)</f>
        <v>48334</v>
      </c>
      <c r="C79" s="29" t="n">
        <f aca="false">G78</f>
        <v>4965417.8277964</v>
      </c>
      <c r="D79" s="29" t="n">
        <f aca="false">IF(A79&gt;$C$6,MIN(C79,$C$13),0)</f>
        <v>236448.467990305</v>
      </c>
      <c r="E79" s="29" t="n">
        <f aca="false">C79*$C$8*DAY(B79)/$C$11</f>
        <v>28964.9373288123</v>
      </c>
      <c r="F79" s="29" t="n">
        <f aca="false">D79+E79</f>
        <v>265413.405319118</v>
      </c>
      <c r="G79" s="29" t="n">
        <f aca="false">C79-D79</f>
        <v>4728969.35980609</v>
      </c>
      <c r="H79" s="72" t="n">
        <f aca="false">YEAR(B79)</f>
        <v>2032</v>
      </c>
      <c r="I79" s="72" t="n">
        <f aca="false">H79-2026</f>
        <v>6</v>
      </c>
    </row>
    <row r="80" customFormat="false" ht="15" hidden="false" customHeight="false" outlineLevel="0" collapsed="false">
      <c r="A80" s="72" t="n">
        <v>65</v>
      </c>
      <c r="B80" s="73" t="n">
        <f aca="false">EOMONTH($C$10,64)</f>
        <v>48365</v>
      </c>
      <c r="C80" s="29" t="n">
        <f aca="false">G79</f>
        <v>4728969.35980609</v>
      </c>
      <c r="D80" s="29" t="n">
        <f aca="false">IF(A80&gt;$C$6,MIN(C80,$C$13),0)</f>
        <v>236448.467990305</v>
      </c>
      <c r="E80" s="29" t="n">
        <f aca="false">C80*$C$8*DAY(B80)/$C$11</f>
        <v>28505.1764188312</v>
      </c>
      <c r="F80" s="29" t="n">
        <f aca="false">D80+E80</f>
        <v>264953.644409136</v>
      </c>
      <c r="G80" s="29" t="n">
        <f aca="false">C80-D80</f>
        <v>4492520.89181579</v>
      </c>
      <c r="H80" s="72" t="n">
        <f aca="false">YEAR(B80)</f>
        <v>2032</v>
      </c>
      <c r="I80" s="72" t="n">
        <f aca="false">H80-2026</f>
        <v>6</v>
      </c>
    </row>
    <row r="81" customFormat="false" ht="15" hidden="false" customHeight="false" outlineLevel="0" collapsed="false">
      <c r="A81" s="72" t="n">
        <v>66</v>
      </c>
      <c r="B81" s="73" t="n">
        <f aca="false">EOMONTH($C$10,65)</f>
        <v>48395</v>
      </c>
      <c r="C81" s="29" t="n">
        <f aca="false">G80</f>
        <v>4492520.89181579</v>
      </c>
      <c r="D81" s="29" t="n">
        <f aca="false">IF(A81&gt;$C$6,MIN(C81,$C$13),0)</f>
        <v>236448.467990305</v>
      </c>
      <c r="E81" s="29" t="n">
        <f aca="false">C81*$C$8*DAY(B81)/$C$11</f>
        <v>26206.3718689254</v>
      </c>
      <c r="F81" s="29" t="n">
        <f aca="false">D81+E81</f>
        <v>262654.839859231</v>
      </c>
      <c r="G81" s="29" t="n">
        <f aca="false">C81-D81</f>
        <v>4256072.42382548</v>
      </c>
      <c r="H81" s="72" t="n">
        <f aca="false">YEAR(B81)</f>
        <v>2032</v>
      </c>
      <c r="I81" s="72" t="n">
        <f aca="false">H81-2026</f>
        <v>6</v>
      </c>
    </row>
    <row r="82" customFormat="false" ht="15" hidden="false" customHeight="false" outlineLevel="0" collapsed="false">
      <c r="A82" s="72" t="n">
        <v>67</v>
      </c>
      <c r="B82" s="73" t="n">
        <f aca="false">EOMONTH($C$10,66)</f>
        <v>48426</v>
      </c>
      <c r="C82" s="29" t="n">
        <f aca="false">G81</f>
        <v>4256072.42382548</v>
      </c>
      <c r="D82" s="29" t="n">
        <f aca="false">IF(A82&gt;$C$6,MIN(C82,$C$13),0)</f>
        <v>236448.467990305</v>
      </c>
      <c r="E82" s="29" t="n">
        <f aca="false">C82*$C$8*DAY(B82)/$C$11</f>
        <v>25654.6587769481</v>
      </c>
      <c r="F82" s="29" t="n">
        <f aca="false">D82+E82</f>
        <v>262103.126767253</v>
      </c>
      <c r="G82" s="29" t="n">
        <f aca="false">C82-D82</f>
        <v>4019623.95583518</v>
      </c>
      <c r="H82" s="72" t="n">
        <f aca="false">YEAR(B82)</f>
        <v>2032</v>
      </c>
      <c r="I82" s="72" t="n">
        <f aca="false">H82-2026</f>
        <v>6</v>
      </c>
    </row>
    <row r="83" customFormat="false" ht="15" hidden="false" customHeight="false" outlineLevel="0" collapsed="false">
      <c r="A83" s="72" t="n">
        <v>68</v>
      </c>
      <c r="B83" s="73" t="n">
        <f aca="false">EOMONTH($C$10,67)</f>
        <v>48457</v>
      </c>
      <c r="C83" s="29" t="n">
        <f aca="false">G82</f>
        <v>4019623.95583518</v>
      </c>
      <c r="D83" s="29" t="n">
        <f aca="false">IF(A83&gt;$C$6,MIN(C83,$C$13),0)</f>
        <v>236448.467990305</v>
      </c>
      <c r="E83" s="29" t="n">
        <f aca="false">C83*$C$8*DAY(B83)/$C$11</f>
        <v>24229.3999560065</v>
      </c>
      <c r="F83" s="29" t="n">
        <f aca="false">D83+E83</f>
        <v>260677.867946312</v>
      </c>
      <c r="G83" s="29" t="n">
        <f aca="false">C83-D83</f>
        <v>3783175.48784487</v>
      </c>
      <c r="H83" s="72" t="n">
        <f aca="false">YEAR(B83)</f>
        <v>2032</v>
      </c>
      <c r="I83" s="72" t="n">
        <f aca="false">H83-2026</f>
        <v>6</v>
      </c>
    </row>
    <row r="84" customFormat="false" ht="15" hidden="false" customHeight="false" outlineLevel="0" collapsed="false">
      <c r="A84" s="72" t="n">
        <v>69</v>
      </c>
      <c r="B84" s="73" t="n">
        <f aca="false">EOMONTH($C$10,68)</f>
        <v>48487</v>
      </c>
      <c r="C84" s="29" t="n">
        <f aca="false">G83</f>
        <v>3783175.48784487</v>
      </c>
      <c r="D84" s="29" t="n">
        <f aca="false">IF(A84&gt;$C$6,MIN(C84,$C$13),0)</f>
        <v>236448.467990305</v>
      </c>
      <c r="E84" s="29" t="n">
        <f aca="false">C84*$C$8*DAY(B84)/$C$11</f>
        <v>22068.5236790951</v>
      </c>
      <c r="F84" s="29" t="n">
        <f aca="false">D84+E84</f>
        <v>258516.9916694</v>
      </c>
      <c r="G84" s="29" t="n">
        <f aca="false">C84-D84</f>
        <v>3546727.01985457</v>
      </c>
      <c r="H84" s="72" t="n">
        <f aca="false">YEAR(B84)</f>
        <v>2032</v>
      </c>
      <c r="I84" s="72" t="n">
        <f aca="false">H84-2026</f>
        <v>6</v>
      </c>
    </row>
    <row r="85" customFormat="false" ht="15" hidden="false" customHeight="false" outlineLevel="0" collapsed="false">
      <c r="A85" s="72" t="n">
        <v>70</v>
      </c>
      <c r="B85" s="73" t="n">
        <f aca="false">EOMONTH($C$10,69)</f>
        <v>48518</v>
      </c>
      <c r="C85" s="29" t="n">
        <f aca="false">G84</f>
        <v>3546727.01985457</v>
      </c>
      <c r="D85" s="29" t="n">
        <f aca="false">IF(A85&gt;$C$6,MIN(C85,$C$13),0)</f>
        <v>236448.467990305</v>
      </c>
      <c r="E85" s="29" t="n">
        <f aca="false">C85*$C$8*DAY(B85)/$C$11</f>
        <v>21378.8823141234</v>
      </c>
      <c r="F85" s="29" t="n">
        <f aca="false">D85+E85</f>
        <v>257827.350304429</v>
      </c>
      <c r="G85" s="29" t="n">
        <f aca="false">C85-D85</f>
        <v>3310278.55186426</v>
      </c>
      <c r="H85" s="72" t="n">
        <f aca="false">YEAR(B85)</f>
        <v>2032</v>
      </c>
      <c r="I85" s="72" t="n">
        <f aca="false">H85-2026</f>
        <v>6</v>
      </c>
    </row>
    <row r="86" customFormat="false" ht="15" hidden="false" customHeight="false" outlineLevel="0" collapsed="false">
      <c r="A86" s="72" t="n">
        <v>71</v>
      </c>
      <c r="B86" s="73" t="n">
        <f aca="false">EOMONTH($C$10,70)</f>
        <v>48548</v>
      </c>
      <c r="C86" s="29" t="n">
        <f aca="false">G85</f>
        <v>3310278.55186426</v>
      </c>
      <c r="D86" s="29" t="n">
        <f aca="false">IF(A86&gt;$C$6,MIN(C86,$C$13),0)</f>
        <v>236448.467990305</v>
      </c>
      <c r="E86" s="29" t="n">
        <f aca="false">C86*$C$8*DAY(B86)/$C$11</f>
        <v>19309.9582192082</v>
      </c>
      <c r="F86" s="29" t="n">
        <f aca="false">D86+E86</f>
        <v>255758.426209513</v>
      </c>
      <c r="G86" s="29" t="n">
        <f aca="false">C86-D86</f>
        <v>3073830.08387396</v>
      </c>
      <c r="H86" s="72" t="n">
        <f aca="false">YEAR(B86)</f>
        <v>2032</v>
      </c>
      <c r="I86" s="72" t="n">
        <f aca="false">H86-2026</f>
        <v>6</v>
      </c>
    </row>
    <row r="87" customFormat="false" ht="15" hidden="false" customHeight="false" outlineLevel="0" collapsed="false">
      <c r="A87" s="72" t="n">
        <v>72</v>
      </c>
      <c r="B87" s="73" t="n">
        <f aca="false">EOMONTH($C$10,71)</f>
        <v>48579</v>
      </c>
      <c r="C87" s="29" t="n">
        <f aca="false">G86</f>
        <v>3073830.08387396</v>
      </c>
      <c r="D87" s="29" t="n">
        <f aca="false">IF(A87&gt;$C$6,MIN(C87,$C$13),0)</f>
        <v>236448.467990305</v>
      </c>
      <c r="E87" s="29" t="n">
        <f aca="false">C87*$C$8*DAY(B87)/$C$11</f>
        <v>18528.3646722402</v>
      </c>
      <c r="F87" s="29" t="n">
        <f aca="false">D87+E87</f>
        <v>254976.832662545</v>
      </c>
      <c r="G87" s="29" t="n">
        <f aca="false">C87-D87</f>
        <v>2837381.61588365</v>
      </c>
      <c r="H87" s="72" t="n">
        <f aca="false">YEAR(B87)</f>
        <v>2032</v>
      </c>
      <c r="I87" s="72" t="n">
        <f aca="false">H87-2026</f>
        <v>6</v>
      </c>
    </row>
    <row r="88" customFormat="false" ht="15" hidden="false" customHeight="false" outlineLevel="0" collapsed="false">
      <c r="A88" s="72" t="n">
        <v>73</v>
      </c>
      <c r="B88" s="73" t="n">
        <f aca="false">EOMONTH($C$10,72)</f>
        <v>48610</v>
      </c>
      <c r="C88" s="29" t="n">
        <f aca="false">G87</f>
        <v>2837381.61588365</v>
      </c>
      <c r="D88" s="29" t="n">
        <f aca="false">IF(A88&gt;$C$6,MIN(C88,$C$13),0)</f>
        <v>236448.467990305</v>
      </c>
      <c r="E88" s="29" t="n">
        <f aca="false">C88*$C$8*DAY(B88)/$C$11</f>
        <v>17103.1058512987</v>
      </c>
      <c r="F88" s="29" t="n">
        <f aca="false">D88+E88</f>
        <v>253551.573841604</v>
      </c>
      <c r="G88" s="29" t="n">
        <f aca="false">C88-D88</f>
        <v>2600933.14789335</v>
      </c>
      <c r="H88" s="72" t="n">
        <f aca="false">YEAR(B88)</f>
        <v>2033</v>
      </c>
      <c r="I88" s="72" t="n">
        <f aca="false">H88-2026</f>
        <v>7</v>
      </c>
    </row>
    <row r="89" customFormat="false" ht="15" hidden="false" customHeight="false" outlineLevel="0" collapsed="false">
      <c r="A89" s="72" t="n">
        <v>74</v>
      </c>
      <c r="B89" s="73" t="n">
        <f aca="false">EOMONTH($C$10,73)</f>
        <v>48638</v>
      </c>
      <c r="C89" s="29" t="n">
        <f aca="false">G88</f>
        <v>2600933.14789335</v>
      </c>
      <c r="D89" s="29" t="n">
        <f aca="false">IF(A89&gt;$C$6,MIN(C89,$C$13),0)</f>
        <v>236448.467990305</v>
      </c>
      <c r="E89" s="29" t="n">
        <f aca="false">C89*$C$8*DAY(B89)/$C$11</f>
        <v>14160.6360274193</v>
      </c>
      <c r="F89" s="29" t="n">
        <f aca="false">D89+E89</f>
        <v>250609.104017724</v>
      </c>
      <c r="G89" s="29" t="n">
        <f aca="false">C89-D89</f>
        <v>2364484.67990304</v>
      </c>
      <c r="H89" s="72" t="n">
        <f aca="false">YEAR(B89)</f>
        <v>2033</v>
      </c>
      <c r="I89" s="72" t="n">
        <f aca="false">H89-2026</f>
        <v>7</v>
      </c>
    </row>
    <row r="90" customFormat="false" ht="15" hidden="false" customHeight="false" outlineLevel="0" collapsed="false">
      <c r="A90" s="72" t="n">
        <v>75</v>
      </c>
      <c r="B90" s="73" t="n">
        <f aca="false">EOMONTH($C$10,74)</f>
        <v>48669</v>
      </c>
      <c r="C90" s="29" t="n">
        <f aca="false">G89</f>
        <v>2364484.67990304</v>
      </c>
      <c r="D90" s="29" t="n">
        <f aca="false">IF(A90&gt;$C$6,MIN(C90,$C$13),0)</f>
        <v>236448.467990305</v>
      </c>
      <c r="E90" s="29" t="n">
        <f aca="false">C90*$C$8*DAY(B90)/$C$11</f>
        <v>14252.5882094156</v>
      </c>
      <c r="F90" s="29" t="n">
        <f aca="false">D90+E90</f>
        <v>250701.056199721</v>
      </c>
      <c r="G90" s="29" t="n">
        <f aca="false">C90-D90</f>
        <v>2128036.21191274</v>
      </c>
      <c r="H90" s="72" t="n">
        <f aca="false">YEAR(B90)</f>
        <v>2033</v>
      </c>
      <c r="I90" s="72" t="n">
        <f aca="false">H90-2026</f>
        <v>7</v>
      </c>
    </row>
    <row r="91" customFormat="false" ht="15" hidden="false" customHeight="false" outlineLevel="0" collapsed="false">
      <c r="A91" s="72" t="n">
        <v>76</v>
      </c>
      <c r="B91" s="73" t="n">
        <f aca="false">EOMONTH($C$10,75)</f>
        <v>48699</v>
      </c>
      <c r="C91" s="29" t="n">
        <f aca="false">G90</f>
        <v>2128036.21191274</v>
      </c>
      <c r="D91" s="29" t="n">
        <f aca="false">IF(A91&gt;$C$6,MIN(C91,$C$13),0)</f>
        <v>236448.467990305</v>
      </c>
      <c r="E91" s="29" t="n">
        <f aca="false">C91*$C$8*DAY(B91)/$C$11</f>
        <v>12413.544569491</v>
      </c>
      <c r="F91" s="29" t="n">
        <f aca="false">D91+E91</f>
        <v>248862.012559796</v>
      </c>
      <c r="G91" s="29" t="n">
        <f aca="false">C91-D91</f>
        <v>1891587.74392243</v>
      </c>
      <c r="H91" s="72" t="n">
        <f aca="false">YEAR(B91)</f>
        <v>2033</v>
      </c>
      <c r="I91" s="72" t="n">
        <f aca="false">H91-2026</f>
        <v>7</v>
      </c>
    </row>
    <row r="92" customFormat="false" ht="15" hidden="false" customHeight="false" outlineLevel="0" collapsed="false">
      <c r="A92" s="72" t="n">
        <v>77</v>
      </c>
      <c r="B92" s="73" t="n">
        <f aca="false">EOMONTH($C$10,76)</f>
        <v>48730</v>
      </c>
      <c r="C92" s="29" t="n">
        <f aca="false">G91</f>
        <v>1891587.74392243</v>
      </c>
      <c r="D92" s="29" t="n">
        <f aca="false">IF(A92&gt;$C$6,MIN(C92,$C$13),0)</f>
        <v>236448.467990305</v>
      </c>
      <c r="E92" s="29" t="n">
        <f aca="false">C92*$C$8*DAY(B92)/$C$11</f>
        <v>11402.0705675324</v>
      </c>
      <c r="F92" s="29" t="n">
        <f aca="false">D92+E92</f>
        <v>247850.538557838</v>
      </c>
      <c r="G92" s="29" t="n">
        <f aca="false">C92-D92</f>
        <v>1655139.27593213</v>
      </c>
      <c r="H92" s="72" t="n">
        <f aca="false">YEAR(B92)</f>
        <v>2033</v>
      </c>
      <c r="I92" s="72" t="n">
        <f aca="false">H92-2026</f>
        <v>7</v>
      </c>
    </row>
    <row r="93" customFormat="false" ht="15" hidden="false" customHeight="false" outlineLevel="0" collapsed="false">
      <c r="A93" s="72" t="n">
        <v>78</v>
      </c>
      <c r="B93" s="73" t="n">
        <f aca="false">EOMONTH($C$10,77)</f>
        <v>48760</v>
      </c>
      <c r="C93" s="29" t="n">
        <f aca="false">G92</f>
        <v>1655139.27593213</v>
      </c>
      <c r="D93" s="29" t="n">
        <f aca="false">IF(A93&gt;$C$6,MIN(C93,$C$13),0)</f>
        <v>236448.467990305</v>
      </c>
      <c r="E93" s="29" t="n">
        <f aca="false">C93*$C$8*DAY(B93)/$C$11</f>
        <v>9654.97910960407</v>
      </c>
      <c r="F93" s="29" t="n">
        <f aca="false">D93+E93</f>
        <v>246103.447099909</v>
      </c>
      <c r="G93" s="29" t="n">
        <f aca="false">C93-D93</f>
        <v>1418690.80794182</v>
      </c>
      <c r="H93" s="72" t="n">
        <f aca="false">YEAR(B93)</f>
        <v>2033</v>
      </c>
      <c r="I93" s="72" t="n">
        <f aca="false">H93-2026</f>
        <v>7</v>
      </c>
    </row>
    <row r="94" customFormat="false" ht="15" hidden="false" customHeight="false" outlineLevel="0" collapsed="false">
      <c r="A94" s="72" t="n">
        <v>79</v>
      </c>
      <c r="B94" s="73" t="n">
        <f aca="false">EOMONTH($C$10,78)</f>
        <v>48791</v>
      </c>
      <c r="C94" s="29" t="n">
        <f aca="false">G93</f>
        <v>1418690.80794182</v>
      </c>
      <c r="D94" s="29" t="n">
        <f aca="false">IF(A94&gt;$C$6,MIN(C94,$C$13),0)</f>
        <v>236448.467990305</v>
      </c>
      <c r="E94" s="29" t="n">
        <f aca="false">C94*$C$8*DAY(B94)/$C$11</f>
        <v>8551.55292564931</v>
      </c>
      <c r="F94" s="29" t="n">
        <f aca="false">D94+E94</f>
        <v>245000.020915954</v>
      </c>
      <c r="G94" s="29" t="n">
        <f aca="false">C94-D94</f>
        <v>1182242.33995152</v>
      </c>
      <c r="H94" s="72" t="n">
        <f aca="false">YEAR(B94)</f>
        <v>2033</v>
      </c>
      <c r="I94" s="72" t="n">
        <f aca="false">H94-2026</f>
        <v>7</v>
      </c>
    </row>
    <row r="95" customFormat="false" ht="15" hidden="false" customHeight="false" outlineLevel="0" collapsed="false">
      <c r="A95" s="72" t="n">
        <v>80</v>
      </c>
      <c r="B95" s="73" t="n">
        <f aca="false">EOMONTH($C$10,79)</f>
        <v>48822</v>
      </c>
      <c r="C95" s="29" t="n">
        <f aca="false">G94</f>
        <v>1182242.33995152</v>
      </c>
      <c r="D95" s="29" t="n">
        <f aca="false">IF(A95&gt;$C$6,MIN(C95,$C$13),0)</f>
        <v>236448.467990305</v>
      </c>
      <c r="E95" s="29" t="n">
        <f aca="false">C95*$C$8*DAY(B95)/$C$11</f>
        <v>7126.29410470775</v>
      </c>
      <c r="F95" s="29" t="n">
        <f aca="false">D95+E95</f>
        <v>243574.762095013</v>
      </c>
      <c r="G95" s="29" t="n">
        <f aca="false">C95-D95</f>
        <v>945793.871961211</v>
      </c>
      <c r="H95" s="72" t="n">
        <f aca="false">YEAR(B95)</f>
        <v>2033</v>
      </c>
      <c r="I95" s="72" t="n">
        <f aca="false">H95-2026</f>
        <v>7</v>
      </c>
    </row>
    <row r="96" customFormat="false" ht="15" hidden="false" customHeight="false" outlineLevel="0" collapsed="false">
      <c r="A96" s="72" t="n">
        <v>81</v>
      </c>
      <c r="B96" s="73" t="n">
        <f aca="false">EOMONTH($C$10,80)</f>
        <v>48852</v>
      </c>
      <c r="C96" s="29" t="n">
        <f aca="false">G95</f>
        <v>945793.871961211</v>
      </c>
      <c r="D96" s="29" t="n">
        <f aca="false">IF(A96&gt;$C$6,MIN(C96,$C$13),0)</f>
        <v>236448.467990305</v>
      </c>
      <c r="E96" s="29" t="n">
        <f aca="false">C96*$C$8*DAY(B96)/$C$11</f>
        <v>5517.13091977373</v>
      </c>
      <c r="F96" s="29" t="n">
        <f aca="false">D96+E96</f>
        <v>241965.598910079</v>
      </c>
      <c r="G96" s="29" t="n">
        <f aca="false">C96-D96</f>
        <v>709345.403970906</v>
      </c>
      <c r="H96" s="72" t="n">
        <f aca="false">YEAR(B96)</f>
        <v>2033</v>
      </c>
      <c r="I96" s="72" t="n">
        <f aca="false">H96-2026</f>
        <v>7</v>
      </c>
    </row>
    <row r="97" customFormat="false" ht="15" hidden="false" customHeight="false" outlineLevel="0" collapsed="false">
      <c r="A97" s="72" t="n">
        <v>82</v>
      </c>
      <c r="B97" s="73" t="n">
        <f aca="false">EOMONTH($C$10,81)</f>
        <v>48883</v>
      </c>
      <c r="C97" s="29" t="n">
        <f aca="false">G96</f>
        <v>709345.403970906</v>
      </c>
      <c r="D97" s="29" t="n">
        <f aca="false">IF(A97&gt;$C$6,MIN(C97,$C$13),0)</f>
        <v>236448.467990305</v>
      </c>
      <c r="E97" s="29" t="n">
        <f aca="false">C97*$C$8*DAY(B97)/$C$11</f>
        <v>4275.77646282463</v>
      </c>
      <c r="F97" s="29" t="n">
        <f aca="false">D97+E97</f>
        <v>240724.24445313</v>
      </c>
      <c r="G97" s="29" t="n">
        <f aca="false">C97-D97</f>
        <v>472896.935980601</v>
      </c>
      <c r="H97" s="72" t="n">
        <f aca="false">YEAR(B97)</f>
        <v>2033</v>
      </c>
      <c r="I97" s="72" t="n">
        <f aca="false">H97-2026</f>
        <v>7</v>
      </c>
    </row>
    <row r="98" customFormat="false" ht="15" hidden="false" customHeight="false" outlineLevel="0" collapsed="false">
      <c r="A98" s="72" t="n">
        <v>83</v>
      </c>
      <c r="B98" s="73" t="n">
        <f aca="false">EOMONTH($C$10,82)</f>
        <v>48913</v>
      </c>
      <c r="C98" s="29" t="n">
        <f aca="false">G97</f>
        <v>472896.935980601</v>
      </c>
      <c r="D98" s="29" t="n">
        <f aca="false">IF(A98&gt;$C$6,MIN(C98,$C$13),0)</f>
        <v>236448.467990305</v>
      </c>
      <c r="E98" s="29" t="n">
        <f aca="false">C98*$C$8*DAY(B98)/$C$11</f>
        <v>2758.56545988684</v>
      </c>
      <c r="F98" s="29" t="n">
        <f aca="false">D98+E98</f>
        <v>239207.033450192</v>
      </c>
      <c r="G98" s="29" t="n">
        <f aca="false">C98-D98</f>
        <v>236448.467990296</v>
      </c>
      <c r="H98" s="72" t="n">
        <f aca="false">YEAR(B98)</f>
        <v>2033</v>
      </c>
      <c r="I98" s="72" t="n">
        <f aca="false">H98-2026</f>
        <v>7</v>
      </c>
    </row>
    <row r="99" customFormat="false" ht="15" hidden="false" customHeight="false" outlineLevel="0" collapsed="false">
      <c r="A99" s="72" t="n">
        <v>84</v>
      </c>
      <c r="B99" s="73" t="n">
        <f aca="false">EOMONTH($C$10,83)</f>
        <v>48944</v>
      </c>
      <c r="C99" s="29" t="n">
        <f aca="false">G98</f>
        <v>236448.467990296</v>
      </c>
      <c r="D99" s="29" t="n">
        <f aca="false">IF(A99&gt;$C$6,MIN(C99,$C$13),0)</f>
        <v>236448.467990296</v>
      </c>
      <c r="E99" s="29" t="n">
        <f aca="false">C99*$C$8*DAY(B99)/$C$11</f>
        <v>1425.2588209415</v>
      </c>
      <c r="F99" s="29" t="n">
        <f aca="false">D99+E99</f>
        <v>237873.726811237</v>
      </c>
      <c r="G99" s="29" t="n">
        <f aca="false">C99-D99</f>
        <v>0</v>
      </c>
      <c r="H99" s="72" t="n">
        <f aca="false">YEAR(B99)</f>
        <v>2033</v>
      </c>
      <c r="I99" s="72" t="n">
        <f aca="false">H99-2026</f>
        <v>7</v>
      </c>
    </row>
    <row r="100" customFormat="false" ht="15" hidden="false" customHeight="false" outlineLevel="0" collapsed="false">
      <c r="B100" s="10" t="s">
        <v>431</v>
      </c>
      <c r="D100" s="47" t="n">
        <f aca="false">SUM(D16:D99)</f>
        <v>17024289.695302</v>
      </c>
      <c r="E100" s="47" t="n">
        <f aca="false">SUM(E16:E99)</f>
        <v>4885051.6207317</v>
      </c>
      <c r="F100" s="47" t="n">
        <f aca="false">SUM(F16:F99)</f>
        <v>21909341.3160337</v>
      </c>
    </row>
    <row r="102" customFormat="false" ht="15" hidden="false" customHeight="false" outlineLevel="0" collapsed="false">
      <c r="B102" s="33" t="s">
        <v>492</v>
      </c>
    </row>
    <row r="103" customFormat="false" ht="15" hidden="false" customHeight="false" outlineLevel="0" collapsed="false">
      <c r="B103" s="4" t="s">
        <v>42</v>
      </c>
      <c r="C103" s="17" t="s">
        <v>493</v>
      </c>
      <c r="D103" s="17" t="s">
        <v>494</v>
      </c>
      <c r="E103" s="17" t="s">
        <v>495</v>
      </c>
      <c r="F103" s="17" t="s">
        <v>496</v>
      </c>
      <c r="G103" s="17" t="s">
        <v>497</v>
      </c>
      <c r="H103" s="17" t="s">
        <v>498</v>
      </c>
      <c r="I103" s="17" t="s">
        <v>499</v>
      </c>
      <c r="J103" s="17" t="s">
        <v>51</v>
      </c>
    </row>
    <row r="104" customFormat="false" ht="15" hidden="false" customHeight="false" outlineLevel="0" collapsed="false">
      <c r="B104" s="6" t="s">
        <v>500</v>
      </c>
      <c r="C104" s="12" t="n">
        <f aca="false">$C$9</f>
        <v>17024289.695302</v>
      </c>
      <c r="D104" s="12" t="n">
        <v>0</v>
      </c>
      <c r="E104" s="12" t="n">
        <v>0</v>
      </c>
      <c r="F104" s="12" t="n">
        <v>0</v>
      </c>
      <c r="G104" s="12" t="n">
        <v>0</v>
      </c>
      <c r="H104" s="12" t="n">
        <v>0</v>
      </c>
      <c r="I104" s="12" t="n">
        <v>0</v>
      </c>
      <c r="J104" s="22" t="n">
        <f aca="false">SUM(C104:I104)</f>
        <v>17024289.695302</v>
      </c>
    </row>
    <row r="105" customFormat="false" ht="15" hidden="false" customHeight="false" outlineLevel="0" collapsed="false">
      <c r="B105" s="6" t="s">
        <v>137</v>
      </c>
      <c r="C105" s="12" t="n">
        <f aca="false">SUMIF($I$16:$I$99,1,$D$16:$D$99)</f>
        <v>0</v>
      </c>
      <c r="D105" s="12" t="n">
        <f aca="false">SUMIF($I$16:$I$99,2,$D$16:$D$99)</f>
        <v>2837381.61588366</v>
      </c>
      <c r="E105" s="12" t="n">
        <f aca="false">SUMIF($I$16:$I$99,3,$D$16:$D$99)</f>
        <v>2837381.61588366</v>
      </c>
      <c r="F105" s="12" t="n">
        <f aca="false">SUMIF($I$16:$I$99,4,$D$16:$D$99)</f>
        <v>2837381.61588366</v>
      </c>
      <c r="G105" s="12" t="n">
        <f aca="false">SUMIF($I$16:$I$99,5,$D$16:$D$99)</f>
        <v>2837381.61588366</v>
      </c>
      <c r="H105" s="12" t="n">
        <f aca="false">SUMIF($I$16:$I$99,6,$D$16:$D$99)</f>
        <v>2837381.61588366</v>
      </c>
      <c r="I105" s="12" t="n">
        <f aca="false">SUMIF($I$16:$I$99,7,$D$16:$D$99)</f>
        <v>2837381.61588365</v>
      </c>
      <c r="J105" s="22" t="n">
        <f aca="false">SUM(C105:I105)</f>
        <v>17024289.695302</v>
      </c>
    </row>
    <row r="106" customFormat="false" ht="15" hidden="false" customHeight="false" outlineLevel="0" collapsed="false">
      <c r="B106" s="6" t="s">
        <v>487</v>
      </c>
      <c r="C106" s="12" t="n">
        <f aca="false">SUMIF($I$16:$I$99,1,$E$16:$E$99)</f>
        <v>1208251.67143046</v>
      </c>
      <c r="D106" s="12" t="n">
        <f aca="false">SUMIF($I$16:$I$99,2,$E$16:$E$99)</f>
        <v>1118782.19834813</v>
      </c>
      <c r="E106" s="12" t="n">
        <f aca="false">SUMIF($I$16:$I$99,3,$E$16:$E$99)</f>
        <v>914142.617315518</v>
      </c>
      <c r="F106" s="12" t="n">
        <f aca="false">SUMIF($I$16:$I$99,4,$E$16:$E$99)</f>
        <v>712767.338743775</v>
      </c>
      <c r="G106" s="12" t="n">
        <f aca="false">SUMIF($I$16:$I$99,5,$E$16:$E$99)</f>
        <v>511392.060172031</v>
      </c>
      <c r="H106" s="12" t="n">
        <f aca="false">SUMIF($I$16:$I$99,6,$E$16:$E$99)</f>
        <v>311074.231693245</v>
      </c>
      <c r="I106" s="12" t="n">
        <f aca="false">SUMIF($I$16:$I$99,7,$E$16:$E$99)</f>
        <v>108641.503028545</v>
      </c>
      <c r="J106" s="22" t="n">
        <f aca="false">SUM(C106:I106)</f>
        <v>4885051.6207317</v>
      </c>
    </row>
    <row r="107" customFormat="false" ht="15" hidden="false" customHeight="false" outlineLevel="0" collapsed="false">
      <c r="B107" s="26" t="s">
        <v>501</v>
      </c>
      <c r="C107" s="12" t="n">
        <f aca="false">C105+C106</f>
        <v>1208251.67143046</v>
      </c>
      <c r="D107" s="12" t="n">
        <f aca="false">D105+D106</f>
        <v>3956163.81423179</v>
      </c>
      <c r="E107" s="12" t="n">
        <f aca="false">E105+E106</f>
        <v>3751524.23319918</v>
      </c>
      <c r="F107" s="12" t="n">
        <f aca="false">F105+F106</f>
        <v>3550148.95462744</v>
      </c>
      <c r="G107" s="12" t="n">
        <f aca="false">G105+G106</f>
        <v>3348773.67605569</v>
      </c>
      <c r="H107" s="12" t="n">
        <f aca="false">H105+H106</f>
        <v>3148455.84757691</v>
      </c>
      <c r="I107" s="12" t="n">
        <f aca="false">I105+I106</f>
        <v>2946023.1189122</v>
      </c>
      <c r="J107" s="22" t="n">
        <f aca="false">SUM(C107:I107)</f>
        <v>21909341.3160337</v>
      </c>
    </row>
    <row r="108" customFormat="false" ht="15" hidden="false" customHeight="false" outlineLevel="0" collapsed="false">
      <c r="B108" s="26" t="s">
        <v>502</v>
      </c>
      <c r="C108" s="12" t="n">
        <f aca="false">$C$9-SUM($C$105:C105)</f>
        <v>17024289.695302</v>
      </c>
      <c r="D108" s="12" t="n">
        <f aca="false">$C$9-SUM($C$105:D105)</f>
        <v>14186908.0794183</v>
      </c>
      <c r="E108" s="12" t="n">
        <f aca="false">$C$9-SUM($C$105:E105)</f>
        <v>11349526.4635346</v>
      </c>
      <c r="F108" s="12" t="n">
        <f aca="false">$C$9-SUM($C$105:F105)</f>
        <v>8512144.84765098</v>
      </c>
      <c r="G108" s="12" t="n">
        <f aca="false">$C$9-SUM($C$105:G105)</f>
        <v>5674763.23176732</v>
      </c>
      <c r="H108" s="12" t="n">
        <f aca="false">$C$9-SUM($C$105:H105)</f>
        <v>2837381.61588366</v>
      </c>
      <c r="I108" s="12" t="n">
        <f aca="false">$C$9-SUM($C$105:I105)</f>
        <v>0</v>
      </c>
      <c r="J108" s="22" t="n">
        <f aca="false">I108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503</v>
      </c>
      <c r="K2" s="51" t="s">
        <v>504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62" t="s">
        <v>505</v>
      </c>
      <c r="C6" s="20" t="s">
        <v>32</v>
      </c>
      <c r="D6" s="22" t="n">
        <f aca="false">D7+D8</f>
        <v>28968597.004992</v>
      </c>
      <c r="E6" s="22" t="n">
        <f aca="false">E7+E8</f>
        <v>252970675.329593</v>
      </c>
      <c r="F6" s="22" t="n">
        <f aca="false">F7+F8</f>
        <v>314845216.567729</v>
      </c>
      <c r="G6" s="22" t="n">
        <f aca="false">G7+G8</f>
        <v>325844872.235159</v>
      </c>
      <c r="H6" s="22" t="n">
        <f aca="false">H7+H8</f>
        <v>333013459.424332</v>
      </c>
      <c r="I6" s="22" t="n">
        <f aca="false">I7+I8</f>
        <v>340339755.531667</v>
      </c>
      <c r="J6" s="22" t="n">
        <f aca="false">J7+J8</f>
        <v>347827230.153364</v>
      </c>
      <c r="K6" s="22" t="n">
        <f aca="false">SUM(D6:J6)</f>
        <v>1943809806.24684</v>
      </c>
    </row>
    <row r="7" customFormat="false" ht="15" hidden="false" customHeight="false" outlineLevel="0" collapsed="false">
      <c r="B7" s="19" t="s">
        <v>506</v>
      </c>
      <c r="C7" s="20" t="s">
        <v>32</v>
      </c>
      <c r="D7" s="12" t="n">
        <f aca="false">SalePlan!D8</f>
        <v>28968597.004992</v>
      </c>
      <c r="E7" s="12" t="n">
        <f aca="false">SalePlan!E8</f>
        <v>252970675.329593</v>
      </c>
      <c r="F7" s="12" t="n">
        <f aca="false">SalePlan!F8</f>
        <v>314845216.567729</v>
      </c>
      <c r="G7" s="12" t="n">
        <f aca="false">SalePlan!G8</f>
        <v>325844872.235159</v>
      </c>
      <c r="H7" s="12" t="n">
        <f aca="false">SalePlan!H8</f>
        <v>333013459.424332</v>
      </c>
      <c r="I7" s="12" t="n">
        <f aca="false">SalePlan!I8</f>
        <v>340339755.531667</v>
      </c>
      <c r="J7" s="12" t="n">
        <f aca="false">SalePlan!J8</f>
        <v>347827230.153364</v>
      </c>
      <c r="K7" s="12" t="n">
        <f aca="false">SUM(D7:J7)</f>
        <v>1943809806.24684</v>
      </c>
    </row>
    <row r="8" customFormat="false" ht="15" hidden="false" customHeight="false" outlineLevel="0" collapsed="false">
      <c r="B8" s="19" t="s">
        <v>507</v>
      </c>
      <c r="C8" s="20" t="s">
        <v>32</v>
      </c>
      <c r="D8" s="12" t="n">
        <f aca="false">SalePlan!D12+Taxes!D19</f>
        <v>0</v>
      </c>
      <c r="E8" s="12" t="n">
        <f aca="false">SalePlan!E12+Taxes!E19</f>
        <v>0</v>
      </c>
      <c r="F8" s="12" t="n">
        <f aca="false">SalePlan!F12+Taxes!F19</f>
        <v>0</v>
      </c>
      <c r="G8" s="12" t="n">
        <f aca="false">SalePlan!G12+Taxes!G19</f>
        <v>0</v>
      </c>
      <c r="H8" s="12" t="n">
        <f aca="false">SalePlan!H12+Taxes!H19</f>
        <v>0</v>
      </c>
      <c r="I8" s="12" t="n">
        <f aca="false">SalePlan!I12+Taxes!I19</f>
        <v>0</v>
      </c>
      <c r="J8" s="12" t="n">
        <f aca="false">SalePlan!J12+Taxes!J19</f>
        <v>0</v>
      </c>
      <c r="K8" s="12" t="n">
        <f aca="false">SUM(D8:J8)</f>
        <v>0</v>
      </c>
    </row>
    <row r="9" customFormat="false" ht="15" hidden="false" customHeight="false" outlineLevel="0" collapsed="false">
      <c r="B9" s="19" t="s">
        <v>508</v>
      </c>
      <c r="C9" s="20" t="s">
        <v>32</v>
      </c>
      <c r="D9" s="12" t="n">
        <f aca="false">Taxes!D19</f>
        <v>0</v>
      </c>
      <c r="E9" s="12" t="n">
        <f aca="false">Taxes!E19</f>
        <v>0</v>
      </c>
      <c r="F9" s="12" t="n">
        <f aca="false">Taxes!F19</f>
        <v>0</v>
      </c>
      <c r="G9" s="12" t="n">
        <f aca="false">Taxes!G19</f>
        <v>0</v>
      </c>
      <c r="H9" s="12" t="n">
        <f aca="false">Taxes!H19</f>
        <v>0</v>
      </c>
      <c r="I9" s="12" t="n">
        <f aca="false">Taxes!I19</f>
        <v>0</v>
      </c>
      <c r="J9" s="12" t="n">
        <f aca="false">Taxes!J19</f>
        <v>0</v>
      </c>
      <c r="K9" s="12" t="n">
        <f aca="false">SUM(D9:J9)</f>
        <v>0</v>
      </c>
    </row>
    <row r="10" customFormat="false" ht="15" hidden="false" customHeight="false" outlineLevel="0" collapsed="false">
      <c r="B10" s="69" t="s">
        <v>509</v>
      </c>
      <c r="C10" s="59" t="s">
        <v>32</v>
      </c>
      <c r="D10" s="48" t="n">
        <f aca="false">D6-D9</f>
        <v>28968597.004992</v>
      </c>
      <c r="E10" s="48" t="n">
        <f aca="false">E6-E9</f>
        <v>252970675.329593</v>
      </c>
      <c r="F10" s="48" t="n">
        <f aca="false">F6-F9</f>
        <v>314845216.567729</v>
      </c>
      <c r="G10" s="48" t="n">
        <f aca="false">G6-G9</f>
        <v>325844872.235159</v>
      </c>
      <c r="H10" s="48" t="n">
        <f aca="false">H6-H9</f>
        <v>333013459.424332</v>
      </c>
      <c r="I10" s="48" t="n">
        <f aca="false">I6-I9</f>
        <v>340339755.531667</v>
      </c>
      <c r="J10" s="48" t="n">
        <f aca="false">J6-J9</f>
        <v>347827230.153364</v>
      </c>
      <c r="K10" s="48" t="n">
        <f aca="false">SUM(D10:J10)</f>
        <v>1943809806.24684</v>
      </c>
    </row>
    <row r="11" customFormat="false" ht="15" hidden="false" customHeight="false" outlineLevel="0" collapsed="false">
      <c r="B11" s="19" t="s">
        <v>454</v>
      </c>
      <c r="C11" s="20" t="s">
        <v>32</v>
      </c>
      <c r="D11" s="12" t="n">
        <f aca="false">CostSold!D22</f>
        <v>21093700.036657</v>
      </c>
      <c r="E11" s="12" t="n">
        <f aca="false">CostSold!E22</f>
        <v>217265749.004587</v>
      </c>
      <c r="F11" s="12" t="n">
        <f aca="false">CostSold!F22</f>
        <v>270814621.006673</v>
      </c>
      <c r="G11" s="12" t="n">
        <f aca="false">CostSold!G22</f>
        <v>279271630.847367</v>
      </c>
      <c r="H11" s="12" t="n">
        <f aca="false">CostSold!H22</f>
        <v>285405375.894451</v>
      </c>
      <c r="I11" s="12" t="n">
        <f aca="false">CostSold!I22</f>
        <v>291673016.077546</v>
      </c>
      <c r="J11" s="12" t="n">
        <f aca="false">CostSold!J22</f>
        <v>298077496.215561</v>
      </c>
      <c r="K11" s="12" t="n">
        <f aca="false">SUM(D11:J11)</f>
        <v>1663601589.08284</v>
      </c>
    </row>
    <row r="12" customFormat="false" ht="15" hidden="false" customHeight="false" outlineLevel="0" collapsed="false">
      <c r="B12" s="19" t="s">
        <v>510</v>
      </c>
      <c r="C12" s="20" t="s">
        <v>32</v>
      </c>
      <c r="D12" s="12" t="n">
        <f aca="false">CostSold!D23</f>
        <v>20083620.0616148</v>
      </c>
      <c r="E12" s="12" t="n">
        <f aca="false">CostSold!E23</f>
        <v>208886891.028481</v>
      </c>
      <c r="F12" s="12" t="n">
        <f aca="false">CostSold!F23</f>
        <v>260771142.898836</v>
      </c>
      <c r="G12" s="12" t="n">
        <f aca="false">CostSold!G23</f>
        <v>268882462.667563</v>
      </c>
      <c r="H12" s="12" t="n">
        <f aca="false">CostSold!H23</f>
        <v>274755960.337592</v>
      </c>
      <c r="I12" s="12" t="n">
        <f aca="false">CostSold!I23</f>
        <v>280757669.167197</v>
      </c>
      <c r="J12" s="12" t="n">
        <f aca="false">CostSold!J23</f>
        <v>286890409.252092</v>
      </c>
      <c r="K12" s="12" t="n">
        <f aca="false">SUM(D12:J12)</f>
        <v>1601028155.41338</v>
      </c>
    </row>
    <row r="13" customFormat="false" ht="15" hidden="false" customHeight="false" outlineLevel="0" collapsed="false">
      <c r="B13" s="19" t="s">
        <v>511</v>
      </c>
      <c r="C13" s="20" t="s">
        <v>32</v>
      </c>
      <c r="D13" s="12" t="n">
        <f aca="false">CostSold!D24</f>
        <v>1010079.97504218</v>
      </c>
      <c r="E13" s="12" t="n">
        <f aca="false">CostSold!E24</f>
        <v>8378857.97610557</v>
      </c>
      <c r="F13" s="12" t="n">
        <f aca="false">CostSold!F24</f>
        <v>10043478.107837</v>
      </c>
      <c r="G13" s="12" t="n">
        <f aca="false">CostSold!G24</f>
        <v>10389168.179804</v>
      </c>
      <c r="H13" s="12" t="n">
        <f aca="false">CostSold!H24</f>
        <v>10649415.5568596</v>
      </c>
      <c r="I13" s="12" t="n">
        <f aca="false">CostSold!I24</f>
        <v>10915346.9103482</v>
      </c>
      <c r="J13" s="12" t="n">
        <f aca="false">CostSold!J24</f>
        <v>11187086.9634693</v>
      </c>
      <c r="K13" s="12" t="n">
        <f aca="false">SUM(D13:J13)</f>
        <v>62573433.6694658</v>
      </c>
    </row>
    <row r="14" customFormat="false" ht="15" hidden="false" customHeight="false" outlineLevel="0" collapsed="false">
      <c r="B14" s="69" t="s">
        <v>512</v>
      </c>
      <c r="C14" s="59" t="s">
        <v>32</v>
      </c>
      <c r="D14" s="48" t="n">
        <f aca="false">D10-D11</f>
        <v>7874896.96833499</v>
      </c>
      <c r="E14" s="48" t="n">
        <f aca="false">E10-E11</f>
        <v>35704926.325006</v>
      </c>
      <c r="F14" s="48" t="n">
        <f aca="false">F10-F11</f>
        <v>44030595.5610562</v>
      </c>
      <c r="G14" s="48" t="n">
        <f aca="false">G10-G11</f>
        <v>46573241.3877919</v>
      </c>
      <c r="H14" s="48" t="n">
        <f aca="false">H10-H11</f>
        <v>47608083.5298808</v>
      </c>
      <c r="I14" s="48" t="n">
        <f aca="false">I10-I11</f>
        <v>48666739.4541217</v>
      </c>
      <c r="J14" s="48" t="n">
        <f aca="false">J10-J11</f>
        <v>49749733.9378032</v>
      </c>
      <c r="K14" s="48" t="n">
        <f aca="false">SUM(D14:J14)</f>
        <v>280208217.163995</v>
      </c>
    </row>
    <row r="15" customFormat="false" ht="15" hidden="false" customHeight="false" outlineLevel="0" collapsed="false">
      <c r="B15" s="19" t="s">
        <v>513</v>
      </c>
      <c r="C15" s="20" t="s">
        <v>32</v>
      </c>
      <c r="D15" s="12" t="n">
        <f aca="false">CostSold!D31</f>
        <v>3090620.97894771</v>
      </c>
      <c r="E15" s="12" t="n">
        <f aca="false">CostSold!E31</f>
        <v>5109813.95849323</v>
      </c>
      <c r="F15" s="12" t="n">
        <f aca="false">CostSold!F31</f>
        <v>5663248.17422871</v>
      </c>
      <c r="G15" s="12" t="n">
        <f aca="false">CostSold!G31</f>
        <v>5807964.20696454</v>
      </c>
      <c r="H15" s="12" t="n">
        <f aca="false">CostSold!H31</f>
        <v>5935503.70523203</v>
      </c>
      <c r="I15" s="12" t="n">
        <f aca="false">CostSold!I31</f>
        <v>6063170.50103286</v>
      </c>
      <c r="J15" s="12" t="n">
        <f aca="false">CostSold!J31</f>
        <v>6188347.75205558</v>
      </c>
      <c r="K15" s="12" t="n">
        <f aca="false">SUM(D15:J15)</f>
        <v>37858669.2769547</v>
      </c>
    </row>
    <row r="16" customFormat="false" ht="15" hidden="false" customHeight="false" outlineLevel="0" collapsed="false">
      <c r="B16" s="19" t="s">
        <v>514</v>
      </c>
      <c r="C16" s="20" t="s">
        <v>32</v>
      </c>
      <c r="D16" s="12" t="n">
        <f aca="false">CostSold!D39</f>
        <v>705842.513520179</v>
      </c>
      <c r="E16" s="12" t="n">
        <f aca="false">CostSold!E39</f>
        <v>4924880.32260537</v>
      </c>
      <c r="F16" s="12" t="n">
        <f aca="false">CostSold!F39</f>
        <v>5939922.23486601</v>
      </c>
      <c r="G16" s="12" t="n">
        <f aca="false">CostSold!G39</f>
        <v>6053540.22648741</v>
      </c>
      <c r="H16" s="12" t="n">
        <f aca="false">CostSold!H39</f>
        <v>6169438.33422013</v>
      </c>
      <c r="I16" s="12" t="n">
        <f aca="false">CostSold!I39</f>
        <v>6288073.60732297</v>
      </c>
      <c r="J16" s="12" t="n">
        <f aca="false">CostSold!J39</f>
        <v>6409506.26343408</v>
      </c>
      <c r="K16" s="12" t="n">
        <f aca="false">SUM(D16:J16)</f>
        <v>36491203.5024562</v>
      </c>
    </row>
    <row r="17" customFormat="false" ht="15" hidden="false" customHeight="false" outlineLevel="0" collapsed="false">
      <c r="B17" s="69" t="s">
        <v>515</v>
      </c>
      <c r="C17" s="59" t="s">
        <v>32</v>
      </c>
      <c r="D17" s="48" t="n">
        <f aca="false">D14-D15-D16</f>
        <v>4078433.47586711</v>
      </c>
      <c r="E17" s="48" t="n">
        <f aca="false">E14-E15-E16</f>
        <v>25670232.0439074</v>
      </c>
      <c r="F17" s="48" t="n">
        <f aca="false">F14-F15-F16</f>
        <v>32427425.1519615</v>
      </c>
      <c r="G17" s="48" t="n">
        <f aca="false">G14-G15-G16</f>
        <v>34711736.95434</v>
      </c>
      <c r="H17" s="48" t="n">
        <f aca="false">H14-H15-H16</f>
        <v>35503141.4904287</v>
      </c>
      <c r="I17" s="48" t="n">
        <f aca="false">I14-I15-I16</f>
        <v>36315495.3457658</v>
      </c>
      <c r="J17" s="48" t="n">
        <f aca="false">J14-J15-J16</f>
        <v>37151879.9223135</v>
      </c>
      <c r="K17" s="48" t="n">
        <f aca="false">SUM(D17:J17)</f>
        <v>205858344.384584</v>
      </c>
    </row>
    <row r="18" customFormat="false" ht="15" hidden="false" customHeight="false" outlineLevel="0" collapsed="false">
      <c r="B18" s="19" t="s">
        <v>516</v>
      </c>
      <c r="C18" s="20" t="s">
        <v>32</v>
      </c>
      <c r="D18" s="12" t="n">
        <f aca="false">D19</f>
        <v>0</v>
      </c>
      <c r="E18" s="12" t="n">
        <f aca="false">E19</f>
        <v>1118782.19834813</v>
      </c>
      <c r="F18" s="12" t="n">
        <f aca="false">F19</f>
        <v>914142.617315518</v>
      </c>
      <c r="G18" s="12" t="n">
        <f aca="false">G19</f>
        <v>712767.338743775</v>
      </c>
      <c r="H18" s="12" t="n">
        <f aca="false">H19</f>
        <v>511392.060172031</v>
      </c>
      <c r="I18" s="12" t="n">
        <f aca="false">I19</f>
        <v>311074.231693245</v>
      </c>
      <c r="J18" s="12" t="n">
        <f aca="false">J19</f>
        <v>108641.503028545</v>
      </c>
      <c r="K18" s="12" t="n">
        <f aca="false">SUM(D18:J18)</f>
        <v>3676799.94930124</v>
      </c>
    </row>
    <row r="19" customFormat="false" ht="15" hidden="false" customHeight="false" outlineLevel="0" collapsed="false">
      <c r="B19" s="19" t="s">
        <v>517</v>
      </c>
      <c r="C19" s="20" t="s">
        <v>32</v>
      </c>
      <c r="D19" s="12" t="n">
        <f aca="false">CostSold!D42</f>
        <v>0</v>
      </c>
      <c r="E19" s="12" t="n">
        <f aca="false">CostSold!E42</f>
        <v>1118782.19834813</v>
      </c>
      <c r="F19" s="12" t="n">
        <f aca="false">CostSold!F42</f>
        <v>914142.617315518</v>
      </c>
      <c r="G19" s="12" t="n">
        <f aca="false">CostSold!G42</f>
        <v>712767.338743775</v>
      </c>
      <c r="H19" s="12" t="n">
        <f aca="false">CostSold!H42</f>
        <v>511392.060172031</v>
      </c>
      <c r="I19" s="12" t="n">
        <f aca="false">CostSold!I42</f>
        <v>311074.231693245</v>
      </c>
      <c r="J19" s="12" t="n">
        <f aca="false">CostSold!J42</f>
        <v>108641.503028545</v>
      </c>
      <c r="K19" s="12" t="n">
        <f aca="false">SUM(D19:J19)</f>
        <v>3676799.94930124</v>
      </c>
    </row>
    <row r="20" customFormat="false" ht="15" hidden="false" customHeight="false" outlineLevel="0" collapsed="false">
      <c r="B20" s="69" t="s">
        <v>518</v>
      </c>
      <c r="C20" s="59" t="s">
        <v>32</v>
      </c>
      <c r="D20" s="48" t="n">
        <f aca="false">D17-D18</f>
        <v>4078433.47586711</v>
      </c>
      <c r="E20" s="48" t="n">
        <f aca="false">E17-E18</f>
        <v>24551449.8455592</v>
      </c>
      <c r="F20" s="48" t="n">
        <f aca="false">F17-F18</f>
        <v>31513282.534646</v>
      </c>
      <c r="G20" s="48" t="n">
        <f aca="false">G17-G18</f>
        <v>33998969.6155962</v>
      </c>
      <c r="H20" s="48" t="n">
        <f aca="false">H17-H18</f>
        <v>34991749.4302566</v>
      </c>
      <c r="I20" s="48" t="n">
        <f aca="false">I17-I18</f>
        <v>36004421.1140726</v>
      </c>
      <c r="J20" s="48" t="n">
        <f aca="false">J17-J18</f>
        <v>37043238.419285</v>
      </c>
      <c r="K20" s="48" t="n">
        <f aca="false">SUM(D20:J20)</f>
        <v>202181544.435283</v>
      </c>
    </row>
    <row r="21" customFormat="false" ht="15" hidden="false" customHeight="false" outlineLevel="0" collapsed="false">
      <c r="B21" s="19" t="s">
        <v>519</v>
      </c>
      <c r="C21" s="20" t="s">
        <v>32</v>
      </c>
      <c r="D21" s="12" t="n">
        <f aca="false">Taxes!D29</f>
        <v>611765.021380067</v>
      </c>
      <c r="E21" s="12" t="n">
        <f aca="false">Taxes!E29</f>
        <v>3682717.47683389</v>
      </c>
      <c r="F21" s="12" t="n">
        <f aca="false">Taxes!F29</f>
        <v>4726992.38019689</v>
      </c>
      <c r="G21" s="12" t="n">
        <f aca="false">Taxes!G29</f>
        <v>5099845.44233943</v>
      </c>
      <c r="H21" s="12" t="n">
        <f aca="false">Taxes!H29</f>
        <v>5248762.4145385</v>
      </c>
      <c r="I21" s="12" t="n">
        <f aca="false">Taxes!I29</f>
        <v>5400663.16711089</v>
      </c>
      <c r="J21" s="12" t="n">
        <f aca="false">Taxes!J29</f>
        <v>5556485.76289274</v>
      </c>
      <c r="K21" s="12" t="n">
        <f aca="false">SUM(D21:J21)</f>
        <v>30327231.6652924</v>
      </c>
    </row>
    <row r="22" customFormat="false" ht="15" hidden="false" customHeight="false" outlineLevel="0" collapsed="false">
      <c r="B22" s="38" t="s">
        <v>520</v>
      </c>
      <c r="C22" s="63" t="s">
        <v>32</v>
      </c>
      <c r="D22" s="15" t="n">
        <f aca="false">D20-D21</f>
        <v>3466668.45448704</v>
      </c>
      <c r="E22" s="15" t="n">
        <f aca="false">E20-E21</f>
        <v>20868732.3687254</v>
      </c>
      <c r="F22" s="15" t="n">
        <f aca="false">F20-F21</f>
        <v>26786290.1544491</v>
      </c>
      <c r="G22" s="15" t="n">
        <f aca="false">G20-G21</f>
        <v>28899124.1732568</v>
      </c>
      <c r="H22" s="15" t="n">
        <f aca="false">H20-H21</f>
        <v>29742987.0157181</v>
      </c>
      <c r="I22" s="15" t="n">
        <f aca="false">I20-I21</f>
        <v>30603757.9469617</v>
      </c>
      <c r="J22" s="15" t="n">
        <f aca="false">J20-J21</f>
        <v>31486752.6563922</v>
      </c>
      <c r="K22" s="15" t="n">
        <f aca="false">SUM(D22:J22)</f>
        <v>171854312.76999</v>
      </c>
    </row>
    <row r="24" customFormat="false" ht="15" hidden="false" customHeight="false" outlineLevel="0" collapsed="false">
      <c r="B24" s="33" t="s">
        <v>521</v>
      </c>
    </row>
    <row r="25" customFormat="false" ht="15" hidden="false" customHeight="false" outlineLevel="0" collapsed="false">
      <c r="B25" s="19" t="s">
        <v>522</v>
      </c>
      <c r="C25" s="20" t="s">
        <v>262</v>
      </c>
      <c r="D25" s="13" t="n">
        <f aca="false">IFERROR(D14/D10,0)</f>
        <v>0.271842539249587</v>
      </c>
      <c r="E25" s="13" t="n">
        <f aca="false">IFERROR(E14/E10,0)</f>
        <v>0.141142550528777</v>
      </c>
      <c r="F25" s="13" t="n">
        <f aca="false">IFERROR(F14/F10,0)</f>
        <v>0.139848386585173</v>
      </c>
      <c r="G25" s="13" t="n">
        <f aca="false">IFERROR(G14/G10,0)</f>
        <v>0.142930717516956</v>
      </c>
      <c r="H25" s="13" t="n">
        <f aca="false">IFERROR(H14/H10,0)</f>
        <v>0.142961439493104</v>
      </c>
      <c r="I25" s="13" t="n">
        <f aca="false">IFERROR(I14/I10,0)</f>
        <v>0.142994577222094</v>
      </c>
      <c r="J25" s="13" t="n">
        <f aca="false">IFERROR(J14/J10,0)</f>
        <v>0.143030014975732</v>
      </c>
    </row>
    <row r="26" customFormat="false" ht="15" hidden="false" customHeight="false" outlineLevel="0" collapsed="false">
      <c r="B26" s="19" t="s">
        <v>523</v>
      </c>
      <c r="C26" s="20" t="s">
        <v>262</v>
      </c>
      <c r="D26" s="13" t="n">
        <f aca="false">IFERROR(D22/D10,0)</f>
        <v>0.119669877484562</v>
      </c>
      <c r="E26" s="13" t="n">
        <f aca="false">IFERROR(E22/E10,0)</f>
        <v>0.08249466995151</v>
      </c>
      <c r="F26" s="13" t="n">
        <f aca="false">IFERROR(F22/F10,0)</f>
        <v>0.0850776468718775</v>
      </c>
      <c r="G26" s="13" t="n">
        <f aca="false">IFERROR(G22/G10,0)</f>
        <v>0.0886898233967009</v>
      </c>
      <c r="H26" s="13" t="n">
        <f aca="false">IFERROR(H22/H10,0)</f>
        <v>0.0893146693443975</v>
      </c>
      <c r="I26" s="13" t="n">
        <f aca="false">IFERROR(I22/I10,0)</f>
        <v>0.0899211962444808</v>
      </c>
      <c r="J26" s="13" t="n">
        <f aca="false">IFERROR(J22/J10,0)</f>
        <v>0.0905241163623362</v>
      </c>
    </row>
    <row r="27" customFormat="false" ht="15" hidden="false" customHeight="false" outlineLevel="0" collapsed="false">
      <c r="B27" s="19" t="s">
        <v>61</v>
      </c>
      <c r="C27" s="20" t="s">
        <v>32</v>
      </c>
      <c r="D27" s="12" t="n">
        <f aca="false">D17+Depreciate!$G$21</f>
        <v>4702026.34508736</v>
      </c>
      <c r="E27" s="12" t="n">
        <f aca="false">E17+Depreciate!$H$21</f>
        <v>28216215.9389431</v>
      </c>
      <c r="F27" s="12" t="n">
        <f aca="false">F17+Depreciate!$I$21</f>
        <v>35021051.2791401</v>
      </c>
      <c r="G27" s="12" t="n">
        <f aca="false">G17+Depreciate!$J$21</f>
        <v>37353005.3136615</v>
      </c>
      <c r="H27" s="12" t="n">
        <f aca="false">H17+Depreciate!$K$21</f>
        <v>38192052.081893</v>
      </c>
      <c r="I27" s="12" t="n">
        <f aca="false">I17+Depreciate!$L$21</f>
        <v>39049369.5979444</v>
      </c>
      <c r="J27" s="12" t="n">
        <f aca="false">J17+Depreciate!$M$21</f>
        <v>39925360.6923493</v>
      </c>
      <c r="K27" s="12" t="n">
        <f aca="false">SUM(D27:J27)</f>
        <v>222459081.249019</v>
      </c>
    </row>
    <row r="28" customFormat="false" ht="15" hidden="false" customHeight="false" outlineLevel="0" collapsed="false">
      <c r="B28" s="19" t="s">
        <v>524</v>
      </c>
      <c r="C28" s="20" t="s">
        <v>262</v>
      </c>
      <c r="D28" s="13" t="n">
        <f aca="false">IFERROR(D27/D10,0)</f>
        <v>0.162314603785509</v>
      </c>
      <c r="E28" s="13" t="n">
        <f aca="false">IFERROR(E27/E10,0)</f>
        <v>0.111539473506882</v>
      </c>
      <c r="F28" s="13" t="n">
        <f aca="false">IFERROR(F27/F10,0)</f>
        <v>0.111232597594845</v>
      </c>
      <c r="G28" s="13" t="n">
        <f aca="false">IFERROR(G27/G10,0)</f>
        <v>0.114634319875699</v>
      </c>
      <c r="H28" s="13" t="n">
        <f aca="false">IFERROR(H27/H10,0)</f>
        <v>0.114686211626143</v>
      </c>
      <c r="I28" s="13" t="n">
        <f aca="false">IFERROR(I27/I10,0)</f>
        <v>0.114736433117967</v>
      </c>
      <c r="J28" s="13" t="n">
        <f aca="false">IFERROR(J27/J10,0)</f>
        <v>0.114785034727573</v>
      </c>
    </row>
    <row r="29" customFormat="false" ht="15" hidden="false" customHeight="false" outlineLevel="0" collapsed="false">
      <c r="B29" s="19" t="s">
        <v>525</v>
      </c>
      <c r="C29" s="20" t="s">
        <v>68</v>
      </c>
      <c r="D29" s="21" t="str">
        <f aca="false">IF(D19&gt;0,D17/D19,"-")</f>
        <v>-</v>
      </c>
      <c r="E29" s="21" t="n">
        <f aca="false">IF(E19&gt;0,E17/E19,"-")</f>
        <v>22.9447984440665</v>
      </c>
      <c r="F29" s="21" t="n">
        <f aca="false">IF(F19&gt;0,F17/F19,"-")</f>
        <v>35.4730482287197</v>
      </c>
      <c r="G29" s="21" t="n">
        <f aca="false">IF(G19&gt;0,G17/G19,"-")</f>
        <v>48.6999544837704</v>
      </c>
      <c r="H29" s="21" t="n">
        <f aca="false">IF(H19&gt;0,H17/H19,"-")</f>
        <v>69.4245066661486</v>
      </c>
      <c r="I29" s="21" t="n">
        <f aca="false">IF(I19&gt;0,I17/I19,"-")</f>
        <v>116.742216634572</v>
      </c>
      <c r="J29" s="21" t="n">
        <f aca="false">IF(J19&gt;0,J17/J19,"-")</f>
        <v>341.967654042416</v>
      </c>
    </row>
    <row r="30" customFormat="false" ht="15" hidden="false" customHeight="false" outlineLevel="0" collapsed="false">
      <c r="B30" s="19" t="s">
        <v>69</v>
      </c>
      <c r="C30" s="20" t="s">
        <v>32</v>
      </c>
      <c r="D30" s="12" t="n">
        <f aca="false">LOANS!$C$108</f>
        <v>17024289.695302</v>
      </c>
      <c r="E30" s="12" t="n">
        <f aca="false">LOANS!$D$108</f>
        <v>14186908.0794183</v>
      </c>
      <c r="F30" s="12" t="n">
        <f aca="false">LOANS!$E$108</f>
        <v>11349526.4635346</v>
      </c>
      <c r="G30" s="12" t="n">
        <f aca="false">LOANS!$F$108</f>
        <v>8512144.84765098</v>
      </c>
      <c r="H30" s="12" t="n">
        <f aca="false">LOANS!$G$108</f>
        <v>5674763.23176732</v>
      </c>
      <c r="I30" s="12" t="n">
        <f aca="false">LOANS!$H$108</f>
        <v>2837381.61588366</v>
      </c>
      <c r="J30" s="12" t="n">
        <f aca="false">LOANS!$I$108</f>
        <v>0</v>
      </c>
    </row>
    <row r="31" customFormat="false" ht="15" hidden="false" customHeight="false" outlineLevel="0" collapsed="false">
      <c r="B31" s="19" t="s">
        <v>526</v>
      </c>
      <c r="C31" s="20" t="s">
        <v>68</v>
      </c>
      <c r="D31" s="21" t="n">
        <f aca="false">IFERROR(D30/D27,0)</f>
        <v>3.62062830913077</v>
      </c>
      <c r="E31" s="21" t="n">
        <f aca="false">IFERROR(E30/E27,0)</f>
        <v>0.502792724230537</v>
      </c>
      <c r="F31" s="21" t="n">
        <f aca="false">IFERROR(F30/F27,0)</f>
        <v>0.324077263502791</v>
      </c>
      <c r="G31" s="21" t="n">
        <f aca="false">IFERROR(G30/G27,0)</f>
        <v>0.227883801481905</v>
      </c>
      <c r="H31" s="21" t="n">
        <f aca="false">IFERROR(H30/H27,0)</f>
        <v>0.148584925984057</v>
      </c>
      <c r="I31" s="21" t="n">
        <f aca="false">IFERROR(I30/I27,0)</f>
        <v>0.0726613936434206</v>
      </c>
      <c r="J31" s="21" t="n">
        <f aca="false">IFERROR(J30/J27,0)</f>
        <v>0</v>
      </c>
    </row>
    <row r="33" customFormat="false" ht="15" hidden="false" customHeight="false" outlineLevel="0" collapsed="false">
      <c r="B33" s="3" t="s">
        <v>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4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528</v>
      </c>
      <c r="K2" s="51" t="s">
        <v>529</v>
      </c>
    </row>
    <row r="4" customFormat="false" ht="15" hidden="false" customHeight="false" outlineLevel="0" collapsed="false">
      <c r="B4" s="4" t="s">
        <v>530</v>
      </c>
      <c r="C4" s="4" t="s">
        <v>531</v>
      </c>
    </row>
    <row r="5" customFormat="false" ht="15" hidden="false" customHeight="false" outlineLevel="0" collapsed="false">
      <c r="B5" s="6" t="s">
        <v>532</v>
      </c>
      <c r="C5" s="58" t="n">
        <f aca="false">Исх_данные!$E$9</f>
        <v>30</v>
      </c>
    </row>
    <row r="6" customFormat="false" ht="15" hidden="false" customHeight="false" outlineLevel="0" collapsed="false">
      <c r="B6" s="6" t="s">
        <v>533</v>
      </c>
      <c r="C6" s="58" t="n">
        <f aca="false">Исх_данные!$E$10</f>
        <v>15</v>
      </c>
    </row>
    <row r="7" customFormat="false" ht="15" hidden="false" customHeight="false" outlineLevel="0" collapsed="false">
      <c r="B7" s="6" t="s">
        <v>534</v>
      </c>
      <c r="C7" s="58" t="n">
        <f aca="false">Исх_данные!$E$11</f>
        <v>5</v>
      </c>
    </row>
    <row r="8" customFormat="false" ht="15" hidden="false" customHeight="false" outlineLevel="0" collapsed="false">
      <c r="B8" s="6" t="s">
        <v>535</v>
      </c>
      <c r="C8" s="58" t="n">
        <f aca="false">Исх_данные!$E$12</f>
        <v>15</v>
      </c>
    </row>
    <row r="9" customFormat="false" ht="15" hidden="false" customHeight="false" outlineLevel="0" collapsed="false">
      <c r="B9" s="6" t="s">
        <v>536</v>
      </c>
      <c r="C9" s="58" t="n">
        <f aca="false">Исх_данные!$E$13</f>
        <v>8</v>
      </c>
    </row>
    <row r="10" customFormat="false" ht="15" hidden="false" customHeight="false" outlineLevel="0" collapsed="false">
      <c r="B10" s="6" t="s">
        <v>537</v>
      </c>
      <c r="C10" s="58" t="n">
        <f aca="false">Исх_данные!$E$14</f>
        <v>30</v>
      </c>
    </row>
    <row r="11" customFormat="false" ht="15" hidden="false" customHeight="false" outlineLevel="0" collapsed="false">
      <c r="B11" s="6" t="s">
        <v>538</v>
      </c>
      <c r="C11" s="58" t="n">
        <f aca="false">Исх_данные!$E$15</f>
        <v>90</v>
      </c>
    </row>
    <row r="12" customFormat="false" ht="15" hidden="false" customHeight="false" outlineLevel="0" collapsed="false">
      <c r="B12" s="6" t="s">
        <v>539</v>
      </c>
      <c r="C12" s="58" t="n">
        <f aca="false">Исх_данные!$E$16</f>
        <v>540</v>
      </c>
    </row>
    <row r="14" customFormat="false" ht="15" hidden="false" customHeight="false" outlineLevel="0" collapsed="false">
      <c r="B14" s="4" t="s">
        <v>540</v>
      </c>
      <c r="C14" s="17" t="s">
        <v>541</v>
      </c>
      <c r="D14" s="17" t="s">
        <v>231</v>
      </c>
      <c r="E14" s="17" t="s">
        <v>45</v>
      </c>
      <c r="F14" s="17" t="s">
        <v>46</v>
      </c>
      <c r="G14" s="17" t="s">
        <v>47</v>
      </c>
      <c r="H14" s="17" t="s">
        <v>48</v>
      </c>
      <c r="I14" s="17" t="s">
        <v>49</v>
      </c>
      <c r="J14" s="17" t="s">
        <v>50</v>
      </c>
    </row>
    <row r="15" customFormat="false" ht="15" hidden="false" customHeight="false" outlineLevel="0" collapsed="false">
      <c r="B15" s="5"/>
      <c r="C15" s="17" t="s">
        <v>542</v>
      </c>
      <c r="D15" s="17" t="s">
        <v>52</v>
      </c>
      <c r="E15" s="17" t="s">
        <v>53</v>
      </c>
      <c r="F15" s="17" t="s">
        <v>54</v>
      </c>
      <c r="G15" s="17" t="s">
        <v>55</v>
      </c>
      <c r="H15" s="17" t="s">
        <v>56</v>
      </c>
      <c r="I15" s="17" t="s">
        <v>57</v>
      </c>
      <c r="J15" s="17" t="s">
        <v>58</v>
      </c>
    </row>
    <row r="16" customFormat="false" ht="15" hidden="false" customHeight="false" outlineLevel="0" collapsed="false">
      <c r="B16" s="6" t="s">
        <v>543</v>
      </c>
      <c r="C16" s="12" t="n">
        <v>0</v>
      </c>
      <c r="D16" s="12" t="n">
        <f aca="false">Исх_данные!$F$89</f>
        <v>11231547.6716055</v>
      </c>
      <c r="E16" s="12" t="n">
        <f aca="false">Исх_данные!$G$89</f>
        <v>20792110.3010624</v>
      </c>
      <c r="F16" s="12" t="n">
        <f aca="false">Исх_данные!$H$89</f>
        <v>25877689.032964</v>
      </c>
      <c r="G16" s="12" t="n">
        <f aca="false">Исх_данные!$I$89</f>
        <v>26781770.320698</v>
      </c>
      <c r="H16" s="12" t="n">
        <f aca="false">Исх_данные!$J$89</f>
        <v>27370969.2677533</v>
      </c>
      <c r="I16" s="12" t="n">
        <f aca="false">Исх_данные!$K$89</f>
        <v>27973130.5916439</v>
      </c>
      <c r="J16" s="12" t="n">
        <f aca="false">Исх_данные!$L$89</f>
        <v>28588539.4646601</v>
      </c>
    </row>
    <row r="17" customFormat="false" ht="15" hidden="false" customHeight="false" outlineLevel="0" collapsed="false">
      <c r="B17" s="6" t="s">
        <v>544</v>
      </c>
      <c r="C17" s="12" t="n">
        <v>0</v>
      </c>
      <c r="D17" s="12" t="n">
        <f aca="false">Исх_данные!$F$88</f>
        <v>11098087.015253</v>
      </c>
      <c r="E17" s="12" t="n">
        <f aca="false">Исх_данные!$G$88</f>
        <v>20927249.9640328</v>
      </c>
      <c r="F17" s="12" t="n">
        <f aca="false">Исх_данные!$H$88</f>
        <v>25752600.6677267</v>
      </c>
      <c r="G17" s="12" t="n">
        <f aca="false">Исх_данные!$I$88</f>
        <v>26319157.0083361</v>
      </c>
      <c r="H17" s="12" t="n">
        <f aca="false">Исх_данные!$J$88</f>
        <v>26898178.4625194</v>
      </c>
      <c r="I17" s="12" t="n">
        <f aca="false">Исх_данные!$K$88</f>
        <v>27489938.3886949</v>
      </c>
      <c r="J17" s="12" t="n">
        <f aca="false">Исх_данные!$L$88</f>
        <v>28094717.0332462</v>
      </c>
    </row>
    <row r="18" customFormat="false" ht="15" hidden="false" customHeight="false" outlineLevel="0" collapsed="false">
      <c r="B18" s="6" t="s">
        <v>545</v>
      </c>
      <c r="C18" s="12" t="n">
        <v>0</v>
      </c>
      <c r="D18" s="12" t="n">
        <f aca="false">Исх_данные!$F$90</f>
        <v>8955924.53401194</v>
      </c>
      <c r="E18" s="12" t="n">
        <f aca="false">Исх_данные!$G$90</f>
        <v>6625811.37658076</v>
      </c>
      <c r="F18" s="12" t="n">
        <f aca="false">Исх_данные!$H$90</f>
        <v>8138805.81292294</v>
      </c>
      <c r="G18" s="12" t="n">
        <f aca="false">Исх_данные!$I$90</f>
        <v>8318151.95208686</v>
      </c>
      <c r="H18" s="12" t="n">
        <f aca="false">Исх_данные!$J$90</f>
        <v>8500841.16368051</v>
      </c>
      <c r="I18" s="12" t="n">
        <f aca="false">Исх_данные!$K$90</f>
        <v>8687549.53792924</v>
      </c>
      <c r="J18" s="12" t="n">
        <f aca="false">Исх_данные!$L$90</f>
        <v>8878365.49641143</v>
      </c>
    </row>
    <row r="19" customFormat="false" ht="15" hidden="false" customHeight="false" outlineLevel="0" collapsed="false">
      <c r="B19" s="10" t="s">
        <v>546</v>
      </c>
      <c r="C19" s="48" t="n">
        <v>0</v>
      </c>
      <c r="D19" s="48" t="n">
        <f aca="false">SUM(D16:D18)</f>
        <v>31285559.2208704</v>
      </c>
      <c r="E19" s="48" t="n">
        <f aca="false">SUM(E16:E18)</f>
        <v>48345171.641676</v>
      </c>
      <c r="F19" s="48" t="n">
        <f aca="false">SUM(F16:F18)</f>
        <v>59769095.5136137</v>
      </c>
      <c r="G19" s="48" t="n">
        <f aca="false">SUM(G16:G18)</f>
        <v>61419079.2811209</v>
      </c>
      <c r="H19" s="48" t="n">
        <f aca="false">SUM(H16:H18)</f>
        <v>62769988.8939533</v>
      </c>
      <c r="I19" s="48" t="n">
        <f aca="false">SUM(I16:I18)</f>
        <v>64150618.518268</v>
      </c>
      <c r="J19" s="48" t="n">
        <f aca="false">SUM(J16:J18)</f>
        <v>65561621.9943177</v>
      </c>
    </row>
    <row r="20" customFormat="false" ht="15" hidden="false" customHeight="false" outlineLevel="0" collapsed="false">
      <c r="B20" s="6" t="s">
        <v>547</v>
      </c>
      <c r="C20" s="12" t="n">
        <v>0</v>
      </c>
      <c r="D20" s="12" t="n">
        <f aca="false">Исх_данные!$F$91</f>
        <v>2616698.78438471</v>
      </c>
      <c r="E20" s="12" t="n">
        <f aca="false">Исх_данные!$G$91</f>
        <v>4897566.29402445</v>
      </c>
      <c r="F20" s="12" t="n">
        <f aca="false">Исх_данные!$H$91</f>
        <v>6018302.91353718</v>
      </c>
      <c r="G20" s="12" t="n">
        <f aca="false">Исх_данные!$I$91</f>
        <v>6151151.90551045</v>
      </c>
      <c r="H20" s="12" t="n">
        <f aca="false">Исх_данные!$J$91</f>
        <v>6286477.24743168</v>
      </c>
      <c r="I20" s="12" t="n">
        <f aca="false">Исх_данные!$K$91</f>
        <v>6424779.74687518</v>
      </c>
      <c r="J20" s="12" t="n">
        <f aca="false">Исх_данные!$L$91</f>
        <v>6566124.90130643</v>
      </c>
    </row>
    <row r="21" customFormat="false" ht="15" hidden="false" customHeight="false" outlineLevel="0" collapsed="false">
      <c r="B21" s="6" t="s">
        <v>548</v>
      </c>
      <c r="C21" s="12" t="n">
        <v>0</v>
      </c>
      <c r="D21" s="12" t="n">
        <f aca="false">Исх_данные!$F$92</f>
        <v>141239.615922167</v>
      </c>
      <c r="E21" s="12" t="n">
        <f aca="false">Исх_данные!$G$92</f>
        <v>148877.951228221</v>
      </c>
      <c r="F21" s="12" t="n">
        <f aca="false">Исх_данные!$H$92</f>
        <v>152137.174400701</v>
      </c>
      <c r="G21" s="12" t="n">
        <f aca="false">Исх_данные!$I$92</f>
        <v>155482.770459095</v>
      </c>
      <c r="H21" s="12" t="n">
        <f aca="false">Исх_данные!$J$92</f>
        <v>158903.391409195</v>
      </c>
      <c r="I21" s="12" t="n">
        <f aca="false">Исх_данные!$K$92</f>
        <v>162399.266020198</v>
      </c>
      <c r="J21" s="12" t="n">
        <f aca="false">Исх_данные!$L$92</f>
        <v>165972.049872642</v>
      </c>
    </row>
    <row r="22" customFormat="false" ht="15" hidden="false" customHeight="false" outlineLevel="0" collapsed="false">
      <c r="B22" s="10" t="s">
        <v>549</v>
      </c>
      <c r="C22" s="48" t="n">
        <v>0</v>
      </c>
      <c r="D22" s="48" t="n">
        <f aca="false">D20+D21</f>
        <v>2757938.40030688</v>
      </c>
      <c r="E22" s="48" t="n">
        <f aca="false">E20+E21</f>
        <v>5046444.24525267</v>
      </c>
      <c r="F22" s="48" t="n">
        <f aca="false">F20+F21</f>
        <v>6170440.08793788</v>
      </c>
      <c r="G22" s="48" t="n">
        <f aca="false">G20+G21</f>
        <v>6306634.67596955</v>
      </c>
      <c r="H22" s="48" t="n">
        <f aca="false">H20+H21</f>
        <v>6445380.63884087</v>
      </c>
      <c r="I22" s="48" t="n">
        <f aca="false">I20+I21</f>
        <v>6587179.01289538</v>
      </c>
      <c r="J22" s="48" t="n">
        <f aca="false">J20+J21</f>
        <v>6732096.95117908</v>
      </c>
    </row>
    <row r="23" customFormat="false" ht="15" hidden="false" customHeight="false" outlineLevel="0" collapsed="false">
      <c r="B23" s="14" t="s">
        <v>550</v>
      </c>
      <c r="C23" s="15" t="n">
        <v>0</v>
      </c>
      <c r="D23" s="15" t="n">
        <f aca="false">D19-D22</f>
        <v>28527620.8205635</v>
      </c>
      <c r="E23" s="15" t="n">
        <f aca="false">E19-E22</f>
        <v>43298727.3964234</v>
      </c>
      <c r="F23" s="15" t="n">
        <f aca="false">F19-F22</f>
        <v>53598655.4256758</v>
      </c>
      <c r="G23" s="15" t="n">
        <f aca="false">G19-G22</f>
        <v>55112444.6051513</v>
      </c>
      <c r="H23" s="15" t="n">
        <f aca="false">H19-H22</f>
        <v>56324608.2551124</v>
      </c>
      <c r="I23" s="15" t="n">
        <f aca="false">I19-I22</f>
        <v>57563439.5053726</v>
      </c>
      <c r="J23" s="15" t="n">
        <f aca="false">J19-J22</f>
        <v>58829525.0431386</v>
      </c>
    </row>
    <row r="25" customFormat="false" ht="15" hidden="false" customHeight="false" outlineLevel="0" collapsed="false">
      <c r="B25" s="26" t="s">
        <v>551</v>
      </c>
      <c r="C25" s="22"/>
      <c r="D25" s="22" t="n">
        <f aca="false">-(D23-C23)</f>
        <v>-28527620.8205635</v>
      </c>
      <c r="E25" s="22" t="n">
        <f aca="false">-(E23-D23)</f>
        <v>-14771106.5758598</v>
      </c>
      <c r="F25" s="22" t="n">
        <f aca="false">-(F23-E23)</f>
        <v>-10299928.0292524</v>
      </c>
      <c r="G25" s="22" t="n">
        <f aca="false">-(G23-F23)</f>
        <v>-1513789.17947555</v>
      </c>
      <c r="H25" s="22" t="n">
        <f aca="false">-(H23-G23)</f>
        <v>-1212163.64996107</v>
      </c>
      <c r="I25" s="22" t="n">
        <f aca="false">-(I23-H23)</f>
        <v>-1238831.25026023</v>
      </c>
      <c r="J25" s="22" t="n">
        <f aca="false">-(J23-I23)</f>
        <v>-1266085.53776595</v>
      </c>
    </row>
    <row r="26" customFormat="false" ht="15" hidden="false" customHeight="false" outlineLevel="0" collapsed="false">
      <c r="B26" s="6" t="s">
        <v>552</v>
      </c>
      <c r="C26" s="12"/>
      <c r="D26" s="12" t="n">
        <f aca="false">(Исх_данные!$F$82-Исх_данные!$F$50+Исх_данные!$E$82-Исх_данные!$E$50)-D25</f>
        <v>0</v>
      </c>
      <c r="E26" s="12" t="n">
        <f aca="false">(Исх_данные!$G$82-Исх_данные!$G$50)-E25</f>
        <v>0</v>
      </c>
      <c r="F26" s="12" t="n">
        <f aca="false">(Исх_данные!$H$82-Исх_данные!$H$50)-F25</f>
        <v>0</v>
      </c>
      <c r="G26" s="12" t="n">
        <f aca="false">(Исх_данные!$I$82-Исх_данные!$I$50)-G25</f>
        <v>0</v>
      </c>
      <c r="H26" s="12" t="n">
        <f aca="false">(Исх_данные!$J$82-Исх_данные!$J$50)-H25</f>
        <v>-7.45058059692383E-009</v>
      </c>
      <c r="I26" s="12" t="n">
        <f aca="false">(Исх_данные!$K$82-Исх_данные!$K$50)-I25</f>
        <v>0</v>
      </c>
      <c r="J26" s="12" t="n">
        <f aca="false">(Исх_данные!$L$82-Исх_данные!$L$50)-J25</f>
        <v>0</v>
      </c>
    </row>
    <row r="27" customFormat="false" ht="15" hidden="false" customHeight="false" outlineLevel="0" collapsed="false">
      <c r="B27" s="10" t="s">
        <v>553</v>
      </c>
      <c r="C27" s="48"/>
      <c r="D27" s="48" t="n">
        <f aca="false">D25+D26</f>
        <v>-28527620.8205635</v>
      </c>
      <c r="E27" s="48" t="n">
        <f aca="false">E25+E26</f>
        <v>-14771106.5758598</v>
      </c>
      <c r="F27" s="48" t="n">
        <f aca="false">F25+F26</f>
        <v>-10299928.0292524</v>
      </c>
      <c r="G27" s="48" t="n">
        <f aca="false">G25+G26</f>
        <v>-1513789.17947555</v>
      </c>
      <c r="H27" s="48" t="n">
        <f aca="false">H25+H26</f>
        <v>-1212163.64996108</v>
      </c>
      <c r="I27" s="48" t="n">
        <f aca="false">I25+I26</f>
        <v>-1238831.25026023</v>
      </c>
      <c r="J27" s="48" t="n">
        <f aca="false">J25+J26</f>
        <v>-1266085.53776595</v>
      </c>
    </row>
    <row r="29" customFormat="false" ht="15" hidden="false" customHeight="false" outlineLevel="0" collapsed="false">
      <c r="B29" s="3" t="s">
        <v>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555</v>
      </c>
      <c r="K2" s="51" t="s">
        <v>556</v>
      </c>
    </row>
    <row r="3" customFormat="false" ht="15" hidden="false" customHeight="false" outlineLevel="0" collapsed="false">
      <c r="B3" s="52" t="s">
        <v>557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9" t="s">
        <v>505</v>
      </c>
      <c r="C6" s="20" t="s">
        <v>32</v>
      </c>
      <c r="D6" s="12" t="n">
        <f aca="false">ProfLoss!D6</f>
        <v>28968597.004992</v>
      </c>
      <c r="E6" s="12" t="n">
        <f aca="false">ProfLoss!E6</f>
        <v>252970675.329593</v>
      </c>
      <c r="F6" s="12" t="n">
        <f aca="false">ProfLoss!F6</f>
        <v>314845216.567729</v>
      </c>
      <c r="G6" s="12" t="n">
        <f aca="false">ProfLoss!G6</f>
        <v>325844872.235159</v>
      </c>
      <c r="H6" s="12" t="n">
        <f aca="false">ProfLoss!H6</f>
        <v>333013459.424332</v>
      </c>
      <c r="I6" s="12" t="n">
        <f aca="false">ProfLoss!I6</f>
        <v>340339755.531667</v>
      </c>
      <c r="J6" s="12" t="n">
        <f aca="false">ProfLoss!J6</f>
        <v>347827230.153364</v>
      </c>
      <c r="K6" s="12" t="n">
        <f aca="false">SUM(D6:J6)</f>
        <v>1943809806.24684</v>
      </c>
    </row>
    <row r="7" customFormat="false" ht="15" hidden="false" customHeight="false" outlineLevel="0" collapsed="false">
      <c r="B7" s="19" t="s">
        <v>508</v>
      </c>
      <c r="C7" s="20" t="s">
        <v>32</v>
      </c>
      <c r="D7" s="12" t="n">
        <f aca="false">-ProfLoss!D9</f>
        <v>-0</v>
      </c>
      <c r="E7" s="12" t="n">
        <f aca="false">-ProfLoss!E9</f>
        <v>-0</v>
      </c>
      <c r="F7" s="12" t="n">
        <f aca="false">-ProfLoss!F9</f>
        <v>-0</v>
      </c>
      <c r="G7" s="12" t="n">
        <f aca="false">-ProfLoss!G9</f>
        <v>-0</v>
      </c>
      <c r="H7" s="12" t="n">
        <f aca="false">-ProfLoss!H9</f>
        <v>-0</v>
      </c>
      <c r="I7" s="12" t="n">
        <f aca="false">-ProfLoss!I9</f>
        <v>-0</v>
      </c>
      <c r="J7" s="12" t="n">
        <f aca="false">-ProfLoss!J9</f>
        <v>-0</v>
      </c>
      <c r="K7" s="12" t="n">
        <f aca="false">SUM(D7:J7)</f>
        <v>0</v>
      </c>
    </row>
    <row r="8" customFormat="false" ht="15" hidden="false" customHeight="false" outlineLevel="0" collapsed="false">
      <c r="B8" s="62" t="s">
        <v>509</v>
      </c>
      <c r="C8" s="20" t="s">
        <v>32</v>
      </c>
      <c r="D8" s="22" t="n">
        <f aca="false">D6+D7</f>
        <v>28968597.004992</v>
      </c>
      <c r="E8" s="22" t="n">
        <f aca="false">E6+E7</f>
        <v>252970675.329593</v>
      </c>
      <c r="F8" s="22" t="n">
        <f aca="false">F6+F7</f>
        <v>314845216.567729</v>
      </c>
      <c r="G8" s="22" t="n">
        <f aca="false">G6+G7</f>
        <v>325844872.235159</v>
      </c>
      <c r="H8" s="22" t="n">
        <f aca="false">H6+H7</f>
        <v>333013459.424332</v>
      </c>
      <c r="I8" s="22" t="n">
        <f aca="false">I6+I7</f>
        <v>340339755.531667</v>
      </c>
      <c r="J8" s="22" t="n">
        <f aca="false">J6+J7</f>
        <v>347827230.153364</v>
      </c>
      <c r="K8" s="22" t="n">
        <f aca="false">SUM(D8:J8)</f>
        <v>1943809806.24684</v>
      </c>
    </row>
    <row r="9" customFormat="false" ht="15" hidden="false" customHeight="false" outlineLevel="0" collapsed="false">
      <c r="B9" s="19" t="s">
        <v>558</v>
      </c>
      <c r="C9" s="20" t="s">
        <v>32</v>
      </c>
      <c r="D9" s="12" t="n">
        <f aca="false">WorkCap!D27</f>
        <v>-28527620.8205635</v>
      </c>
      <c r="E9" s="12" t="n">
        <f aca="false">WorkCap!E27</f>
        <v>-14771106.5758598</v>
      </c>
      <c r="F9" s="12" t="n">
        <f aca="false">WorkCap!F27</f>
        <v>-10299928.0292524</v>
      </c>
      <c r="G9" s="12" t="n">
        <f aca="false">WorkCap!G27</f>
        <v>-1513789.17947555</v>
      </c>
      <c r="H9" s="12" t="n">
        <f aca="false">WorkCap!H27</f>
        <v>-1212163.64996108</v>
      </c>
      <c r="I9" s="12" t="n">
        <f aca="false">WorkCap!I27</f>
        <v>-1238831.25026023</v>
      </c>
      <c r="J9" s="12" t="n">
        <f aca="false">WorkCap!J27</f>
        <v>-1266085.53776595</v>
      </c>
      <c r="K9" s="12" t="n">
        <f aca="false">SUM(D9:J9)</f>
        <v>-58829525.0431386</v>
      </c>
    </row>
    <row r="10" customFormat="false" ht="15" hidden="false" customHeight="false" outlineLevel="0" collapsed="false">
      <c r="B10" s="69" t="s">
        <v>559</v>
      </c>
      <c r="C10" s="59" t="s">
        <v>32</v>
      </c>
      <c r="D10" s="48" t="n">
        <f aca="false">D8+D9</f>
        <v>440976.184428442</v>
      </c>
      <c r="E10" s="48" t="n">
        <f aca="false">E8+E9</f>
        <v>238199568.753733</v>
      </c>
      <c r="F10" s="48" t="n">
        <f aca="false">F8+F9</f>
        <v>304545288.538477</v>
      </c>
      <c r="G10" s="48" t="n">
        <f aca="false">G8+G9</f>
        <v>324331083.055683</v>
      </c>
      <c r="H10" s="48" t="n">
        <f aca="false">H8+H9</f>
        <v>331801295.774371</v>
      </c>
      <c r="I10" s="48" t="n">
        <f aca="false">I8+I9</f>
        <v>339100924.281407</v>
      </c>
      <c r="J10" s="48" t="n">
        <f aca="false">J8+J9</f>
        <v>346561144.615598</v>
      </c>
      <c r="K10" s="48" t="n">
        <f aca="false">SUM(D10:J10)</f>
        <v>1884980281.2037</v>
      </c>
    </row>
    <row r="11" customFormat="false" ht="15" hidden="false" customHeight="false" outlineLevel="0" collapsed="false">
      <c r="B11" s="19" t="s">
        <v>454</v>
      </c>
      <c r="C11" s="20" t="s">
        <v>32</v>
      </c>
      <c r="D11" s="12" t="n">
        <f aca="false">-ProfLoss!D11</f>
        <v>-21093700.036657</v>
      </c>
      <c r="E11" s="12" t="n">
        <f aca="false">-ProfLoss!E11</f>
        <v>-217265749.004587</v>
      </c>
      <c r="F11" s="12" t="n">
        <f aca="false">-ProfLoss!F11</f>
        <v>-270814621.006673</v>
      </c>
      <c r="G11" s="12" t="n">
        <f aca="false">-ProfLoss!G11</f>
        <v>-279271630.847367</v>
      </c>
      <c r="H11" s="12" t="n">
        <f aca="false">-ProfLoss!H11</f>
        <v>-285405375.894451</v>
      </c>
      <c r="I11" s="12" t="n">
        <f aca="false">-ProfLoss!I11</f>
        <v>-291673016.077546</v>
      </c>
      <c r="J11" s="12" t="n">
        <f aca="false">-ProfLoss!J11</f>
        <v>-298077496.215561</v>
      </c>
      <c r="K11" s="12" t="n">
        <f aca="false">SUM(D11:J11)</f>
        <v>-1663601589.08284</v>
      </c>
    </row>
    <row r="12" customFormat="false" ht="15" hidden="false" customHeight="false" outlineLevel="0" collapsed="false">
      <c r="B12" s="69" t="s">
        <v>560</v>
      </c>
      <c r="C12" s="59" t="s">
        <v>32</v>
      </c>
      <c r="D12" s="48" t="n">
        <f aca="false">D10+D11</f>
        <v>-20652723.8522285</v>
      </c>
      <c r="E12" s="48" t="n">
        <f aca="false">E10+E11</f>
        <v>20933819.7491462</v>
      </c>
      <c r="F12" s="48" t="n">
        <f aca="false">F10+F11</f>
        <v>33730667.5318038</v>
      </c>
      <c r="G12" s="48" t="n">
        <f aca="false">G10+G11</f>
        <v>45059452.2083164</v>
      </c>
      <c r="H12" s="48" t="n">
        <f aca="false">H10+H11</f>
        <v>46395919.8799198</v>
      </c>
      <c r="I12" s="48" t="n">
        <f aca="false">I10+I11</f>
        <v>47427908.2038614</v>
      </c>
      <c r="J12" s="48" t="n">
        <f aca="false">J10+J11</f>
        <v>48483648.4000372</v>
      </c>
      <c r="K12" s="48" t="n">
        <f aca="false">SUM(D12:J12)</f>
        <v>221378692.120856</v>
      </c>
    </row>
    <row r="13" customFormat="false" ht="15" hidden="false" customHeight="false" outlineLevel="0" collapsed="false">
      <c r="B13" s="19" t="s">
        <v>561</v>
      </c>
      <c r="C13" s="20" t="s">
        <v>32</v>
      </c>
      <c r="D13" s="12" t="n">
        <f aca="false">-ProfLoss!D15</f>
        <v>-3090620.97894771</v>
      </c>
      <c r="E13" s="12" t="n">
        <f aca="false">-ProfLoss!E15</f>
        <v>-5109813.95849323</v>
      </c>
      <c r="F13" s="12" t="n">
        <f aca="false">-ProfLoss!F15</f>
        <v>-5663248.17422871</v>
      </c>
      <c r="G13" s="12" t="n">
        <f aca="false">-ProfLoss!G15</f>
        <v>-5807964.20696454</v>
      </c>
      <c r="H13" s="12" t="n">
        <f aca="false">-ProfLoss!H15</f>
        <v>-5935503.70523203</v>
      </c>
      <c r="I13" s="12" t="n">
        <f aca="false">-ProfLoss!I15</f>
        <v>-6063170.50103286</v>
      </c>
      <c r="J13" s="12" t="n">
        <f aca="false">-ProfLoss!J15</f>
        <v>-6188347.75205558</v>
      </c>
      <c r="K13" s="12" t="n">
        <f aca="false">SUM(D13:J13)</f>
        <v>-37858669.2769547</v>
      </c>
    </row>
    <row r="14" customFormat="false" ht="15" hidden="false" customHeight="false" outlineLevel="0" collapsed="false">
      <c r="B14" s="19" t="s">
        <v>514</v>
      </c>
      <c r="C14" s="20" t="s">
        <v>32</v>
      </c>
      <c r="D14" s="12" t="n">
        <f aca="false">-ProfLoss!D16</f>
        <v>-705842.513520179</v>
      </c>
      <c r="E14" s="12" t="n">
        <f aca="false">-ProfLoss!E16</f>
        <v>-4924880.32260537</v>
      </c>
      <c r="F14" s="12" t="n">
        <f aca="false">-ProfLoss!F16</f>
        <v>-5939922.23486601</v>
      </c>
      <c r="G14" s="12" t="n">
        <f aca="false">-ProfLoss!G16</f>
        <v>-6053540.22648741</v>
      </c>
      <c r="H14" s="12" t="n">
        <f aca="false">-ProfLoss!H16</f>
        <v>-6169438.33422013</v>
      </c>
      <c r="I14" s="12" t="n">
        <f aca="false">-ProfLoss!I16</f>
        <v>-6288073.60732297</v>
      </c>
      <c r="J14" s="12" t="n">
        <f aca="false">-ProfLoss!J16</f>
        <v>-6409506.26343408</v>
      </c>
      <c r="K14" s="12" t="n">
        <f aca="false">SUM(D14:J14)</f>
        <v>-36491203.5024562</v>
      </c>
    </row>
    <row r="15" customFormat="false" ht="15" hidden="false" customHeight="false" outlineLevel="0" collapsed="false">
      <c r="B15" s="19" t="s">
        <v>562</v>
      </c>
      <c r="C15" s="20" t="s">
        <v>32</v>
      </c>
      <c r="D15" s="12" t="n">
        <f aca="false">-ProjCost!$E$18</f>
        <v>-701967.230417292</v>
      </c>
      <c r="E15" s="12" t="n">
        <f aca="false">0</f>
        <v>0</v>
      </c>
      <c r="F15" s="12" t="n">
        <f aca="false">0</f>
        <v>0</v>
      </c>
      <c r="G15" s="12" t="n">
        <f aca="false">0</f>
        <v>0</v>
      </c>
      <c r="H15" s="12" t="n">
        <f aca="false">0</f>
        <v>0</v>
      </c>
      <c r="I15" s="12" t="n">
        <f aca="false">0</f>
        <v>0</v>
      </c>
      <c r="J15" s="12" t="n">
        <f aca="false">0</f>
        <v>0</v>
      </c>
      <c r="K15" s="12" t="n">
        <f aca="false">SUM(D15:J15)</f>
        <v>-701967.230417292</v>
      </c>
    </row>
    <row r="16" customFormat="false" ht="15" hidden="false" customHeight="false" outlineLevel="0" collapsed="false">
      <c r="B16" s="19" t="s">
        <v>563</v>
      </c>
      <c r="C16" s="20" t="s">
        <v>32</v>
      </c>
      <c r="D16" s="12" t="n">
        <f aca="false">-ProfLoss!D21</f>
        <v>-611765.021380067</v>
      </c>
      <c r="E16" s="12" t="n">
        <f aca="false">-ProfLoss!E21</f>
        <v>-3682717.47683389</v>
      </c>
      <c r="F16" s="12" t="n">
        <f aca="false">-ProfLoss!F21</f>
        <v>-4726992.38019689</v>
      </c>
      <c r="G16" s="12" t="n">
        <f aca="false">-ProfLoss!G21</f>
        <v>-5099845.44233943</v>
      </c>
      <c r="H16" s="12" t="n">
        <f aca="false">-ProfLoss!H21</f>
        <v>-5248762.4145385</v>
      </c>
      <c r="I16" s="12" t="n">
        <f aca="false">-ProfLoss!I21</f>
        <v>-5400663.16711089</v>
      </c>
      <c r="J16" s="12" t="n">
        <f aca="false">-ProfLoss!J21</f>
        <v>-5556485.76289274</v>
      </c>
      <c r="K16" s="12" t="n">
        <f aca="false">SUM(D16:J16)</f>
        <v>-30327231.6652924</v>
      </c>
    </row>
    <row r="17" customFormat="false" ht="15" hidden="false" customHeight="false" outlineLevel="0" collapsed="false">
      <c r="B17" s="19" t="s">
        <v>564</v>
      </c>
      <c r="C17" s="20" t="s">
        <v>32</v>
      </c>
      <c r="D17" s="12" t="n">
        <f aca="false">Depreciate!$G$21</f>
        <v>623592.869220248</v>
      </c>
      <c r="E17" s="12" t="n">
        <f aca="false">Depreciate!$H$21</f>
        <v>2545983.89503575</v>
      </c>
      <c r="F17" s="12" t="n">
        <f aca="false">Depreciate!$I$21</f>
        <v>2593626.12717861</v>
      </c>
      <c r="G17" s="12" t="n">
        <f aca="false">Depreciate!$J$21</f>
        <v>2641268.35932147</v>
      </c>
      <c r="H17" s="12" t="n">
        <f aca="false">Depreciate!$K$21</f>
        <v>2688910.59146432</v>
      </c>
      <c r="I17" s="12" t="n">
        <f aca="false">Depreciate!$L$21</f>
        <v>2733874.25217861</v>
      </c>
      <c r="J17" s="12" t="n">
        <f aca="false">Depreciate!$M$21</f>
        <v>2773480.77003575</v>
      </c>
      <c r="K17" s="12" t="n">
        <f aca="false">SUM(D17:J17)</f>
        <v>16600736.8644348</v>
      </c>
    </row>
    <row r="18" customFormat="false" ht="15" hidden="false" customHeight="false" outlineLevel="0" collapsed="false">
      <c r="B18" s="38" t="s">
        <v>63</v>
      </c>
      <c r="C18" s="63" t="s">
        <v>32</v>
      </c>
      <c r="D18" s="15" t="n">
        <f aca="false">SUM(D12:D17)</f>
        <v>-25139326.7272735</v>
      </c>
      <c r="E18" s="15" t="n">
        <f aca="false">SUM(E12:E17)</f>
        <v>9762391.88624942</v>
      </c>
      <c r="F18" s="15" t="n">
        <f aca="false">SUM(F12:F17)</f>
        <v>19994130.8696908</v>
      </c>
      <c r="G18" s="15" t="n">
        <f aca="false">SUM(G12:G17)</f>
        <v>30739370.6918465</v>
      </c>
      <c r="H18" s="15" t="n">
        <f aca="false">SUM(H12:H17)</f>
        <v>31731126.0173934</v>
      </c>
      <c r="I18" s="15" t="n">
        <f aca="false">SUM(I12:I17)</f>
        <v>32409875.1805733</v>
      </c>
      <c r="J18" s="15" t="n">
        <f aca="false">SUM(J12:J17)</f>
        <v>33102789.3916905</v>
      </c>
      <c r="K18" s="15" t="n">
        <f aca="false">SUM(D18:J18)</f>
        <v>132600357.31017</v>
      </c>
    </row>
    <row r="19" customFormat="false" ht="15" hidden="false" customHeight="false" outlineLevel="0" collapsed="false">
      <c r="B19" s="19" t="s">
        <v>565</v>
      </c>
      <c r="C19" s="20" t="s">
        <v>32</v>
      </c>
      <c r="D19" s="12" t="n">
        <f aca="false">FinPlan!$E$10</f>
        <v>61345130.6472766</v>
      </c>
      <c r="E19" s="12" t="n">
        <f aca="false">0</f>
        <v>0</v>
      </c>
      <c r="F19" s="12" t="n">
        <f aca="false">0</f>
        <v>0</v>
      </c>
      <c r="G19" s="12" t="n">
        <f aca="false">0</f>
        <v>0</v>
      </c>
      <c r="H19" s="12" t="n">
        <f aca="false">0</f>
        <v>0</v>
      </c>
      <c r="I19" s="12" t="n">
        <f aca="false">0</f>
        <v>0</v>
      </c>
      <c r="J19" s="12" t="n">
        <f aca="false">0</f>
        <v>0</v>
      </c>
      <c r="K19" s="12" t="n">
        <f aca="false">SUM(D19:J19)</f>
        <v>61345130.6472766</v>
      </c>
    </row>
    <row r="20" customFormat="false" ht="15" hidden="false" customHeight="false" outlineLevel="0" collapsed="false">
      <c r="B20" s="19" t="s">
        <v>566</v>
      </c>
      <c r="C20" s="20" t="s">
        <v>32</v>
      </c>
      <c r="D20" s="12" t="n">
        <f aca="false">LOANS!$C$104</f>
        <v>17024289.695302</v>
      </c>
      <c r="E20" s="12" t="n">
        <f aca="false">LOANS!$D$104</f>
        <v>0</v>
      </c>
      <c r="F20" s="12" t="n">
        <f aca="false">LOANS!$E$104</f>
        <v>0</v>
      </c>
      <c r="G20" s="12" t="n">
        <f aca="false">LOANS!$F$104</f>
        <v>0</v>
      </c>
      <c r="H20" s="12" t="n">
        <f aca="false">LOANS!$G$104</f>
        <v>0</v>
      </c>
      <c r="I20" s="12" t="n">
        <f aca="false">LOANS!$H$104</f>
        <v>0</v>
      </c>
      <c r="J20" s="12" t="n">
        <f aca="false">LOANS!$I$104</f>
        <v>0</v>
      </c>
      <c r="K20" s="12" t="n">
        <f aca="false">SUM(D20:J20)</f>
        <v>17024289.695302</v>
      </c>
    </row>
    <row r="21" customFormat="false" ht="15" hidden="false" customHeight="false" outlineLevel="0" collapsed="false">
      <c r="B21" s="19" t="s">
        <v>567</v>
      </c>
      <c r="C21" s="20" t="s">
        <v>32</v>
      </c>
      <c r="D21" s="12" t="n">
        <f aca="false">-(Исх_данные!$F$93+Исх_данные!$E$93)</f>
        <v>-47761337.7232143</v>
      </c>
      <c r="E21" s="12" t="n">
        <f aca="false">-(Исх_данные!$G$93)</f>
        <v>-476422.321428571</v>
      </c>
      <c r="F21" s="12" t="n">
        <f aca="false">-(Исх_данные!$H$93)</f>
        <v>-476422.321428571</v>
      </c>
      <c r="G21" s="12" t="n">
        <f aca="false">-(Исх_данные!$I$93)</f>
        <v>-476422.321428571</v>
      </c>
      <c r="H21" s="12" t="n">
        <f aca="false">-(Исх_данные!$J$93)</f>
        <v>-476422.321428571</v>
      </c>
      <c r="I21" s="12" t="n">
        <f aca="false">-(Исх_данные!$K$93)</f>
        <v>-476422.321428571</v>
      </c>
      <c r="J21" s="12" t="n">
        <f aca="false">-(Исх_данные!$L$93)</f>
        <v>-476422.321428571</v>
      </c>
      <c r="K21" s="12" t="n">
        <f aca="false">SUM(D21:J21)</f>
        <v>-50619871.6517857</v>
      </c>
    </row>
    <row r="22" customFormat="false" ht="15" hidden="false" customHeight="false" outlineLevel="0" collapsed="false">
      <c r="B22" s="19" t="s">
        <v>568</v>
      </c>
      <c r="C22" s="20" t="s">
        <v>32</v>
      </c>
      <c r="D22" s="12" t="n">
        <f aca="false">-ProfLoss!D19</f>
        <v>-0</v>
      </c>
      <c r="E22" s="12" t="n">
        <f aca="false">-ProfLoss!E19</f>
        <v>-1118782.19834813</v>
      </c>
      <c r="F22" s="12" t="n">
        <f aca="false">-ProfLoss!F19</f>
        <v>-914142.617315518</v>
      </c>
      <c r="G22" s="12" t="n">
        <f aca="false">-ProfLoss!G19</f>
        <v>-712767.338743775</v>
      </c>
      <c r="H22" s="12" t="n">
        <f aca="false">-ProfLoss!H19</f>
        <v>-511392.060172031</v>
      </c>
      <c r="I22" s="12" t="n">
        <f aca="false">-ProfLoss!I19</f>
        <v>-311074.231693245</v>
      </c>
      <c r="J22" s="12" t="n">
        <f aca="false">-ProfLoss!J19</f>
        <v>-108641.503028545</v>
      </c>
      <c r="K22" s="12" t="n">
        <f aca="false">SUM(D22:J22)</f>
        <v>-3676799.94930124</v>
      </c>
    </row>
    <row r="23" customFormat="false" ht="23.85" hidden="false" customHeight="false" outlineLevel="0" collapsed="false">
      <c r="B23" s="19" t="s">
        <v>569</v>
      </c>
      <c r="C23" s="20" t="s">
        <v>32</v>
      </c>
      <c r="D23" s="12" t="n">
        <f aca="false">-LOANS!$C$106</f>
        <v>-1208251.67143046</v>
      </c>
      <c r="E23" s="12" t="n">
        <f aca="false">0</f>
        <v>0</v>
      </c>
      <c r="F23" s="12" t="n">
        <f aca="false">0</f>
        <v>0</v>
      </c>
      <c r="G23" s="12" t="n">
        <f aca="false">0</f>
        <v>0</v>
      </c>
      <c r="H23" s="12" t="n">
        <f aca="false">0</f>
        <v>0</v>
      </c>
      <c r="I23" s="12" t="n">
        <f aca="false">0</f>
        <v>0</v>
      </c>
      <c r="J23" s="12" t="n">
        <f aca="false">0</f>
        <v>0</v>
      </c>
      <c r="K23" s="12" t="n">
        <f aca="false">SUM(D23:J23)</f>
        <v>-1208251.67143046</v>
      </c>
    </row>
    <row r="24" customFormat="false" ht="15" hidden="false" customHeight="false" outlineLevel="0" collapsed="false">
      <c r="B24" s="69" t="s">
        <v>570</v>
      </c>
      <c r="C24" s="59" t="s">
        <v>32</v>
      </c>
      <c r="D24" s="48" t="n">
        <f aca="false">D18+D19+D20+D21+D22+D23</f>
        <v>4260504.22066031</v>
      </c>
      <c r="E24" s="48" t="n">
        <f aca="false">E18+E19+E20+E21+E22+E23</f>
        <v>8167187.36647272</v>
      </c>
      <c r="F24" s="48" t="n">
        <f aca="false">F18+F19+F20+F21+F22+F23</f>
        <v>18603565.9309467</v>
      </c>
      <c r="G24" s="48" t="n">
        <f aca="false">G18+G19+G20+G21+G22+G23</f>
        <v>29550181.0316741</v>
      </c>
      <c r="H24" s="48" t="n">
        <f aca="false">H18+H19+H20+H21+H22+H23</f>
        <v>30743311.6357928</v>
      </c>
      <c r="I24" s="48" t="n">
        <f aca="false">I18+I19+I20+I21+I22+I23</f>
        <v>31622378.6274515</v>
      </c>
      <c r="J24" s="48" t="n">
        <f aca="false">J18+J19+J20+J21+J22+J23</f>
        <v>32517725.5672334</v>
      </c>
      <c r="K24" s="48" t="n">
        <f aca="false">SUM(D24:J24)</f>
        <v>155464854.380232</v>
      </c>
    </row>
    <row r="25" customFormat="false" ht="15" hidden="false" customHeight="false" outlineLevel="0" collapsed="false">
      <c r="B25" s="19" t="s">
        <v>571</v>
      </c>
      <c r="C25" s="20" t="s">
        <v>32</v>
      </c>
      <c r="D25" s="12" t="n">
        <f aca="false">-LOANS!$C$105</f>
        <v>-0</v>
      </c>
      <c r="E25" s="12" t="n">
        <f aca="false">-LOANS!$D$105</f>
        <v>-2837381.61588366</v>
      </c>
      <c r="F25" s="12" t="n">
        <f aca="false">-LOANS!$E$105</f>
        <v>-2837381.61588366</v>
      </c>
      <c r="G25" s="12" t="n">
        <f aca="false">-LOANS!$F$105</f>
        <v>-2837381.61588366</v>
      </c>
      <c r="H25" s="12" t="n">
        <f aca="false">-LOANS!$G$105</f>
        <v>-2837381.61588366</v>
      </c>
      <c r="I25" s="12" t="n">
        <f aca="false">-LOANS!$H$105</f>
        <v>-2837381.61588366</v>
      </c>
      <c r="J25" s="12" t="n">
        <f aca="false">-LOANS!$I$105</f>
        <v>-2837381.61588365</v>
      </c>
      <c r="K25" s="12" t="n">
        <f aca="false">SUM(D25:J25)</f>
        <v>-17024289.695302</v>
      </c>
    </row>
    <row r="26" customFormat="false" ht="15" hidden="false" customHeight="false" outlineLevel="0" collapsed="false">
      <c r="B26" s="38" t="s">
        <v>65</v>
      </c>
      <c r="C26" s="63" t="s">
        <v>32</v>
      </c>
      <c r="D26" s="15" t="n">
        <f aca="false">D24+D25</f>
        <v>4260504.22066031</v>
      </c>
      <c r="E26" s="15" t="n">
        <f aca="false">E24+E25</f>
        <v>5329805.75058906</v>
      </c>
      <c r="F26" s="15" t="n">
        <f aca="false">F24+F25</f>
        <v>15766184.315063</v>
      </c>
      <c r="G26" s="15" t="n">
        <f aca="false">G24+G25</f>
        <v>26712799.4157905</v>
      </c>
      <c r="H26" s="15" t="n">
        <f aca="false">H24+H25</f>
        <v>27905930.0199092</v>
      </c>
      <c r="I26" s="15" t="n">
        <f aca="false">I24+I25</f>
        <v>28784997.0115678</v>
      </c>
      <c r="J26" s="15" t="n">
        <f aca="false">J24+J25</f>
        <v>29680343.9513498</v>
      </c>
      <c r="K26" s="15" t="n">
        <f aca="false">SUM(D26:J26)</f>
        <v>138440564.68493</v>
      </c>
    </row>
    <row r="27" customFormat="false" ht="15" hidden="false" customHeight="false" outlineLevel="0" collapsed="false">
      <c r="B27" s="62" t="s">
        <v>66</v>
      </c>
      <c r="C27" s="20" t="s">
        <v>32</v>
      </c>
      <c r="D27" s="22" t="n">
        <f aca="false">D26</f>
        <v>4260504.22066031</v>
      </c>
      <c r="E27" s="22" t="n">
        <f aca="false">D27+E26</f>
        <v>9590309.97124937</v>
      </c>
      <c r="F27" s="22" t="n">
        <f aca="false">E27+F26</f>
        <v>25356494.2863124</v>
      </c>
      <c r="G27" s="22" t="n">
        <f aca="false">F27+G26</f>
        <v>52069293.7021029</v>
      </c>
      <c r="H27" s="22" t="n">
        <f aca="false">G27+H26</f>
        <v>79975223.722012</v>
      </c>
      <c r="I27" s="22" t="n">
        <f aca="false">H27+I26</f>
        <v>108760220.73358</v>
      </c>
      <c r="J27" s="22" t="n">
        <f aca="false">I27+J26</f>
        <v>138440564.68493</v>
      </c>
      <c r="K27" s="22" t="n">
        <f aca="false">J27</f>
        <v>138440564.68493</v>
      </c>
    </row>
    <row r="29" customFormat="false" ht="15" hidden="false" customHeight="false" outlineLevel="0" collapsed="false">
      <c r="B29" s="19" t="s">
        <v>572</v>
      </c>
      <c r="C29" s="20" t="s">
        <v>68</v>
      </c>
      <c r="D29" s="21" t="str">
        <f aca="false">"-"</f>
        <v>-</v>
      </c>
      <c r="E29" s="21" t="n">
        <f aca="false">IFERROR(E18/-(E22+E25),0)</f>
        <v>2.46764096348348</v>
      </c>
      <c r="F29" s="21" t="n">
        <f aca="false">IFERROR(F18/-(F22+F25),0)</f>
        <v>5.32960195025594</v>
      </c>
      <c r="G29" s="21" t="n">
        <f aca="false">IFERROR(G18/-(G22+G25),0)</f>
        <v>8.65861435244267</v>
      </c>
      <c r="H29" s="21" t="n">
        <f aca="false">IFERROR(H18/-(H22+H25),0)</f>
        <v>9.47544656250628</v>
      </c>
      <c r="I29" s="21" t="n">
        <f aca="false">IFERROR(I18/-(I22+I25),0)</f>
        <v>10.2938954044778</v>
      </c>
      <c r="J29" s="21" t="n">
        <f aca="false">IFERROR(J18/-(J22+J25),0)</f>
        <v>11.236432320977</v>
      </c>
    </row>
    <row r="30" customFormat="false" ht="15" hidden="false" customHeight="false" outlineLevel="0" collapsed="false">
      <c r="B30" s="19" t="s">
        <v>573</v>
      </c>
      <c r="C30" s="20" t="s">
        <v>68</v>
      </c>
      <c r="D30" s="21" t="str">
        <f aca="false">"-"</f>
        <v>-</v>
      </c>
      <c r="E30" s="21" t="n">
        <f aca="false">IFERROR((E18+E21)/-(E22+E25),0)</f>
        <v>2.34721563637374</v>
      </c>
      <c r="F30" s="21" t="n">
        <f aca="false">IFERROR((F18+F21)/-(F22+F25),0)</f>
        <v>5.20260761626965</v>
      </c>
      <c r="G30" s="21" t="n">
        <f aca="false">IFERROR((G18+G21)/-(G22+G25),0)</f>
        <v>8.5244165124316</v>
      </c>
      <c r="H30" s="21" t="n">
        <f aca="false">IFERROR((H18+H21)/-(H22+H25),0)</f>
        <v>9.33317886468153</v>
      </c>
      <c r="I30" s="21" t="n">
        <f aca="false">IFERROR((I18+I21)/-(I22+I25),0)</f>
        <v>10.1425760452449</v>
      </c>
      <c r="J30" s="21" t="n">
        <f aca="false">IFERROR((J18+J21)/-(J22+J25),0)</f>
        <v>11.0747152189047</v>
      </c>
    </row>
    <row r="31" customFormat="false" ht="15" hidden="false" customHeight="false" outlineLevel="0" collapsed="false">
      <c r="B31" s="26" t="s">
        <v>574</v>
      </c>
      <c r="K31" s="74" t="n">
        <f aca="false">MIN(E30:J30)</f>
        <v>2.34721563637374</v>
      </c>
    </row>
    <row r="32" customFormat="false" ht="15" hidden="false" customHeight="false" outlineLevel="0" collapsed="false">
      <c r="B32" s="26" t="s">
        <v>575</v>
      </c>
      <c r="K32" s="74" t="n">
        <f aca="false">AVERAGE(E30:J30)</f>
        <v>7.77078498231769</v>
      </c>
    </row>
    <row r="34" customFormat="false" ht="15" hidden="false" customHeight="false" outlineLevel="0" collapsed="false">
      <c r="B34" s="3" t="s">
        <v>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8"/>
    <col collapsed="false" customWidth="true" hidden="false" outlineLevel="0" max="4" min="4" style="0" width="40"/>
  </cols>
  <sheetData>
    <row r="2" customFormat="false" ht="15" hidden="false" customHeight="false" outlineLevel="0" collapsed="false">
      <c r="B2" s="2" t="s">
        <v>577</v>
      </c>
      <c r="D2" s="51" t="s">
        <v>578</v>
      </c>
    </row>
    <row r="4" customFormat="false" ht="15" hidden="false" customHeight="false" outlineLevel="0" collapsed="false">
      <c r="B4" s="26" t="s">
        <v>579</v>
      </c>
      <c r="C4" s="22" t="n">
        <f aca="false">CostTotal!C26</f>
        <v>314845216.567729</v>
      </c>
    </row>
    <row r="5" customFormat="false" ht="15" hidden="false" customHeight="false" outlineLevel="0" collapsed="false">
      <c r="B5" s="6" t="s">
        <v>214</v>
      </c>
      <c r="C5" s="12" t="n">
        <f aca="false">SalePlan!F12</f>
        <v>0</v>
      </c>
    </row>
    <row r="6" customFormat="false" ht="15" hidden="false" customHeight="false" outlineLevel="0" collapsed="false">
      <c r="B6" s="6" t="s">
        <v>215</v>
      </c>
      <c r="C6" s="12" t="n">
        <f aca="false">SalePlan!F8</f>
        <v>314845216.567729</v>
      </c>
    </row>
    <row r="7" customFormat="false" ht="15" hidden="false" customHeight="false" outlineLevel="0" collapsed="false">
      <c r="B7" s="6" t="s">
        <v>413</v>
      </c>
      <c r="C7" s="12" t="n">
        <f aca="false">CostTotal!F22</f>
        <v>9682386.55827227</v>
      </c>
    </row>
    <row r="8" customFormat="false" ht="15" hidden="false" customHeight="false" outlineLevel="0" collapsed="false">
      <c r="B8" s="6" t="s">
        <v>414</v>
      </c>
      <c r="C8" s="12" t="n">
        <f aca="false">CostTotal!G22</f>
        <v>275509354.797073</v>
      </c>
    </row>
    <row r="9" customFormat="false" ht="15" hidden="false" customHeight="false" outlineLevel="0" collapsed="false">
      <c r="B9" s="6" t="s">
        <v>580</v>
      </c>
      <c r="C9" s="12" t="n">
        <f aca="false">C4-C8</f>
        <v>39335861.7706561</v>
      </c>
    </row>
    <row r="10" customFormat="false" ht="15" hidden="false" customHeight="false" outlineLevel="0" collapsed="false">
      <c r="B10" s="26" t="s">
        <v>581</v>
      </c>
      <c r="C10" s="23" t="n">
        <f aca="false">IFERROR(C7/C9,0)</f>
        <v>0.246146547258186</v>
      </c>
    </row>
    <row r="11" customFormat="false" ht="15" hidden="false" customHeight="false" outlineLevel="0" collapsed="false">
      <c r="B11" s="6" t="s">
        <v>582</v>
      </c>
      <c r="C11" s="12" t="n">
        <f aca="false">C10*C4</f>
        <v>77498062.9789024</v>
      </c>
    </row>
    <row r="12" customFormat="false" ht="15" hidden="false" customHeight="false" outlineLevel="0" collapsed="false">
      <c r="B12" s="6" t="s">
        <v>583</v>
      </c>
      <c r="C12" s="61" t="n">
        <f aca="false">C10*ProdPlan!F13</f>
        <v>653.888302791372</v>
      </c>
      <c r="D12" s="70" t="s">
        <v>259</v>
      </c>
    </row>
    <row r="13" customFormat="false" ht="15" hidden="false" customHeight="false" outlineLevel="0" collapsed="false">
      <c r="B13" s="6" t="s">
        <v>584</v>
      </c>
      <c r="C13" s="13" t="n">
        <f aca="false">1-C10</f>
        <v>0.753853452741814</v>
      </c>
    </row>
    <row r="15" customFormat="false" ht="23.85" hidden="false" customHeight="false" outlineLevel="0" collapsed="false">
      <c r="B15" s="19" t="s">
        <v>585</v>
      </c>
      <c r="C15" s="13" t="n">
        <v>-0.11080162286809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11" min="4" style="0" width="16"/>
  </cols>
  <sheetData>
    <row r="2" customFormat="false" ht="15" hidden="false" customHeight="false" outlineLevel="0" collapsed="false">
      <c r="B2" s="2" t="s">
        <v>586</v>
      </c>
    </row>
    <row r="3" customFormat="false" ht="15" hidden="false" customHeight="false" outlineLevel="0" collapsed="false">
      <c r="B3" s="52" t="s">
        <v>587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9" t="s">
        <v>588</v>
      </c>
      <c r="C6" s="20"/>
      <c r="D6" s="58" t="n">
        <v>1</v>
      </c>
      <c r="E6" s="58" t="n">
        <v>2</v>
      </c>
      <c r="F6" s="58" t="n">
        <v>3</v>
      </c>
      <c r="G6" s="58" t="n">
        <v>4</v>
      </c>
      <c r="H6" s="58" t="n">
        <v>5</v>
      </c>
      <c r="I6" s="58" t="n">
        <v>6</v>
      </c>
      <c r="J6" s="58" t="n">
        <v>7</v>
      </c>
    </row>
    <row r="7" customFormat="false" ht="15" hidden="false" customHeight="false" outlineLevel="0" collapsed="false">
      <c r="B7" s="19" t="s">
        <v>63</v>
      </c>
      <c r="C7" s="20" t="s">
        <v>32</v>
      </c>
      <c r="D7" s="12" t="n">
        <f aca="false">CashFlow!D18</f>
        <v>-25139326.7272735</v>
      </c>
      <c r="E7" s="12" t="n">
        <f aca="false">CashFlow!E18</f>
        <v>9762391.88624942</v>
      </c>
      <c r="F7" s="12" t="n">
        <f aca="false">CashFlow!F18</f>
        <v>19994130.8696908</v>
      </c>
      <c r="G7" s="12" t="n">
        <f aca="false">CashFlow!G18</f>
        <v>30739370.6918465</v>
      </c>
      <c r="H7" s="12" t="n">
        <f aca="false">CashFlow!H18</f>
        <v>31731126.0173934</v>
      </c>
      <c r="I7" s="12" t="n">
        <f aca="false">CashFlow!I18</f>
        <v>32409875.1805733</v>
      </c>
      <c r="J7" s="12" t="n">
        <f aca="false">CashFlow!J18</f>
        <v>33102789.3916905</v>
      </c>
      <c r="K7" s="12" t="n">
        <f aca="false">SUM(D7:J7)</f>
        <v>132600357.31017</v>
      </c>
    </row>
    <row r="8" customFormat="false" ht="15" hidden="false" customHeight="false" outlineLevel="0" collapsed="false">
      <c r="B8" s="19" t="s">
        <v>589</v>
      </c>
      <c r="C8" s="20" t="s">
        <v>32</v>
      </c>
      <c r="D8" s="12" t="n">
        <f aca="false">CashFlow!D21</f>
        <v>-47761337.7232143</v>
      </c>
      <c r="E8" s="12" t="n">
        <f aca="false">CashFlow!E21</f>
        <v>-476422.321428571</v>
      </c>
      <c r="F8" s="12" t="n">
        <f aca="false">CashFlow!F21</f>
        <v>-476422.321428571</v>
      </c>
      <c r="G8" s="12" t="n">
        <f aca="false">CashFlow!G21</f>
        <v>-476422.321428571</v>
      </c>
      <c r="H8" s="12" t="n">
        <f aca="false">CashFlow!H21</f>
        <v>-476422.321428571</v>
      </c>
      <c r="I8" s="12" t="n">
        <f aca="false">CashFlow!I21</f>
        <v>-476422.321428571</v>
      </c>
      <c r="J8" s="12" t="n">
        <f aca="false">CashFlow!J21</f>
        <v>-476422.321428571</v>
      </c>
      <c r="K8" s="12" t="n">
        <f aca="false">SUM(D8:J8)</f>
        <v>-50619871.6517857</v>
      </c>
    </row>
    <row r="9" customFormat="false" ht="15" hidden="false" customHeight="false" outlineLevel="0" collapsed="false">
      <c r="B9" s="69" t="s">
        <v>590</v>
      </c>
      <c r="C9" s="59" t="s">
        <v>32</v>
      </c>
      <c r="D9" s="48" t="n">
        <f aca="false">D7+D8</f>
        <v>-72900664.4504878</v>
      </c>
      <c r="E9" s="48" t="n">
        <f aca="false">E7+E8</f>
        <v>9285969.56482085</v>
      </c>
      <c r="F9" s="48" t="n">
        <f aca="false">F7+F8</f>
        <v>19517708.5482622</v>
      </c>
      <c r="G9" s="48" t="n">
        <f aca="false">G7+G8</f>
        <v>30262948.3704179</v>
      </c>
      <c r="H9" s="48" t="n">
        <f aca="false">H7+H8</f>
        <v>31254703.6959649</v>
      </c>
      <c r="I9" s="48" t="n">
        <f aca="false">I7+I8</f>
        <v>31933452.8591447</v>
      </c>
      <c r="J9" s="48" t="n">
        <f aca="false">J7+J8</f>
        <v>32626367.0702619</v>
      </c>
      <c r="K9" s="48" t="n">
        <f aca="false">SUM(D9:J9)</f>
        <v>81980485.6583847</v>
      </c>
    </row>
    <row r="10" customFormat="false" ht="15" hidden="false" customHeight="false" outlineLevel="0" collapsed="false">
      <c r="B10" s="19" t="s">
        <v>591</v>
      </c>
      <c r="C10" s="20" t="s">
        <v>262</v>
      </c>
      <c r="D10" s="13" t="n">
        <f aca="false">Исх_данные!$E$6</f>
        <v>0.112983406727648</v>
      </c>
      <c r="E10" s="13" t="n">
        <f aca="false">Исх_данные!$E$6</f>
        <v>0.112983406727648</v>
      </c>
      <c r="F10" s="13" t="n">
        <f aca="false">Исх_данные!$E$6</f>
        <v>0.112983406727648</v>
      </c>
      <c r="G10" s="13" t="n">
        <f aca="false">Исх_данные!$E$6</f>
        <v>0.112983406727648</v>
      </c>
      <c r="H10" s="13" t="n">
        <f aca="false">Исх_данные!$E$6</f>
        <v>0.112983406727648</v>
      </c>
      <c r="I10" s="13" t="n">
        <f aca="false">Исх_данные!$E$6</f>
        <v>0.112983406727648</v>
      </c>
      <c r="J10" s="13" t="n">
        <f aca="false">Исх_данные!$E$6</f>
        <v>0.112983406727648</v>
      </c>
    </row>
    <row r="11" customFormat="false" ht="15" hidden="false" customHeight="false" outlineLevel="0" collapsed="false">
      <c r="B11" s="19" t="s">
        <v>592</v>
      </c>
      <c r="C11" s="20"/>
      <c r="D11" s="75" t="n">
        <f aca="false">1/(1+D10)^D6</f>
        <v>0.898485991754507</v>
      </c>
      <c r="E11" s="75" t="n">
        <f aca="false">1/(1+E10)^E6</f>
        <v>0.80727707737908</v>
      </c>
      <c r="F11" s="75" t="n">
        <f aca="false">1/(1+F10)^F6</f>
        <v>0.725327145489622</v>
      </c>
      <c r="G11" s="75" t="n">
        <f aca="false">1/(1+G10)^G6</f>
        <v>0.651696279661708</v>
      </c>
      <c r="H11" s="75" t="n">
        <f aca="false">1/(1+H10)^H6</f>
        <v>0.585539978154573</v>
      </c>
      <c r="I11" s="75" t="n">
        <f aca="false">1/(1+I10)^I6</f>
        <v>0.526099467984123</v>
      </c>
      <c r="J11" s="75" t="n">
        <f aca="false">1/(1+J10)^J6</f>
        <v>0.472693002253233</v>
      </c>
    </row>
    <row r="12" customFormat="false" ht="15" hidden="false" customHeight="false" outlineLevel="0" collapsed="false">
      <c r="B12" s="19" t="s">
        <v>593</v>
      </c>
      <c r="C12" s="20" t="s">
        <v>32</v>
      </c>
      <c r="D12" s="12" t="n">
        <f aca="false">D9*D11</f>
        <v>-65500225.7983591</v>
      </c>
      <c r="E12" s="12" t="n">
        <f aca="false">E9*E11</f>
        <v>7496350.37091966</v>
      </c>
      <c r="F12" s="12" t="n">
        <f aca="false">F9*F11</f>
        <v>14156723.8278094</v>
      </c>
      <c r="G12" s="12" t="n">
        <f aca="false">G9*G11</f>
        <v>19722250.8645957</v>
      </c>
      <c r="H12" s="12" t="n">
        <f aca="false">H9*H11</f>
        <v>18300878.5193629</v>
      </c>
      <c r="I12" s="12" t="n">
        <f aca="false">I9*I11</f>
        <v>16800172.5600921</v>
      </c>
      <c r="J12" s="12" t="n">
        <f aca="false">J9*J11</f>
        <v>15422255.4030581</v>
      </c>
      <c r="K12" s="12" t="n">
        <f aca="false">SUM(D12:J12)</f>
        <v>26398405.7474789</v>
      </c>
    </row>
    <row r="13" customFormat="false" ht="15" hidden="false" customHeight="false" outlineLevel="0" collapsed="false">
      <c r="B13" s="19" t="s">
        <v>594</v>
      </c>
      <c r="C13" s="20" t="s">
        <v>32</v>
      </c>
      <c r="D13" s="12" t="n">
        <f aca="false">D9</f>
        <v>-72900664.4504878</v>
      </c>
      <c r="E13" s="12" t="n">
        <f aca="false">D13+E9</f>
        <v>-63614694.885667</v>
      </c>
      <c r="F13" s="12" t="n">
        <f aca="false">E13+F9</f>
        <v>-44096986.3374048</v>
      </c>
      <c r="G13" s="12" t="n">
        <f aca="false">F13+G9</f>
        <v>-13834037.9669869</v>
      </c>
      <c r="H13" s="12" t="n">
        <f aca="false">G13+H9</f>
        <v>17420665.728978</v>
      </c>
      <c r="I13" s="12" t="n">
        <f aca="false">H13+I9</f>
        <v>49354118.5881227</v>
      </c>
      <c r="J13" s="12" t="n">
        <f aca="false">I13+J9</f>
        <v>81980485.6583847</v>
      </c>
      <c r="K13" s="12" t="n">
        <f aca="false">J13</f>
        <v>81980485.6583847</v>
      </c>
    </row>
    <row r="14" customFormat="false" ht="23.85" hidden="false" customHeight="false" outlineLevel="0" collapsed="false">
      <c r="B14" s="19" t="s">
        <v>595</v>
      </c>
      <c r="C14" s="20" t="s">
        <v>32</v>
      </c>
      <c r="D14" s="12" t="n">
        <f aca="false">D12</f>
        <v>-65500225.7983591</v>
      </c>
      <c r="E14" s="12" t="n">
        <f aca="false">D14+E12</f>
        <v>-58003875.4274394</v>
      </c>
      <c r="F14" s="12" t="n">
        <f aca="false">E14+F12</f>
        <v>-43847151.59963</v>
      </c>
      <c r="G14" s="12" t="n">
        <f aca="false">F14+G12</f>
        <v>-24124900.7350343</v>
      </c>
      <c r="H14" s="12" t="n">
        <f aca="false">G14+H12</f>
        <v>-5824022.21567137</v>
      </c>
      <c r="I14" s="12" t="n">
        <f aca="false">H14+I12</f>
        <v>10976150.3444208</v>
      </c>
      <c r="J14" s="12" t="n">
        <f aca="false">I14+J12</f>
        <v>26398405.7474789</v>
      </c>
      <c r="K14" s="12" t="n">
        <f aca="false">J14</f>
        <v>26398405.7474789</v>
      </c>
    </row>
    <row r="15" customFormat="false" ht="15" hidden="false" customHeight="false" outlineLevel="0" collapsed="false">
      <c r="B15" s="19" t="s">
        <v>596</v>
      </c>
      <c r="C15" s="20"/>
      <c r="D15" s="76" t="str">
        <f aca="false">""</f>
        <v/>
      </c>
      <c r="E15" s="76" t="str">
        <f aca="false">IF(AND(D13&lt;0,E13&gt;=0),D6-D13/E9,"")</f>
        <v/>
      </c>
      <c r="F15" s="76" t="str">
        <f aca="false">IF(AND(E13&lt;0,F13&gt;=0),E6-E13/F9,"")</f>
        <v/>
      </c>
      <c r="G15" s="76" t="str">
        <f aca="false">IF(AND(F13&lt;0,G13&gt;=0),F6-F13/G9,"")</f>
        <v/>
      </c>
      <c r="H15" s="76" t="n">
        <f aca="false">IF(AND(G13&lt;0,H13&gt;=0),G6-G13/H9,"")</f>
        <v>4.44262259215636</v>
      </c>
      <c r="I15" s="76" t="str">
        <f aca="false">IF(AND(H13&lt;0,I13&gt;=0),H6-H13/I9,"")</f>
        <v/>
      </c>
      <c r="J15" s="76" t="str">
        <f aca="false">IF(AND(I13&lt;0,J13&gt;=0),I6-I13/J9,"")</f>
        <v/>
      </c>
    </row>
    <row r="16" customFormat="false" ht="15" hidden="false" customHeight="false" outlineLevel="0" collapsed="false">
      <c r="B16" s="19" t="s">
        <v>597</v>
      </c>
      <c r="C16" s="20"/>
      <c r="D16" s="76" t="str">
        <f aca="false">""</f>
        <v/>
      </c>
      <c r="E16" s="76" t="str">
        <f aca="false">IF(AND(D14&lt;0,E14&gt;=0),D6-D14/E12,"")</f>
        <v/>
      </c>
      <c r="F16" s="76" t="str">
        <f aca="false">IF(AND(E14&lt;0,F14&gt;=0),E6-E14/F12,"")</f>
        <v/>
      </c>
      <c r="G16" s="76" t="str">
        <f aca="false">IF(AND(F14&lt;0,G14&gt;=0),F6-F14/G12,"")</f>
        <v/>
      </c>
      <c r="H16" s="76" t="str">
        <f aca="false">IF(AND(G14&lt;0,H14&gt;=0),G6-G14/H12,"")</f>
        <v/>
      </c>
      <c r="I16" s="76" t="n">
        <f aca="false">IF(AND(H14&lt;0,I14&gt;=0),H6-H14/I12,"")</f>
        <v>5.34666442828724</v>
      </c>
      <c r="J16" s="76" t="str">
        <f aca="false">IF(AND(I14&lt;0,J14&gt;=0),I6-I14/J12,"")</f>
        <v/>
      </c>
    </row>
    <row r="18" customFormat="false" ht="15" hidden="false" customHeight="false" outlineLevel="0" collapsed="false">
      <c r="B18" s="14" t="s">
        <v>598</v>
      </c>
      <c r="D18" s="15" t="n">
        <f aca="false">SUM(D12:J12)</f>
        <v>26398405.7474789</v>
      </c>
    </row>
    <row r="19" customFormat="false" ht="15" hidden="false" customHeight="false" outlineLevel="0" collapsed="false">
      <c r="B19" s="14" t="s">
        <v>599</v>
      </c>
      <c r="D19" s="16" t="n">
        <f aca="false">IRR(D9:J9)</f>
        <v>0.221459650132163</v>
      </c>
    </row>
    <row r="20" customFormat="false" ht="15" hidden="false" customHeight="false" outlineLevel="0" collapsed="false">
      <c r="B20" s="14" t="s">
        <v>73</v>
      </c>
      <c r="D20" s="77" t="n">
        <f aca="false">IFERROR(SUM(E12:J12)/-D12,0)</f>
        <v>1.40302770602266</v>
      </c>
    </row>
    <row r="21" customFormat="false" ht="15" hidden="false" customHeight="false" outlineLevel="0" collapsed="false">
      <c r="B21" s="14" t="s">
        <v>600</v>
      </c>
      <c r="D21" s="78" t="n">
        <f aca="false">IF(COUNT(E15:J15)&gt;0,SUM(E15:J15),"&gt; 7")</f>
        <v>4.44262259215636</v>
      </c>
    </row>
    <row r="22" customFormat="false" ht="15" hidden="false" customHeight="false" outlineLevel="0" collapsed="false">
      <c r="B22" s="14" t="s">
        <v>75</v>
      </c>
      <c r="D22" s="78" t="n">
        <f aca="false">IF(COUNT(E16:J16)&gt;0,SUM(E16:J16),"&gt; 7")</f>
        <v>5.34666442828724</v>
      </c>
    </row>
    <row r="24" customFormat="false" ht="15" hidden="false" customHeight="false" outlineLevel="0" collapsed="false">
      <c r="B24" s="33" t="s">
        <v>601</v>
      </c>
    </row>
    <row r="25" customFormat="false" ht="15" hidden="false" customHeight="false" outlineLevel="0" collapsed="false">
      <c r="B25" s="6" t="s">
        <v>602</v>
      </c>
      <c r="D25" s="12" t="n">
        <f aca="false">Исх_данные!$E$18</f>
        <v>71912490.7340146</v>
      </c>
    </row>
    <row r="26" customFormat="false" ht="15" hidden="false" customHeight="false" outlineLevel="0" collapsed="false">
      <c r="B26" s="6" t="s">
        <v>603</v>
      </c>
      <c r="D26" s="13" t="n">
        <f aca="false">Исх_данные!$E$19</f>
        <v>0.27270307018363</v>
      </c>
    </row>
    <row r="27" customFormat="false" ht="15" hidden="false" customHeight="false" outlineLevel="0" collapsed="false">
      <c r="B27" s="6" t="s">
        <v>604</v>
      </c>
      <c r="D27" s="79" t="n">
        <f aca="false">Исх_данные!$E$20</f>
        <v>5.42036820539231</v>
      </c>
    </row>
    <row r="28" customFormat="false" ht="15" hidden="false" customHeight="false" outlineLevel="0" collapsed="false">
      <c r="B28" s="6" t="s">
        <v>75</v>
      </c>
      <c r="D28" s="79" t="n">
        <f aca="false">Исх_данные!$E$21</f>
        <v>6.51235270043706</v>
      </c>
    </row>
    <row r="29" customFormat="false" ht="15" hidden="false" customHeight="false" outlineLevel="0" collapsed="false">
      <c r="B29" s="6" t="s">
        <v>605</v>
      </c>
      <c r="D29" s="76" t="n">
        <f aca="false">Исх_данные!$E$22</f>
        <v>2.5261606429699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0"/>
    <col collapsed="false" customWidth="true" hidden="false" outlineLevel="0" max="4" min="3" style="0" width="16"/>
    <col collapsed="false" customWidth="true" hidden="false" outlineLevel="0" max="5" min="5" style="0" width="12"/>
  </cols>
  <sheetData>
    <row r="2" customFormat="false" ht="15" hidden="false" customHeight="false" outlineLevel="0" collapsed="false">
      <c r="B2" s="2" t="s">
        <v>606</v>
      </c>
    </row>
    <row r="4" customFormat="false" ht="15" hidden="false" customHeight="false" outlineLevel="0" collapsed="false">
      <c r="B4" s="17" t="s">
        <v>607</v>
      </c>
      <c r="C4" s="17" t="s">
        <v>608</v>
      </c>
      <c r="D4" s="17" t="s">
        <v>609</v>
      </c>
      <c r="E4" s="17" t="s">
        <v>610</v>
      </c>
    </row>
    <row r="5" customFormat="false" ht="15" hidden="false" customHeight="false" outlineLevel="0" collapsed="false">
      <c r="B5" s="19" t="s">
        <v>611</v>
      </c>
      <c r="C5" s="29" t="n">
        <f aca="false">SUMPRODUCT(ABS(ProfLoss!D10:J10-Исх_данные!F37:L37))</f>
        <v>0</v>
      </c>
      <c r="D5" s="29" t="n">
        <v>1</v>
      </c>
      <c r="E5" s="27" t="str">
        <f aca="false">IF(ABS(C5)&lt;=D5,"OK","ОШИБКА")</f>
        <v>OK</v>
      </c>
    </row>
    <row r="6" customFormat="false" ht="15" hidden="false" customHeight="false" outlineLevel="0" collapsed="false">
      <c r="B6" s="19" t="s">
        <v>612</v>
      </c>
      <c r="C6" s="29" t="n">
        <f aca="false">SUMPRODUCT(ABS(ProfLoss!D27:J27-Исх_данные!F50:L50))</f>
        <v>1.63912773132324E-007</v>
      </c>
      <c r="D6" s="29" t="n">
        <v>1</v>
      </c>
      <c r="E6" s="27" t="str">
        <f aca="false">IF(ABS(C6)&lt;=D6,"OK","ОШИБКА")</f>
        <v>OK</v>
      </c>
    </row>
    <row r="7" customFormat="false" ht="23.85" hidden="false" customHeight="false" outlineLevel="0" collapsed="false">
      <c r="B7" s="19" t="s">
        <v>613</v>
      </c>
      <c r="C7" s="29" t="n">
        <f aca="false">SUMPRODUCT(ABS(CostSold!D20:J20-Depreciate!G20:M20-Исх_данные!F65:L65))</f>
        <v>0</v>
      </c>
      <c r="D7" s="29" t="n">
        <v>1</v>
      </c>
      <c r="E7" s="27" t="str">
        <f aca="false">IF(ABS(C7)&lt;=D7,"OK","ОШИБКА")</f>
        <v>OK</v>
      </c>
    </row>
    <row r="8" customFormat="false" ht="15" hidden="false" customHeight="false" outlineLevel="0" collapsed="false">
      <c r="B8" s="19" t="s">
        <v>614</v>
      </c>
      <c r="C8" s="29" t="n">
        <f aca="false">SUMPRODUCT(ABS(ProdPlan!D13:J13-Исх_данные!F30:L30))</f>
        <v>0</v>
      </c>
      <c r="D8" s="29" t="n">
        <v>0.5</v>
      </c>
      <c r="E8" s="27" t="str">
        <f aca="false">IF(ABS(C8)&lt;=D8,"OK","ОШИБКА")</f>
        <v>OK</v>
      </c>
    </row>
    <row r="9" customFormat="false" ht="15" hidden="false" customHeight="false" outlineLevel="0" collapsed="false">
      <c r="B9" s="19" t="s">
        <v>615</v>
      </c>
      <c r="C9" s="29" t="n">
        <f aca="false">ABS(ProdPlan!J18-Исх_данные!$L$33)</f>
        <v>0</v>
      </c>
      <c r="D9" s="29" t="n">
        <v>0.5</v>
      </c>
      <c r="E9" s="27" t="str">
        <f aca="false">IF(ABS(C9)&lt;=D9,"OK","ОШИБКА")</f>
        <v>OK</v>
      </c>
    </row>
    <row r="10" customFormat="false" ht="15" hidden="false" customHeight="false" outlineLevel="0" collapsed="false">
      <c r="B10" s="19" t="s">
        <v>616</v>
      </c>
      <c r="C10" s="29" t="n">
        <f aca="false">ProjCost!E21-FinPlan!E15</f>
        <v>0</v>
      </c>
      <c r="D10" s="29" t="n">
        <v>1</v>
      </c>
      <c r="E10" s="27" t="str">
        <f aca="false">IF(ABS(C10)&lt;=D10,"OK","ОШИБКА")</f>
        <v>OK</v>
      </c>
    </row>
    <row r="11" customFormat="false" ht="15" hidden="false" customHeight="false" outlineLevel="0" collapsed="false">
      <c r="B11" s="19" t="s">
        <v>617</v>
      </c>
      <c r="C11" s="29" t="n">
        <f aca="false">FinPlan!E14-ИНФОРМАЦИЯ!$C$26</f>
        <v>0</v>
      </c>
      <c r="D11" s="29" t="n">
        <v>1</v>
      </c>
      <c r="E11" s="27" t="str">
        <f aca="false">IF(ABS(C11)&lt;=D11,"OK","ОШИБКА")</f>
        <v>OK</v>
      </c>
    </row>
    <row r="12" customFormat="false" ht="15" hidden="false" customHeight="false" outlineLevel="0" collapsed="false">
      <c r="B12" s="19" t="s">
        <v>618</v>
      </c>
      <c r="C12" s="29" t="n">
        <f aca="false">LOANS!$I$108</f>
        <v>0</v>
      </c>
      <c r="D12" s="29" t="n">
        <v>1</v>
      </c>
      <c r="E12" s="27" t="str">
        <f aca="false">IF(ABS(C12)&lt;=D12,"OK","ОШИБКА")</f>
        <v>OK</v>
      </c>
    </row>
    <row r="13" customFormat="false" ht="15" hidden="false" customHeight="false" outlineLevel="0" collapsed="false">
      <c r="B13" s="19" t="s">
        <v>619</v>
      </c>
      <c r="C13" s="29" t="n">
        <f aca="false">ИНФОРМАЦИЯ!O43-78000000</f>
        <v>0</v>
      </c>
      <c r="D13" s="29" t="n">
        <v>1</v>
      </c>
      <c r="E13" s="27" t="str">
        <f aca="false">IF(ABS(C13)&lt;=D13,"OK","ОШИБКА")</f>
        <v>OK</v>
      </c>
    </row>
    <row r="14" customFormat="false" ht="15" hidden="false" customHeight="false" outlineLevel="0" collapsed="false">
      <c r="B14" s="19" t="s">
        <v>620</v>
      </c>
      <c r="C14" s="29" t="n">
        <f aca="false">MIN(CashFlow!D26:J26)</f>
        <v>4260504.22066031</v>
      </c>
      <c r="D14" s="29" t="n">
        <v>0</v>
      </c>
      <c r="E14" s="27" t="str">
        <f aca="false">IF(C14&gt;D14,"OK","ОШИБКА")</f>
        <v>OK</v>
      </c>
    </row>
    <row r="15" customFormat="false" ht="15" hidden="false" customHeight="false" outlineLevel="0" collapsed="false">
      <c r="B15" s="19" t="s">
        <v>621</v>
      </c>
      <c r="C15" s="29" t="n">
        <f aca="false">MIN(CashFlow!D27:J27)</f>
        <v>4260504.22066031</v>
      </c>
      <c r="D15" s="29" t="n">
        <v>0</v>
      </c>
      <c r="E15" s="27" t="str">
        <f aca="false">IF(C15&gt;D15,"OK","ОШИБКА")</f>
        <v>OK</v>
      </c>
    </row>
    <row r="16" customFormat="false" ht="15" hidden="false" customHeight="false" outlineLevel="0" collapsed="false">
      <c r="B16" s="19" t="s">
        <v>622</v>
      </c>
      <c r="C16" s="29" t="n">
        <f aca="false">MIN(ProfLoss!D22:J22)</f>
        <v>3466668.45448704</v>
      </c>
      <c r="D16" s="29" t="n">
        <v>0</v>
      </c>
      <c r="E16" s="27" t="str">
        <f aca="false">IF(C16&gt;D16,"OK","ОШИБКА")</f>
        <v>OK</v>
      </c>
    </row>
    <row r="17" customFormat="false" ht="15" hidden="false" customHeight="false" outlineLevel="0" collapsed="false">
      <c r="B17" s="19" t="s">
        <v>623</v>
      </c>
      <c r="C17" s="21" t="n">
        <f aca="false">CashFlow!K31</f>
        <v>2.34721563637374</v>
      </c>
      <c r="D17" s="21" t="n">
        <v>1.2</v>
      </c>
      <c r="E17" s="27" t="str">
        <f aca="false">IF(C17&gt;=D17,"OK","ОШИБКА")</f>
        <v>OK</v>
      </c>
    </row>
    <row r="18" customFormat="false" ht="15" hidden="false" customHeight="false" outlineLevel="0" collapsed="false">
      <c r="B18" s="19" t="s">
        <v>624</v>
      </c>
      <c r="C18" s="29" t="n">
        <f aca="false">SUMPRODUCT(ABS(Depreciate!G21:M21-Depreciate!G20:M20-Исх_данные!F49:L49+Исх_данные!F51:L51))</f>
        <v>2.87764123640955E-009</v>
      </c>
      <c r="D18" s="29" t="n">
        <v>1</v>
      </c>
      <c r="E18" s="27" t="str">
        <f aca="false">IF(ABS(C18)&lt;=D18,"OK","ОШИБКА")</f>
        <v>OK</v>
      </c>
    </row>
    <row r="19" customFormat="false" ht="23.85" hidden="false" customHeight="false" outlineLevel="0" collapsed="false">
      <c r="B19" s="19" t="s">
        <v>625</v>
      </c>
      <c r="C19" s="29" t="n">
        <f aca="false">CostTotal!C22-CostSold!F20-CostSold!F31-CostSold!F39</f>
        <v>-1.53668224811554E-007</v>
      </c>
      <c r="D19" s="29" t="n">
        <v>1</v>
      </c>
      <c r="E19" s="27" t="str">
        <f aca="false">IF(ABS(C19)&lt;=D19,"OK","ОШИБКА")</f>
        <v>OK</v>
      </c>
    </row>
    <row r="20" customFormat="false" ht="23.85" hidden="false" customHeight="false" outlineLevel="0" collapsed="false">
      <c r="B20" s="19" t="s">
        <v>626</v>
      </c>
      <c r="C20" s="29" t="n">
        <f aca="false">RawMat!F24+RawMat!F31+Labour!F13+Labour!F39-(CostSold!F20-CostSold!F16)</f>
        <v>0</v>
      </c>
      <c r="D20" s="29" t="n">
        <v>1</v>
      </c>
      <c r="E20" s="27" t="str">
        <f aca="false">IF(ABS(C20)&lt;=D20,"OK","ОШИБКА")</f>
        <v>OK</v>
      </c>
    </row>
    <row r="21" customFormat="false" ht="15" hidden="false" customHeight="false" outlineLevel="0" collapsed="false">
      <c r="B21" s="19" t="s">
        <v>627</v>
      </c>
      <c r="C21" s="29" t="n">
        <f aca="false">Labour!F61-Исх_данные!$H$69</f>
        <v>0</v>
      </c>
      <c r="D21" s="29" t="n">
        <v>1</v>
      </c>
      <c r="E21" s="27" t="str">
        <f aca="false">IF(ABS(C21)&lt;=D21,"OK","ОШИБКА")</f>
        <v>OK</v>
      </c>
    </row>
    <row r="22" customFormat="false" ht="23.85" hidden="false" customHeight="false" outlineLevel="0" collapsed="false">
      <c r="B22" s="19" t="s">
        <v>628</v>
      </c>
      <c r="C22" s="29" t="n">
        <f aca="false">CashFlow!D27-ProjCost!E19</f>
        <v>4090261.32370729</v>
      </c>
      <c r="D22" s="29" t="n">
        <v>0</v>
      </c>
      <c r="E22" s="27" t="str">
        <f aca="false">IF(C22&gt;=-0.01,"OK","ОШИБКА")</f>
        <v>OK</v>
      </c>
    </row>
    <row r="24" customFormat="false" ht="15" hidden="false" customHeight="false" outlineLevel="0" collapsed="false">
      <c r="B24" s="14" t="s">
        <v>629</v>
      </c>
      <c r="E24" s="80" t="str">
        <f aca="false">IF(COUNTIF(E5:E22,"OK")=18,"ВСЕ OK","ЕСТЬ ОШИБКИ")</f>
        <v>ВСЕ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L2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12" min="5" style="0" width="15"/>
  </cols>
  <sheetData>
    <row r="2" customFormat="false" ht="15" hidden="false" customHeight="false" outlineLevel="0" collapsed="false">
      <c r="B2" s="2" t="s">
        <v>630</v>
      </c>
    </row>
    <row r="3" customFormat="false" ht="15" hidden="false" customHeight="false" outlineLevel="0" collapsed="false">
      <c r="B3" s="52" t="s">
        <v>631</v>
      </c>
    </row>
    <row r="4" customFormat="false" ht="23.85" hidden="false" customHeight="false" outlineLevel="0" collapsed="false">
      <c r="A4" s="18" t="s">
        <v>632</v>
      </c>
      <c r="B4" s="18" t="s">
        <v>633</v>
      </c>
      <c r="C4" s="18" t="s">
        <v>43</v>
      </c>
      <c r="D4" s="18" t="s">
        <v>634</v>
      </c>
      <c r="E4" s="18" t="s">
        <v>635</v>
      </c>
      <c r="F4" s="18" t="s">
        <v>52</v>
      </c>
      <c r="G4" s="18" t="s">
        <v>53</v>
      </c>
      <c r="H4" s="18" t="s">
        <v>54</v>
      </c>
      <c r="I4" s="18" t="s">
        <v>55</v>
      </c>
      <c r="J4" s="18" t="s">
        <v>56</v>
      </c>
      <c r="K4" s="18" t="s">
        <v>57</v>
      </c>
      <c r="L4" s="18" t="s">
        <v>58</v>
      </c>
    </row>
    <row r="5" customFormat="false" ht="15" hidden="false" customHeight="false" outlineLevel="0" collapsed="false">
      <c r="A5" s="60"/>
      <c r="B5" s="10" t="s">
        <v>636</v>
      </c>
    </row>
    <row r="6" customFormat="false" ht="15" hidden="false" customHeight="false" outlineLevel="0" collapsed="false">
      <c r="A6" s="53" t="s">
        <v>637</v>
      </c>
      <c r="B6" s="19" t="s">
        <v>638</v>
      </c>
      <c r="C6" s="20" t="s">
        <v>262</v>
      </c>
      <c r="D6" s="53" t="s">
        <v>639</v>
      </c>
      <c r="E6" s="30" t="n">
        <v>0.112983406727648</v>
      </c>
    </row>
    <row r="7" customFormat="false" ht="15" hidden="false" customHeight="false" outlineLevel="0" collapsed="false">
      <c r="A7" s="53" t="s">
        <v>640</v>
      </c>
      <c r="B7" s="19" t="s">
        <v>641</v>
      </c>
      <c r="C7" s="20" t="s">
        <v>642</v>
      </c>
      <c r="D7" s="53" t="s">
        <v>643</v>
      </c>
      <c r="E7" s="31" t="n">
        <v>50</v>
      </c>
    </row>
    <row r="8" customFormat="false" ht="15" hidden="false" customHeight="false" outlineLevel="0" collapsed="false">
      <c r="A8" s="53" t="s">
        <v>644</v>
      </c>
      <c r="B8" s="19" t="s">
        <v>645</v>
      </c>
      <c r="C8" s="20" t="s">
        <v>646</v>
      </c>
      <c r="D8" s="53" t="s">
        <v>647</v>
      </c>
      <c r="E8" s="31" t="n">
        <v>3</v>
      </c>
    </row>
    <row r="9" customFormat="false" ht="15" hidden="false" customHeight="false" outlineLevel="0" collapsed="false">
      <c r="A9" s="53" t="s">
        <v>648</v>
      </c>
      <c r="B9" s="19" t="s">
        <v>649</v>
      </c>
      <c r="C9" s="20" t="s">
        <v>480</v>
      </c>
      <c r="D9" s="53" t="s">
        <v>650</v>
      </c>
      <c r="E9" s="31" t="n">
        <v>30</v>
      </c>
    </row>
    <row r="10" customFormat="false" ht="15" hidden="false" customHeight="false" outlineLevel="0" collapsed="false">
      <c r="A10" s="53" t="s">
        <v>651</v>
      </c>
      <c r="B10" s="19" t="s">
        <v>652</v>
      </c>
      <c r="C10" s="20" t="s">
        <v>480</v>
      </c>
      <c r="D10" s="53" t="s">
        <v>653</v>
      </c>
      <c r="E10" s="31" t="n">
        <v>15</v>
      </c>
    </row>
    <row r="11" customFormat="false" ht="15" hidden="false" customHeight="false" outlineLevel="0" collapsed="false">
      <c r="A11" s="53" t="s">
        <v>654</v>
      </c>
      <c r="B11" s="19" t="s">
        <v>655</v>
      </c>
      <c r="C11" s="20" t="s">
        <v>480</v>
      </c>
      <c r="D11" s="53" t="s">
        <v>656</v>
      </c>
      <c r="E11" s="31" t="n">
        <v>5</v>
      </c>
    </row>
    <row r="12" customFormat="false" ht="15" hidden="false" customHeight="false" outlineLevel="0" collapsed="false">
      <c r="A12" s="53" t="s">
        <v>657</v>
      </c>
      <c r="B12" s="19" t="s">
        <v>658</v>
      </c>
      <c r="C12" s="20" t="s">
        <v>480</v>
      </c>
      <c r="D12" s="53" t="s">
        <v>659</v>
      </c>
      <c r="E12" s="31" t="n">
        <v>15</v>
      </c>
    </row>
    <row r="13" customFormat="false" ht="15" hidden="false" customHeight="false" outlineLevel="0" collapsed="false">
      <c r="A13" s="53" t="s">
        <v>660</v>
      </c>
      <c r="B13" s="19" t="s">
        <v>661</v>
      </c>
      <c r="C13" s="20" t="s">
        <v>480</v>
      </c>
      <c r="D13" s="53" t="s">
        <v>662</v>
      </c>
      <c r="E13" s="31" t="n">
        <v>8</v>
      </c>
    </row>
    <row r="14" customFormat="false" ht="15" hidden="false" customHeight="false" outlineLevel="0" collapsed="false">
      <c r="A14" s="53" t="s">
        <v>663</v>
      </c>
      <c r="B14" s="19" t="s">
        <v>664</v>
      </c>
      <c r="C14" s="20" t="s">
        <v>480</v>
      </c>
      <c r="D14" s="53" t="s">
        <v>665</v>
      </c>
      <c r="E14" s="31" t="n">
        <v>30</v>
      </c>
    </row>
    <row r="15" customFormat="false" ht="15" hidden="false" customHeight="false" outlineLevel="0" collapsed="false">
      <c r="A15" s="53" t="s">
        <v>666</v>
      </c>
      <c r="B15" s="19" t="s">
        <v>667</v>
      </c>
      <c r="C15" s="20" t="s">
        <v>480</v>
      </c>
      <c r="D15" s="53" t="s">
        <v>668</v>
      </c>
      <c r="E15" s="31" t="n">
        <v>90</v>
      </c>
    </row>
    <row r="16" customFormat="false" ht="15" hidden="false" customHeight="false" outlineLevel="0" collapsed="false">
      <c r="A16" s="53" t="s">
        <v>669</v>
      </c>
      <c r="B16" s="19" t="s">
        <v>670</v>
      </c>
      <c r="C16" s="20" t="s">
        <v>480</v>
      </c>
      <c r="D16" s="53" t="s">
        <v>671</v>
      </c>
      <c r="E16" s="31" t="n">
        <v>540</v>
      </c>
    </row>
    <row r="17" customFormat="false" ht="15" hidden="false" customHeight="false" outlineLevel="0" collapsed="false">
      <c r="A17" s="53" t="s">
        <v>672</v>
      </c>
      <c r="B17" s="19" t="s">
        <v>673</v>
      </c>
      <c r="C17" s="20" t="s">
        <v>262</v>
      </c>
      <c r="D17" s="53" t="s">
        <v>674</v>
      </c>
      <c r="E17" s="30" t="n">
        <v>0.12</v>
      </c>
    </row>
    <row r="18" customFormat="false" ht="23.85" hidden="false" customHeight="false" outlineLevel="0" collapsed="false">
      <c r="A18" s="53" t="s">
        <v>675</v>
      </c>
      <c r="B18" s="19" t="s">
        <v>676</v>
      </c>
      <c r="C18" s="20"/>
      <c r="D18" s="53" t="s">
        <v>199</v>
      </c>
      <c r="E18" s="34" t="n">
        <v>71912490.7340146</v>
      </c>
    </row>
    <row r="19" customFormat="false" ht="15" hidden="false" customHeight="false" outlineLevel="0" collapsed="false">
      <c r="A19" s="53" t="s">
        <v>677</v>
      </c>
      <c r="B19" s="19" t="s">
        <v>678</v>
      </c>
      <c r="C19" s="20"/>
      <c r="D19" s="53" t="s">
        <v>679</v>
      </c>
      <c r="E19" s="30" t="n">
        <v>0.27270307018363</v>
      </c>
    </row>
    <row r="20" customFormat="false" ht="15" hidden="false" customHeight="false" outlineLevel="0" collapsed="false">
      <c r="A20" s="53" t="s">
        <v>680</v>
      </c>
      <c r="B20" s="19" t="s">
        <v>681</v>
      </c>
      <c r="C20" s="20"/>
      <c r="D20" s="53" t="s">
        <v>682</v>
      </c>
      <c r="E20" s="36" t="n">
        <v>5.42036820539231</v>
      </c>
    </row>
    <row r="21" customFormat="false" ht="15" hidden="false" customHeight="false" outlineLevel="0" collapsed="false">
      <c r="A21" s="53" t="s">
        <v>683</v>
      </c>
      <c r="B21" s="19" t="s">
        <v>684</v>
      </c>
      <c r="C21" s="20"/>
      <c r="D21" s="53" t="s">
        <v>685</v>
      </c>
      <c r="E21" s="36" t="n">
        <v>6.51235270043706</v>
      </c>
    </row>
    <row r="22" customFormat="false" ht="15" hidden="false" customHeight="false" outlineLevel="0" collapsed="false">
      <c r="A22" s="53" t="s">
        <v>686</v>
      </c>
      <c r="B22" s="19" t="s">
        <v>687</v>
      </c>
      <c r="C22" s="20"/>
      <c r="D22" s="53" t="s">
        <v>688</v>
      </c>
      <c r="E22" s="81" t="n">
        <v>2.5261606429699</v>
      </c>
    </row>
    <row r="23" customFormat="false" ht="15" hidden="false" customHeight="false" outlineLevel="0" collapsed="false">
      <c r="A23" s="60"/>
      <c r="B23" s="10" t="s">
        <v>689</v>
      </c>
    </row>
    <row r="24" customFormat="false" ht="15" hidden="false" customHeight="false" outlineLevel="0" collapsed="false">
      <c r="A24" s="53" t="s">
        <v>690</v>
      </c>
      <c r="B24" s="19" t="s">
        <v>691</v>
      </c>
      <c r="C24" s="20" t="s">
        <v>692</v>
      </c>
      <c r="D24" s="53" t="s">
        <v>693</v>
      </c>
      <c r="E24" s="35" t="n">
        <v>11717.8744860913</v>
      </c>
      <c r="F24" s="35" t="n">
        <v>12231.2340841376</v>
      </c>
      <c r="G24" s="35" t="n">
        <v>12643.3811136828</v>
      </c>
      <c r="H24" s="35" t="n">
        <v>12989.301845195</v>
      </c>
      <c r="I24" s="35" t="n">
        <v>13343.1535585336</v>
      </c>
      <c r="J24" s="35" t="n">
        <v>13706.5194863852</v>
      </c>
      <c r="K24" s="35" t="n">
        <v>14079.7807359795</v>
      </c>
      <c r="L24" s="35" t="n">
        <v>14463.2067805523</v>
      </c>
    </row>
    <row r="25" customFormat="false" ht="15" hidden="false" customHeight="false" outlineLevel="0" collapsed="false">
      <c r="A25" s="53" t="s">
        <v>694</v>
      </c>
      <c r="B25" s="19" t="s">
        <v>695</v>
      </c>
      <c r="C25" s="20" t="s">
        <v>262</v>
      </c>
      <c r="D25" s="53" t="s">
        <v>696</v>
      </c>
      <c r="E25" s="30" t="n">
        <v>0.15</v>
      </c>
      <c r="F25" s="30" t="n">
        <v>0.15</v>
      </c>
      <c r="G25" s="30" t="n">
        <v>0.15</v>
      </c>
      <c r="H25" s="30" t="n">
        <v>0.15</v>
      </c>
      <c r="I25" s="30" t="n">
        <v>0.15</v>
      </c>
      <c r="J25" s="30" t="n">
        <v>0.15</v>
      </c>
      <c r="K25" s="30" t="n">
        <v>0.15</v>
      </c>
      <c r="L25" s="30" t="n">
        <v>0.15</v>
      </c>
    </row>
    <row r="26" customFormat="false" ht="15" hidden="false" customHeight="false" outlineLevel="0" collapsed="false">
      <c r="A26" s="53" t="s">
        <v>697</v>
      </c>
      <c r="B26" s="19" t="s">
        <v>698</v>
      </c>
      <c r="C26" s="20" t="s">
        <v>262</v>
      </c>
      <c r="D26" s="53" t="s">
        <v>699</v>
      </c>
      <c r="E26" s="30" t="n">
        <v>0.12</v>
      </c>
      <c r="F26" s="30" t="n">
        <v>0.12</v>
      </c>
      <c r="G26" s="30" t="n">
        <v>0.12</v>
      </c>
      <c r="H26" s="30" t="n">
        <v>0.12</v>
      </c>
      <c r="I26" s="30" t="n">
        <v>0.12</v>
      </c>
      <c r="J26" s="30" t="n">
        <v>0.12</v>
      </c>
      <c r="K26" s="30" t="n">
        <v>0.12</v>
      </c>
      <c r="L26" s="30" t="n">
        <v>0.12</v>
      </c>
    </row>
    <row r="27" customFormat="false" ht="15" hidden="false" customHeight="false" outlineLevel="0" collapsed="false">
      <c r="A27" s="60"/>
      <c r="B27" s="10" t="s">
        <v>700</v>
      </c>
    </row>
    <row r="28" customFormat="false" ht="15" hidden="false" customHeight="false" outlineLevel="0" collapsed="false">
      <c r="A28" s="53" t="s">
        <v>701</v>
      </c>
      <c r="B28" s="19" t="s">
        <v>702</v>
      </c>
      <c r="C28" s="20" t="s">
        <v>259</v>
      </c>
      <c r="D28" s="53" t="s">
        <v>703</v>
      </c>
      <c r="E28" s="82" t="n">
        <v>2656.5</v>
      </c>
    </row>
    <row r="29" customFormat="false" ht="15" hidden="false" customHeight="false" outlineLevel="0" collapsed="false">
      <c r="A29" s="53" t="s">
        <v>704</v>
      </c>
      <c r="B29" s="19" t="s">
        <v>705</v>
      </c>
      <c r="C29" s="20" t="s">
        <v>262</v>
      </c>
      <c r="D29" s="53" t="s">
        <v>703</v>
      </c>
      <c r="E29" s="30" t="n">
        <v>0</v>
      </c>
      <c r="F29" s="30" t="n">
        <v>0.101637492941841</v>
      </c>
      <c r="G29" s="30" t="n">
        <v>0.829710144927536</v>
      </c>
      <c r="H29" s="30" t="n">
        <v>1</v>
      </c>
      <c r="I29" s="30" t="n">
        <v>1</v>
      </c>
      <c r="J29" s="30" t="n">
        <v>1</v>
      </c>
      <c r="K29" s="30" t="n">
        <v>1</v>
      </c>
      <c r="L29" s="30" t="n">
        <v>1</v>
      </c>
    </row>
    <row r="30" customFormat="false" ht="15" hidden="false" customHeight="false" outlineLevel="0" collapsed="false">
      <c r="A30" s="53" t="s">
        <v>706</v>
      </c>
      <c r="B30" s="19" t="s">
        <v>707</v>
      </c>
      <c r="C30" s="20" t="s">
        <v>259</v>
      </c>
      <c r="D30" s="53" t="s">
        <v>708</v>
      </c>
      <c r="E30" s="82" t="n">
        <v>0</v>
      </c>
      <c r="F30" s="82" t="n">
        <v>270</v>
      </c>
      <c r="G30" s="82" t="n">
        <v>2204.125</v>
      </c>
      <c r="H30" s="82" t="n">
        <v>2656.5</v>
      </c>
      <c r="I30" s="82" t="n">
        <v>2656.5</v>
      </c>
      <c r="J30" s="82" t="n">
        <v>2656.5</v>
      </c>
      <c r="K30" s="82" t="n">
        <v>2656.5</v>
      </c>
      <c r="L30" s="82" t="n">
        <v>2656.5</v>
      </c>
    </row>
    <row r="31" customFormat="false" ht="15" hidden="false" customHeight="false" outlineLevel="0" collapsed="false">
      <c r="A31" s="53" t="s">
        <v>709</v>
      </c>
      <c r="B31" s="19" t="s">
        <v>710</v>
      </c>
      <c r="C31" s="20" t="s">
        <v>259</v>
      </c>
      <c r="D31" s="53" t="s">
        <v>711</v>
      </c>
      <c r="E31" s="82" t="n">
        <v>0</v>
      </c>
      <c r="F31" s="82" t="n">
        <v>250</v>
      </c>
      <c r="G31" s="82" t="n">
        <v>2154.125</v>
      </c>
      <c r="H31" s="82" t="n">
        <v>2623.29375</v>
      </c>
      <c r="I31" s="82" t="n">
        <v>2656.5</v>
      </c>
      <c r="J31" s="82" t="n">
        <v>2656.5</v>
      </c>
      <c r="K31" s="82" t="n">
        <v>2656.5</v>
      </c>
      <c r="L31" s="82" t="n">
        <v>2656.5</v>
      </c>
    </row>
    <row r="32" customFormat="false" ht="15" hidden="false" customHeight="false" outlineLevel="0" collapsed="false">
      <c r="A32" s="53" t="s">
        <v>712</v>
      </c>
      <c r="B32" s="19" t="s">
        <v>713</v>
      </c>
      <c r="C32" s="20" t="s">
        <v>259</v>
      </c>
      <c r="D32" s="53" t="s">
        <v>714</v>
      </c>
      <c r="E32" s="82" t="n">
        <v>0</v>
      </c>
      <c r="F32" s="82" t="n">
        <v>0</v>
      </c>
      <c r="G32" s="82" t="n">
        <v>0</v>
      </c>
      <c r="H32" s="82" t="n">
        <v>0</v>
      </c>
      <c r="I32" s="82" t="n">
        <v>0</v>
      </c>
      <c r="J32" s="82" t="n">
        <v>0</v>
      </c>
      <c r="K32" s="82" t="n">
        <v>0</v>
      </c>
      <c r="L32" s="82" t="n">
        <v>0</v>
      </c>
    </row>
    <row r="33" customFormat="false" ht="15" hidden="false" customHeight="false" outlineLevel="0" collapsed="false">
      <c r="A33" s="53" t="s">
        <v>715</v>
      </c>
      <c r="B33" s="19" t="s">
        <v>716</v>
      </c>
      <c r="C33" s="20" t="s">
        <v>259</v>
      </c>
      <c r="D33" s="53" t="s">
        <v>717</v>
      </c>
      <c r="E33" s="82" t="n">
        <v>0</v>
      </c>
      <c r="F33" s="82" t="n">
        <v>20</v>
      </c>
      <c r="G33" s="82" t="n">
        <v>70</v>
      </c>
      <c r="H33" s="82" t="n">
        <v>103.20625</v>
      </c>
      <c r="I33" s="82" t="n">
        <v>103.20625</v>
      </c>
      <c r="J33" s="82" t="n">
        <v>103.20625</v>
      </c>
      <c r="K33" s="82" t="n">
        <v>103.20625</v>
      </c>
      <c r="L33" s="82" t="n">
        <v>103.20625</v>
      </c>
    </row>
    <row r="34" customFormat="false" ht="15" hidden="false" customHeight="false" outlineLevel="0" collapsed="false">
      <c r="A34" s="53" t="s">
        <v>718</v>
      </c>
      <c r="B34" s="19" t="s">
        <v>719</v>
      </c>
      <c r="C34" s="20" t="s">
        <v>269</v>
      </c>
      <c r="D34" s="53" t="s">
        <v>720</v>
      </c>
      <c r="E34" s="35" t="n">
        <v>0</v>
      </c>
      <c r="F34" s="35" t="n">
        <v>115874.388019968</v>
      </c>
      <c r="G34" s="35" t="n">
        <v>117435.466989888</v>
      </c>
      <c r="H34" s="35" t="n">
        <v>120019.047263666</v>
      </c>
      <c r="I34" s="35" t="n">
        <v>122659.466303466</v>
      </c>
      <c r="J34" s="35" t="n">
        <v>125357.974562143</v>
      </c>
      <c r="K34" s="35" t="n">
        <v>128115.85000251</v>
      </c>
      <c r="L34" s="35" t="n">
        <v>130934.398702565</v>
      </c>
    </row>
    <row r="35" customFormat="false" ht="15" hidden="false" customHeight="false" outlineLevel="0" collapsed="false">
      <c r="A35" s="53" t="s">
        <v>721</v>
      </c>
      <c r="B35" s="19" t="s">
        <v>722</v>
      </c>
      <c r="C35" s="20" t="s">
        <v>32</v>
      </c>
      <c r="D35" s="53" t="s">
        <v>723</v>
      </c>
      <c r="E35" s="34" t="n">
        <v>0</v>
      </c>
      <c r="F35" s="34" t="n">
        <v>28968597.004992</v>
      </c>
      <c r="G35" s="34" t="n">
        <v>252970675.329593</v>
      </c>
      <c r="H35" s="34" t="n">
        <v>314845216.567729</v>
      </c>
      <c r="I35" s="34" t="n">
        <v>325844872.235159</v>
      </c>
      <c r="J35" s="34" t="n">
        <v>333013459.424332</v>
      </c>
      <c r="K35" s="34" t="n">
        <v>340339755.531667</v>
      </c>
      <c r="L35" s="34" t="n">
        <v>347827230.153364</v>
      </c>
    </row>
    <row r="36" customFormat="false" ht="15" hidden="false" customHeight="false" outlineLevel="0" collapsed="false">
      <c r="A36" s="60"/>
      <c r="B36" s="10" t="s">
        <v>724</v>
      </c>
    </row>
    <row r="37" customFormat="false" ht="15" hidden="false" customHeight="false" outlineLevel="0" collapsed="false">
      <c r="A37" s="53" t="s">
        <v>725</v>
      </c>
      <c r="B37" s="19" t="s">
        <v>726</v>
      </c>
      <c r="C37" s="20" t="s">
        <v>32</v>
      </c>
      <c r="D37" s="53" t="s">
        <v>727</v>
      </c>
      <c r="E37" s="34" t="n">
        <v>0</v>
      </c>
      <c r="F37" s="34" t="n">
        <v>28968597.004992</v>
      </c>
      <c r="G37" s="34" t="n">
        <v>252970675.329593</v>
      </c>
      <c r="H37" s="34" t="n">
        <v>314845216.567729</v>
      </c>
      <c r="I37" s="34" t="n">
        <v>325844872.235159</v>
      </c>
      <c r="J37" s="34" t="n">
        <v>333013459.424332</v>
      </c>
      <c r="K37" s="34" t="n">
        <v>340339755.531667</v>
      </c>
      <c r="L37" s="34" t="n">
        <v>347827230.153364</v>
      </c>
    </row>
    <row r="38" customFormat="false" ht="15" hidden="false" customHeight="false" outlineLevel="0" collapsed="false">
      <c r="A38" s="53" t="s">
        <v>728</v>
      </c>
      <c r="B38" s="19" t="s">
        <v>729</v>
      </c>
      <c r="C38" s="20" t="s">
        <v>32</v>
      </c>
      <c r="D38" s="53" t="s">
        <v>730</v>
      </c>
      <c r="E38" s="34" t="n">
        <v>0</v>
      </c>
      <c r="F38" s="34" t="n">
        <v>21096781.4468266</v>
      </c>
      <c r="G38" s="34" t="n">
        <v>217278074.645266</v>
      </c>
      <c r="H38" s="34" t="n">
        <v>270826946.647351</v>
      </c>
      <c r="I38" s="34" t="n">
        <v>279283956.488045</v>
      </c>
      <c r="J38" s="34" t="n">
        <v>285417701.53513</v>
      </c>
      <c r="K38" s="34" t="n">
        <v>291685341.718224</v>
      </c>
      <c r="L38" s="34" t="n">
        <v>298089821.856239</v>
      </c>
    </row>
    <row r="39" customFormat="false" ht="15" hidden="false" customHeight="false" outlineLevel="0" collapsed="false">
      <c r="A39" s="53" t="s">
        <v>731</v>
      </c>
      <c r="B39" s="19" t="s">
        <v>732</v>
      </c>
      <c r="C39" s="20" t="s">
        <v>32</v>
      </c>
      <c r="D39" s="53" t="s">
        <v>733</v>
      </c>
      <c r="E39" s="34" t="n">
        <v>0</v>
      </c>
      <c r="F39" s="34" t="n">
        <v>623995.70796131</v>
      </c>
      <c r="G39" s="34" t="n">
        <v>2547595.25</v>
      </c>
      <c r="H39" s="34" t="n">
        <v>2595237.48214286</v>
      </c>
      <c r="I39" s="34" t="n">
        <v>2642879.71428571</v>
      </c>
      <c r="J39" s="34" t="n">
        <v>2690521.94642857</v>
      </c>
      <c r="K39" s="34" t="n">
        <v>2738164.17857143</v>
      </c>
      <c r="L39" s="34" t="n">
        <v>2785806.41071429</v>
      </c>
    </row>
    <row r="40" customFormat="false" ht="15" hidden="false" customHeight="false" outlineLevel="0" collapsed="false">
      <c r="A40" s="53" t="s">
        <v>734</v>
      </c>
      <c r="B40" s="19" t="s">
        <v>425</v>
      </c>
      <c r="C40" s="20" t="s">
        <v>32</v>
      </c>
      <c r="D40" s="53" t="s">
        <v>735</v>
      </c>
      <c r="E40" s="34" t="n">
        <v>0</v>
      </c>
      <c r="F40" s="34" t="n">
        <v>144842.98502496</v>
      </c>
      <c r="G40" s="34" t="n">
        <v>1264853.37664797</v>
      </c>
      <c r="H40" s="34" t="n">
        <v>1574226.08283865</v>
      </c>
      <c r="I40" s="34" t="n">
        <v>1629224.36117579</v>
      </c>
      <c r="J40" s="34" t="n">
        <v>1665067.29712166</v>
      </c>
      <c r="K40" s="34" t="n">
        <v>1701698.77765834</v>
      </c>
      <c r="L40" s="34" t="n">
        <v>1739136.15076682</v>
      </c>
    </row>
    <row r="41" customFormat="false" ht="15" hidden="false" customHeight="false" outlineLevel="0" collapsed="false">
      <c r="A41" s="53" t="s">
        <v>736</v>
      </c>
      <c r="B41" s="19" t="s">
        <v>737</v>
      </c>
      <c r="C41" s="20" t="s">
        <v>32</v>
      </c>
      <c r="D41" s="53" t="s">
        <v>738</v>
      </c>
      <c r="E41" s="34" t="n">
        <v>688203.167075776</v>
      </c>
      <c r="F41" s="34" t="n">
        <v>2945777.99392275</v>
      </c>
      <c r="G41" s="34" t="n">
        <v>3844960.58184527</v>
      </c>
      <c r="H41" s="34" t="n">
        <v>4089022.09139007</v>
      </c>
      <c r="I41" s="34" t="n">
        <v>4178739.84578875</v>
      </c>
      <c r="J41" s="34" t="n">
        <v>4270436.40811037</v>
      </c>
      <c r="K41" s="34" t="n">
        <v>4361471.72337452</v>
      </c>
      <c r="L41" s="34" t="n">
        <v>4449211.60128876</v>
      </c>
    </row>
    <row r="42" customFormat="false" ht="15" hidden="false" customHeight="false" outlineLevel="0" collapsed="false">
      <c r="A42" s="53" t="s">
        <v>739</v>
      </c>
      <c r="B42" s="19" t="s">
        <v>740</v>
      </c>
      <c r="C42" s="20" t="s">
        <v>32</v>
      </c>
      <c r="D42" s="53" t="s">
        <v>741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</row>
    <row r="43" customFormat="false" ht="23.85" hidden="false" customHeight="false" outlineLevel="0" collapsed="false">
      <c r="A43" s="53" t="s">
        <v>742</v>
      </c>
      <c r="B43" s="19" t="s">
        <v>743</v>
      </c>
      <c r="C43" s="20" t="s">
        <v>32</v>
      </c>
      <c r="D43" s="53" t="s">
        <v>744</v>
      </c>
      <c r="E43" s="34" t="n">
        <v>13764.0633415155</v>
      </c>
      <c r="F43" s="34" t="n">
        <v>705842.513520179</v>
      </c>
      <c r="G43" s="34" t="n">
        <v>4924880.32260537</v>
      </c>
      <c r="H43" s="34" t="n">
        <v>5939922.23486601</v>
      </c>
      <c r="I43" s="34" t="n">
        <v>6053540.22648741</v>
      </c>
      <c r="J43" s="34" t="n">
        <v>6169438.33422013</v>
      </c>
      <c r="K43" s="34" t="n">
        <v>6288073.60732297</v>
      </c>
      <c r="L43" s="34" t="n">
        <v>6409506.26343408</v>
      </c>
    </row>
    <row r="44" customFormat="false" ht="15" hidden="false" customHeight="false" outlineLevel="0" collapsed="false">
      <c r="A44" s="53" t="s">
        <v>745</v>
      </c>
      <c r="B44" s="19" t="s">
        <v>746</v>
      </c>
      <c r="C44" s="20" t="s">
        <v>32</v>
      </c>
      <c r="D44" s="53" t="s">
        <v>747</v>
      </c>
      <c r="E44" s="34" t="n">
        <v>-701967.230417292</v>
      </c>
      <c r="F44" s="34" t="n">
        <v>4075352.06569747</v>
      </c>
      <c r="G44" s="34" t="n">
        <v>25657906.4032288</v>
      </c>
      <c r="H44" s="34" t="n">
        <v>32415099.5112829</v>
      </c>
      <c r="I44" s="34" t="n">
        <v>34699411.3136615</v>
      </c>
      <c r="J44" s="34" t="n">
        <v>35490815.84975</v>
      </c>
      <c r="K44" s="34" t="n">
        <v>36303169.7050872</v>
      </c>
      <c r="L44" s="34" t="n">
        <v>37139554.2816349</v>
      </c>
    </row>
    <row r="45" customFormat="false" ht="15" hidden="false" customHeight="false" outlineLevel="0" collapsed="false">
      <c r="A45" s="53" t="s">
        <v>748</v>
      </c>
      <c r="B45" s="19" t="s">
        <v>749</v>
      </c>
      <c r="C45" s="20" t="s">
        <v>32</v>
      </c>
      <c r="D45" s="53" t="s">
        <v>750</v>
      </c>
      <c r="E45" s="34" t="n">
        <v>0</v>
      </c>
      <c r="F45" s="34" t="n">
        <v>595527.901785714</v>
      </c>
      <c r="G45" s="34" t="n">
        <v>2323535.09221311</v>
      </c>
      <c r="H45" s="34" t="n">
        <v>2030652.5175644</v>
      </c>
      <c r="I45" s="34" t="n">
        <v>1562040.39812646</v>
      </c>
      <c r="J45" s="34" t="n">
        <v>1093428.27868852</v>
      </c>
      <c r="K45" s="34" t="n">
        <v>624816.159250585</v>
      </c>
      <c r="L45" s="34" t="n">
        <v>195255.049765808</v>
      </c>
    </row>
    <row r="46" customFormat="false" ht="15" hidden="false" customHeight="false" outlineLevel="0" collapsed="false">
      <c r="A46" s="53" t="s">
        <v>751</v>
      </c>
      <c r="B46" s="19" t="s">
        <v>752</v>
      </c>
      <c r="C46" s="20" t="s">
        <v>32</v>
      </c>
      <c r="D46" s="53" t="s">
        <v>753</v>
      </c>
      <c r="E46" s="34" t="n">
        <v>-701967.230417292</v>
      </c>
      <c r="F46" s="34" t="n">
        <v>3479824.16391176</v>
      </c>
      <c r="G46" s="34" t="n">
        <v>23334371.3110157</v>
      </c>
      <c r="H46" s="34" t="n">
        <v>30384446.9937185</v>
      </c>
      <c r="I46" s="34" t="n">
        <v>33137370.915535</v>
      </c>
      <c r="J46" s="34" t="n">
        <v>34397387.5710614</v>
      </c>
      <c r="K46" s="34" t="n">
        <v>35678353.5458366</v>
      </c>
      <c r="L46" s="34" t="n">
        <v>36944299.2318691</v>
      </c>
    </row>
    <row r="47" customFormat="false" ht="15" hidden="false" customHeight="false" outlineLevel="0" collapsed="false">
      <c r="A47" s="53" t="s">
        <v>754</v>
      </c>
      <c r="B47" s="19" t="s">
        <v>755</v>
      </c>
      <c r="C47" s="20" t="s">
        <v>32</v>
      </c>
      <c r="D47" s="53" t="s">
        <v>756</v>
      </c>
      <c r="E47" s="34" t="n">
        <v>-105295.084562594</v>
      </c>
      <c r="F47" s="34" t="n">
        <v>521973.624586764</v>
      </c>
      <c r="G47" s="34" t="n">
        <v>3500155.69665235</v>
      </c>
      <c r="H47" s="34" t="n">
        <v>4557667.04905778</v>
      </c>
      <c r="I47" s="34" t="n">
        <v>4970605.63733025</v>
      </c>
      <c r="J47" s="34" t="n">
        <v>5159608.13565922</v>
      </c>
      <c r="K47" s="34" t="n">
        <v>5351753.0318755</v>
      </c>
      <c r="L47" s="34" t="n">
        <v>5541644.88478037</v>
      </c>
    </row>
    <row r="48" customFormat="false" ht="15" hidden="false" customHeight="false" outlineLevel="0" collapsed="false">
      <c r="A48" s="53" t="s">
        <v>757</v>
      </c>
      <c r="B48" s="19" t="s">
        <v>62</v>
      </c>
      <c r="C48" s="20" t="s">
        <v>32</v>
      </c>
      <c r="D48" s="53" t="s">
        <v>758</v>
      </c>
      <c r="E48" s="34" t="n">
        <v>-596672.145854698</v>
      </c>
      <c r="F48" s="34" t="n">
        <v>2957850.53932499</v>
      </c>
      <c r="G48" s="34" t="n">
        <v>19834215.6143633</v>
      </c>
      <c r="H48" s="34" t="n">
        <v>25826779.9446608</v>
      </c>
      <c r="I48" s="34" t="n">
        <v>28166765.2782048</v>
      </c>
      <c r="J48" s="34" t="n">
        <v>29237779.4354022</v>
      </c>
      <c r="K48" s="34" t="n">
        <v>30326600.5139611</v>
      </c>
      <c r="L48" s="34" t="n">
        <v>31402654.3470887</v>
      </c>
    </row>
    <row r="49" customFormat="false" ht="15" hidden="false" customHeight="false" outlineLevel="0" collapsed="false">
      <c r="A49" s="53" t="s">
        <v>759</v>
      </c>
      <c r="B49" s="19" t="s">
        <v>760</v>
      </c>
      <c r="C49" s="20" t="s">
        <v>32</v>
      </c>
      <c r="D49" s="53" t="s">
        <v>761</v>
      </c>
      <c r="E49" s="34" t="n">
        <v>0</v>
      </c>
      <c r="F49" s="34" t="n">
        <v>626674.279389881</v>
      </c>
      <c r="G49" s="34" t="n">
        <v>2558309.53571429</v>
      </c>
      <c r="H49" s="34" t="n">
        <v>2605951.76785714</v>
      </c>
      <c r="I49" s="34" t="n">
        <v>2653594</v>
      </c>
      <c r="J49" s="34" t="n">
        <v>2701236.23214286</v>
      </c>
      <c r="K49" s="34" t="n">
        <v>2746199.89285714</v>
      </c>
      <c r="L49" s="34" t="n">
        <v>2785806.41071429</v>
      </c>
    </row>
    <row r="50" customFormat="false" ht="15" hidden="false" customHeight="false" outlineLevel="0" collapsed="false">
      <c r="A50" s="53" t="s">
        <v>762</v>
      </c>
      <c r="B50" s="19" t="s">
        <v>61</v>
      </c>
      <c r="C50" s="20" t="s">
        <v>32</v>
      </c>
      <c r="D50" s="53" t="s">
        <v>763</v>
      </c>
      <c r="E50" s="34" t="n">
        <v>-701967.230417292</v>
      </c>
      <c r="F50" s="34" t="n">
        <v>4702026.34508735</v>
      </c>
      <c r="G50" s="34" t="n">
        <v>28216215.9389431</v>
      </c>
      <c r="H50" s="34" t="n">
        <v>35021051.2791401</v>
      </c>
      <c r="I50" s="34" t="n">
        <v>37353005.3136615</v>
      </c>
      <c r="J50" s="34" t="n">
        <v>38192052.0818928</v>
      </c>
      <c r="K50" s="34" t="n">
        <v>39049369.5979444</v>
      </c>
      <c r="L50" s="34" t="n">
        <v>39925360.6923492</v>
      </c>
    </row>
    <row r="51" customFormat="false" ht="15" hidden="false" customHeight="false" outlineLevel="0" collapsed="false">
      <c r="A51" s="53" t="s">
        <v>764</v>
      </c>
      <c r="B51" s="19" t="s">
        <v>765</v>
      </c>
      <c r="C51" s="20" t="s">
        <v>32</v>
      </c>
      <c r="D51" s="53" t="s">
        <v>766</v>
      </c>
      <c r="E51" s="34" t="n">
        <v>0</v>
      </c>
      <c r="F51" s="34" t="n">
        <v>9122.66852678571</v>
      </c>
      <c r="G51" s="34" t="n">
        <v>36490.6741071429</v>
      </c>
      <c r="H51" s="34" t="n">
        <v>36490.6741071429</v>
      </c>
      <c r="I51" s="34" t="n">
        <v>36490.6741071429</v>
      </c>
      <c r="J51" s="34" t="n">
        <v>36490.6741071429</v>
      </c>
      <c r="K51" s="34" t="n">
        <v>36490.6741071429</v>
      </c>
      <c r="L51" s="34" t="n">
        <v>36490.6741071429</v>
      </c>
    </row>
    <row r="52" customFormat="false" ht="15" hidden="false" customHeight="false" outlineLevel="0" collapsed="false">
      <c r="A52" s="53" t="s">
        <v>767</v>
      </c>
      <c r="B52" s="19" t="s">
        <v>768</v>
      </c>
      <c r="C52" s="20" t="s">
        <v>32</v>
      </c>
      <c r="D52" s="53" t="s">
        <v>769</v>
      </c>
      <c r="E52" s="34" t="n">
        <v>0</v>
      </c>
      <c r="F52" s="34" t="n">
        <v>25609852.8603646</v>
      </c>
      <c r="G52" s="34" t="n">
        <v>211882072.210182</v>
      </c>
      <c r="H52" s="34" t="n">
        <v>260955096.124836</v>
      </c>
      <c r="I52" s="34" t="n">
        <v>266664305.357998</v>
      </c>
      <c r="J52" s="34" t="n">
        <v>272499117.194288</v>
      </c>
      <c r="K52" s="34" t="n">
        <v>278462294.890978</v>
      </c>
      <c r="L52" s="34" t="n">
        <v>284556662.496994</v>
      </c>
    </row>
    <row r="53" customFormat="false" ht="15" hidden="false" customHeight="false" outlineLevel="0" collapsed="false">
      <c r="A53" s="53" t="s">
        <v>770</v>
      </c>
      <c r="B53" s="19" t="s">
        <v>771</v>
      </c>
      <c r="C53" s="20" t="s">
        <v>32</v>
      </c>
      <c r="D53" s="53" t="s">
        <v>772</v>
      </c>
      <c r="E53" s="34" t="n">
        <v>0</v>
      </c>
      <c r="F53" s="34" t="n">
        <v>28968597.004992</v>
      </c>
      <c r="G53" s="34" t="n">
        <v>252970675.329593</v>
      </c>
      <c r="H53" s="34" t="n">
        <v>314845216.567729</v>
      </c>
      <c r="I53" s="34" t="n">
        <v>325844872.235159</v>
      </c>
      <c r="J53" s="34" t="n">
        <v>333013459.424332</v>
      </c>
      <c r="K53" s="34" t="n">
        <v>340339755.531667</v>
      </c>
      <c r="L53" s="34" t="n">
        <v>347827230.153364</v>
      </c>
    </row>
    <row r="54" customFormat="false" ht="15" hidden="false" customHeight="false" outlineLevel="0" collapsed="false">
      <c r="A54" s="60"/>
      <c r="B54" s="10" t="s">
        <v>773</v>
      </c>
    </row>
    <row r="55" customFormat="false" ht="15" hidden="false" customHeight="false" outlineLevel="0" collapsed="false">
      <c r="A55" s="53" t="s">
        <v>774</v>
      </c>
      <c r="B55" s="19" t="s">
        <v>288</v>
      </c>
      <c r="C55" s="20" t="s">
        <v>32</v>
      </c>
      <c r="D55" s="53" t="s">
        <v>775</v>
      </c>
      <c r="E55" s="34" t="n">
        <v>0</v>
      </c>
      <c r="F55" s="34" t="n">
        <v>25462057.0615867</v>
      </c>
      <c r="G55" s="34" t="n">
        <v>210675455.861217</v>
      </c>
      <c r="H55" s="34" t="n">
        <v>259500642.73225</v>
      </c>
      <c r="I55" s="34" t="n">
        <v>265209656.87236</v>
      </c>
      <c r="J55" s="34" t="n">
        <v>271044269.323552</v>
      </c>
      <c r="K55" s="34" t="n">
        <v>277007243.24867</v>
      </c>
      <c r="L55" s="34" t="n">
        <v>283101402.600141</v>
      </c>
    </row>
    <row r="56" customFormat="false" ht="15" hidden="false" customHeight="false" outlineLevel="0" collapsed="false">
      <c r="A56" s="53" t="s">
        <v>776</v>
      </c>
      <c r="B56" s="19" t="s">
        <v>292</v>
      </c>
      <c r="C56" s="20" t="s">
        <v>32</v>
      </c>
      <c r="D56" s="53" t="s">
        <v>777</v>
      </c>
      <c r="E56" s="34" t="n">
        <v>0</v>
      </c>
      <c r="F56" s="34" t="n">
        <v>569592.626754162</v>
      </c>
      <c r="G56" s="34" t="n">
        <v>4712862.98692881</v>
      </c>
      <c r="H56" s="34" t="n">
        <v>5805094.70938421</v>
      </c>
      <c r="I56" s="34" t="n">
        <v>5932806.79299066</v>
      </c>
      <c r="J56" s="34" t="n">
        <v>6063328.54243646</v>
      </c>
      <c r="K56" s="34" t="n">
        <v>6196721.77037006</v>
      </c>
      <c r="L56" s="34" t="n">
        <v>6333049.6493182</v>
      </c>
    </row>
    <row r="57" customFormat="false" ht="15" hidden="false" customHeight="false" outlineLevel="0" collapsed="false">
      <c r="A57" s="53" t="s">
        <v>778</v>
      </c>
      <c r="B57" s="19" t="s">
        <v>779</v>
      </c>
      <c r="C57" s="20" t="s">
        <v>32</v>
      </c>
      <c r="D57" s="53" t="s">
        <v>780</v>
      </c>
      <c r="E57" s="34" t="n">
        <v>0</v>
      </c>
      <c r="F57" s="34" t="n">
        <v>149650.332211388</v>
      </c>
      <c r="G57" s="34" t="n">
        <v>997808.6907449</v>
      </c>
      <c r="H57" s="34" t="n">
        <v>1180595.18882465</v>
      </c>
      <c r="I57" s="34" t="n">
        <v>1206568.28297879</v>
      </c>
      <c r="J57" s="34" t="n">
        <v>1233112.78520432</v>
      </c>
      <c r="K57" s="34" t="n">
        <v>1260241.26647882</v>
      </c>
      <c r="L57" s="34" t="n">
        <v>1287966.57434135</v>
      </c>
    </row>
    <row r="58" customFormat="false" ht="15" hidden="false" customHeight="false" outlineLevel="0" collapsed="false">
      <c r="A58" s="53" t="s">
        <v>781</v>
      </c>
      <c r="B58" s="19" t="s">
        <v>782</v>
      </c>
      <c r="C58" s="20" t="s">
        <v>32</v>
      </c>
      <c r="D58" s="53" t="s">
        <v>783</v>
      </c>
      <c r="E58" s="34" t="n">
        <v>0</v>
      </c>
      <c r="F58" s="34" t="n">
        <v>139941.219510979</v>
      </c>
      <c r="G58" s="34" t="n">
        <v>933072.202100125</v>
      </c>
      <c r="H58" s="34" t="n">
        <v>1103999.75751169</v>
      </c>
      <c r="I58" s="34" t="n">
        <v>1128287.75217695</v>
      </c>
      <c r="J58" s="34" t="n">
        <v>1153110.08272484</v>
      </c>
      <c r="K58" s="34" t="n">
        <v>1178478.50454479</v>
      </c>
      <c r="L58" s="34" t="n">
        <v>1204405.03164477</v>
      </c>
    </row>
    <row r="59" customFormat="false" ht="15" hidden="false" customHeight="false" outlineLevel="0" collapsed="false">
      <c r="A59" s="53" t="s">
        <v>784</v>
      </c>
      <c r="B59" s="19" t="s">
        <v>785</v>
      </c>
      <c r="C59" s="20" t="s">
        <v>32</v>
      </c>
      <c r="D59" s="53" t="s">
        <v>786</v>
      </c>
      <c r="E59" s="34" t="n">
        <v>0</v>
      </c>
      <c r="F59" s="34" t="n">
        <v>18169.7691323263</v>
      </c>
      <c r="G59" s="34" t="n">
        <v>122546.594959834</v>
      </c>
      <c r="H59" s="34" t="n">
        <v>145345.306517534</v>
      </c>
      <c r="I59" s="34" t="n">
        <v>148542.90326092</v>
      </c>
      <c r="J59" s="34" t="n">
        <v>151810.84713266</v>
      </c>
      <c r="K59" s="34" t="n">
        <v>155150.685769579</v>
      </c>
      <c r="L59" s="34" t="n">
        <v>158564.00085651</v>
      </c>
    </row>
    <row r="60" customFormat="false" ht="15" hidden="false" customHeight="false" outlineLevel="0" collapsed="false">
      <c r="A60" s="53" t="s">
        <v>787</v>
      </c>
      <c r="B60" s="19" t="s">
        <v>788</v>
      </c>
      <c r="C60" s="20" t="s">
        <v>32</v>
      </c>
      <c r="D60" s="53" t="s">
        <v>789</v>
      </c>
      <c r="E60" s="34" t="n">
        <v>0</v>
      </c>
      <c r="F60" s="34" t="n">
        <v>361689.029259401</v>
      </c>
      <c r="G60" s="34" t="n">
        <v>1491402.30419073</v>
      </c>
      <c r="H60" s="34" t="n">
        <v>1524051.95384809</v>
      </c>
      <c r="I60" s="34" t="n">
        <v>1557566.85400099</v>
      </c>
      <c r="J60" s="34" t="n">
        <v>1591833.32478901</v>
      </c>
      <c r="K60" s="34" t="n">
        <v>1626853.65793437</v>
      </c>
      <c r="L60" s="34" t="n">
        <v>1662644.43840893</v>
      </c>
    </row>
    <row r="61" customFormat="false" ht="15" hidden="false" customHeight="false" outlineLevel="0" collapsed="false">
      <c r="A61" s="53" t="s">
        <v>790</v>
      </c>
      <c r="B61" s="19" t="s">
        <v>791</v>
      </c>
      <c r="C61" s="20" t="s">
        <v>32</v>
      </c>
      <c r="D61" s="53" t="s">
        <v>792</v>
      </c>
      <c r="E61" s="34" t="n">
        <v>0</v>
      </c>
      <c r="F61" s="34" t="n">
        <v>43402.6835111281</v>
      </c>
      <c r="G61" s="34" t="n">
        <v>178968.276502888</v>
      </c>
      <c r="H61" s="34" t="n">
        <v>182886.234461771</v>
      </c>
      <c r="I61" s="34" t="n">
        <v>186908.022480119</v>
      </c>
      <c r="J61" s="34" t="n">
        <v>191019.998974681</v>
      </c>
      <c r="K61" s="34" t="n">
        <v>195222.438952124</v>
      </c>
      <c r="L61" s="34" t="n">
        <v>199517.332609071</v>
      </c>
    </row>
    <row r="62" customFormat="false" ht="15" hidden="false" customHeight="false" outlineLevel="0" collapsed="false">
      <c r="A62" s="53" t="s">
        <v>793</v>
      </c>
      <c r="B62" s="19" t="s">
        <v>794</v>
      </c>
      <c r="C62" s="20" t="s">
        <v>32</v>
      </c>
      <c r="D62" s="53" t="s">
        <v>795</v>
      </c>
      <c r="E62" s="34" t="n">
        <v>0</v>
      </c>
      <c r="F62" s="34" t="n">
        <v>614873.039434524</v>
      </c>
      <c r="G62" s="34" t="n">
        <v>2511104.57589286</v>
      </c>
      <c r="H62" s="34" t="n">
        <v>2558746.80803571</v>
      </c>
      <c r="I62" s="34" t="n">
        <v>2606389.04017857</v>
      </c>
      <c r="J62" s="34" t="n">
        <v>2654031.27232143</v>
      </c>
      <c r="K62" s="34" t="n">
        <v>2701673.50446429</v>
      </c>
      <c r="L62" s="34" t="n">
        <v>2749315.73660714</v>
      </c>
    </row>
    <row r="63" customFormat="false" ht="15" hidden="false" customHeight="false" outlineLevel="0" collapsed="false">
      <c r="A63" s="53" t="s">
        <v>796</v>
      </c>
      <c r="B63" s="19" t="s">
        <v>797</v>
      </c>
      <c r="C63" s="20" t="s">
        <v>32</v>
      </c>
      <c r="D63" s="53" t="s">
        <v>798</v>
      </c>
      <c r="E63" s="34" t="n">
        <v>0</v>
      </c>
      <c r="F63" s="34" t="n">
        <v>92767.6816704678</v>
      </c>
      <c r="G63" s="34" t="n">
        <v>767568.526684317</v>
      </c>
      <c r="H63" s="34" t="n">
        <v>945456.722527941</v>
      </c>
      <c r="I63" s="34" t="n">
        <v>966256.770423556</v>
      </c>
      <c r="J63" s="34" t="n">
        <v>987514.419372874</v>
      </c>
      <c r="K63" s="34" t="n">
        <v>1009239.73659908</v>
      </c>
      <c r="L63" s="34" t="n">
        <v>1031443.01080426</v>
      </c>
    </row>
    <row r="64" customFormat="false" ht="15" hidden="false" customHeight="false" outlineLevel="0" collapsed="false">
      <c r="A64" s="53" t="s">
        <v>799</v>
      </c>
      <c r="B64" s="19" t="s">
        <v>800</v>
      </c>
      <c r="C64" s="20" t="s">
        <v>32</v>
      </c>
      <c r="D64" s="53" t="s">
        <v>801</v>
      </c>
      <c r="E64" s="34" t="n">
        <v>0</v>
      </c>
      <c r="F64" s="34" t="n">
        <v>60597.2398532533</v>
      </c>
      <c r="G64" s="34" t="n">
        <v>501387.264160821</v>
      </c>
      <c r="H64" s="34" t="n">
        <v>617586.499460136</v>
      </c>
      <c r="I64" s="34" t="n">
        <v>631173.402448259</v>
      </c>
      <c r="J64" s="34" t="n">
        <v>645059.21730212</v>
      </c>
      <c r="K64" s="34" t="n">
        <v>659250.520082767</v>
      </c>
      <c r="L64" s="34" t="n">
        <v>673754.031524588</v>
      </c>
    </row>
    <row r="65" customFormat="false" ht="15" hidden="false" customHeight="false" outlineLevel="0" collapsed="false">
      <c r="A65" s="53" t="s">
        <v>802</v>
      </c>
      <c r="B65" s="19" t="s">
        <v>803</v>
      </c>
      <c r="C65" s="20" t="s">
        <v>32</v>
      </c>
      <c r="D65" s="53" t="s">
        <v>804</v>
      </c>
      <c r="E65" s="34" t="n">
        <v>0</v>
      </c>
      <c r="F65" s="34" t="n">
        <v>27512740.6829243</v>
      </c>
      <c r="G65" s="34" t="n">
        <v>222892177.283383</v>
      </c>
      <c r="H65" s="34" t="n">
        <v>273564405.912822</v>
      </c>
      <c r="I65" s="34" t="n">
        <v>279574156.693299</v>
      </c>
      <c r="J65" s="34" t="n">
        <v>285715089.81381</v>
      </c>
      <c r="K65" s="34" t="n">
        <v>291990075.333866</v>
      </c>
      <c r="L65" s="34" t="n">
        <v>298402062.406255</v>
      </c>
    </row>
    <row r="66" customFormat="false" ht="15" hidden="false" customHeight="false" outlineLevel="0" collapsed="false">
      <c r="A66" s="53" t="s">
        <v>805</v>
      </c>
      <c r="B66" s="19" t="s">
        <v>806</v>
      </c>
      <c r="C66" s="20" t="s">
        <v>32</v>
      </c>
      <c r="D66" s="53" t="s">
        <v>807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</row>
    <row r="67" customFormat="false" ht="15" hidden="false" customHeight="false" outlineLevel="0" collapsed="false">
      <c r="A67" s="53" t="s">
        <v>808</v>
      </c>
      <c r="B67" s="19" t="s">
        <v>809</v>
      </c>
      <c r="C67" s="20" t="s">
        <v>32</v>
      </c>
      <c r="D67" s="53" t="s">
        <v>810</v>
      </c>
      <c r="E67" s="34" t="n">
        <v>0</v>
      </c>
      <c r="F67" s="34" t="n">
        <v>26222563.2067039</v>
      </c>
      <c r="G67" s="34" t="n">
        <v>216967955.2622</v>
      </c>
      <c r="H67" s="34" t="n">
        <v>267251463.217115</v>
      </c>
      <c r="I67" s="34" t="n">
        <v>273130995.407891</v>
      </c>
      <c r="J67" s="34" t="n">
        <v>279139877.306865</v>
      </c>
      <c r="K67" s="34" t="n">
        <v>285280954.607616</v>
      </c>
      <c r="L67" s="34" t="n">
        <v>291557135.608984</v>
      </c>
    </row>
    <row r="68" customFormat="false" ht="15" hidden="false" customHeight="false" outlineLevel="0" collapsed="false">
      <c r="A68" s="60"/>
      <c r="B68" s="10" t="s">
        <v>811</v>
      </c>
    </row>
    <row r="69" customFormat="false" ht="15" hidden="false" customHeight="false" outlineLevel="0" collapsed="false">
      <c r="A69" s="53" t="s">
        <v>812</v>
      </c>
      <c r="B69" s="19" t="s">
        <v>813</v>
      </c>
      <c r="C69" s="20" t="s">
        <v>32</v>
      </c>
      <c r="D69" s="53" t="s">
        <v>814</v>
      </c>
      <c r="E69" s="34" t="n">
        <v>85108.9027228655</v>
      </c>
      <c r="F69" s="34" t="n">
        <v>352796.225853555</v>
      </c>
      <c r="G69" s="34" t="n">
        <v>358339.634709611</v>
      </c>
      <c r="H69" s="34" t="n">
        <v>366184.374857015</v>
      </c>
      <c r="I69" s="34" t="n">
        <v>374237.008974832</v>
      </c>
      <c r="J69" s="34" t="n">
        <v>382470.223172278</v>
      </c>
      <c r="K69" s="34" t="n">
        <v>390884.568082069</v>
      </c>
      <c r="L69" s="34" t="n">
        <v>399484.028579874</v>
      </c>
    </row>
    <row r="70" customFormat="false" ht="15" hidden="false" customHeight="false" outlineLevel="0" collapsed="false">
      <c r="A70" s="53" t="s">
        <v>815</v>
      </c>
      <c r="B70" s="19" t="s">
        <v>816</v>
      </c>
      <c r="C70" s="20" t="s">
        <v>32</v>
      </c>
      <c r="D70" s="53" t="s">
        <v>817</v>
      </c>
      <c r="E70" s="34" t="n">
        <v>603094.264352911</v>
      </c>
      <c r="F70" s="34" t="n">
        <v>2446722.13845031</v>
      </c>
      <c r="G70" s="34" t="n">
        <v>2505344.97679413</v>
      </c>
      <c r="H70" s="34" t="n">
        <v>2561621.79356517</v>
      </c>
      <c r="I70" s="34" t="n">
        <v>2617977.4730236</v>
      </c>
      <c r="J70" s="34" t="n">
        <v>2675572.97743012</v>
      </c>
      <c r="K70" s="34" t="n">
        <v>2734435.58293358</v>
      </c>
      <c r="L70" s="34" t="n">
        <v>2794593.16575812</v>
      </c>
    </row>
    <row r="71" customFormat="false" ht="15" hidden="false" customHeight="false" outlineLevel="0" collapsed="false">
      <c r="A71" s="53" t="s">
        <v>818</v>
      </c>
      <c r="B71" s="19" t="s">
        <v>819</v>
      </c>
      <c r="C71" s="20" t="s">
        <v>32</v>
      </c>
      <c r="D71" s="53" t="s">
        <v>820</v>
      </c>
      <c r="E71" s="34" t="n">
        <v>0</v>
      </c>
      <c r="F71" s="34" t="n">
        <v>288424.043215271</v>
      </c>
      <c r="G71" s="34" t="n">
        <v>2235415.06127521</v>
      </c>
      <c r="H71" s="34" t="n">
        <v>2724727.72009225</v>
      </c>
      <c r="I71" s="34" t="n">
        <v>2805035.43925182</v>
      </c>
      <c r="J71" s="34" t="n">
        <v>2866746.21891534</v>
      </c>
      <c r="K71" s="34" t="n">
        <v>2929814.63573149</v>
      </c>
      <c r="L71" s="34" t="n">
        <v>2994270.55771759</v>
      </c>
    </row>
    <row r="72" customFormat="false" ht="15" hidden="false" customHeight="false" outlineLevel="0" collapsed="false">
      <c r="A72" s="53" t="s">
        <v>821</v>
      </c>
      <c r="B72" s="19" t="s">
        <v>822</v>
      </c>
      <c r="C72" s="20" t="s">
        <v>32</v>
      </c>
      <c r="D72" s="53" t="s">
        <v>823</v>
      </c>
      <c r="E72" s="34" t="n">
        <v>0</v>
      </c>
      <c r="F72" s="34" t="n">
        <v>2678.57142857143</v>
      </c>
      <c r="G72" s="34" t="n">
        <v>10714.2857142857</v>
      </c>
      <c r="H72" s="34" t="n">
        <v>10714.2857142857</v>
      </c>
      <c r="I72" s="34" t="n">
        <v>10714.2857142857</v>
      </c>
      <c r="J72" s="34" t="n">
        <v>10714.2857142857</v>
      </c>
      <c r="K72" s="34" t="n">
        <v>8035.71428571429</v>
      </c>
      <c r="L72" s="34" t="n">
        <v>0</v>
      </c>
    </row>
    <row r="73" customFormat="false" ht="15" hidden="false" customHeight="false" outlineLevel="0" collapsed="false">
      <c r="A73" s="53" t="s">
        <v>824</v>
      </c>
      <c r="B73" s="19" t="s">
        <v>825</v>
      </c>
      <c r="C73" s="20" t="s">
        <v>32</v>
      </c>
      <c r="D73" s="53" t="s">
        <v>826</v>
      </c>
      <c r="E73" s="34" t="n">
        <v>13764.0633415155</v>
      </c>
      <c r="F73" s="34" t="n">
        <v>599716.201020179</v>
      </c>
      <c r="G73" s="34" t="n">
        <v>4509603.44760537</v>
      </c>
      <c r="H73" s="34" t="n">
        <v>5533163.85986601</v>
      </c>
      <c r="I73" s="34" t="n">
        <v>5655300.35148741</v>
      </c>
      <c r="J73" s="34" t="n">
        <v>5779716.95922013</v>
      </c>
      <c r="K73" s="34" t="n">
        <v>5906870.73232297</v>
      </c>
      <c r="L73" s="34" t="n">
        <v>6036821.88843408</v>
      </c>
    </row>
    <row r="74" customFormat="false" ht="15" hidden="false" customHeight="false" outlineLevel="0" collapsed="false">
      <c r="A74" s="53" t="s">
        <v>827</v>
      </c>
      <c r="B74" s="19" t="s">
        <v>828</v>
      </c>
      <c r="C74" s="20" t="s">
        <v>32</v>
      </c>
      <c r="D74" s="53" t="s">
        <v>829</v>
      </c>
      <c r="E74" s="34" t="n">
        <v>0</v>
      </c>
      <c r="F74" s="34" t="n">
        <v>106126.3125</v>
      </c>
      <c r="G74" s="34" t="n">
        <v>415276.875</v>
      </c>
      <c r="H74" s="34" t="n">
        <v>406758.375</v>
      </c>
      <c r="I74" s="34" t="n">
        <v>398239.875</v>
      </c>
      <c r="J74" s="34" t="n">
        <v>389721.375</v>
      </c>
      <c r="K74" s="34" t="n">
        <v>381202.875</v>
      </c>
      <c r="L74" s="34" t="n">
        <v>372684.375</v>
      </c>
    </row>
    <row r="75" customFormat="false" ht="15" hidden="false" customHeight="false" outlineLevel="0" collapsed="false">
      <c r="A75" s="53" t="s">
        <v>830</v>
      </c>
      <c r="B75" s="19" t="s">
        <v>831</v>
      </c>
      <c r="C75" s="20" t="s">
        <v>32</v>
      </c>
      <c r="D75" s="53" t="s">
        <v>832</v>
      </c>
      <c r="E75" s="34" t="n">
        <v>0</v>
      </c>
      <c r="F75" s="34" t="n">
        <v>0</v>
      </c>
      <c r="G75" s="34" t="n">
        <v>0</v>
      </c>
      <c r="H75" s="34" t="n">
        <v>0</v>
      </c>
      <c r="I75" s="34" t="n">
        <v>0</v>
      </c>
      <c r="J75" s="34" t="n">
        <v>0</v>
      </c>
      <c r="K75" s="34" t="n">
        <v>0</v>
      </c>
      <c r="L75" s="34" t="n">
        <v>0</v>
      </c>
    </row>
    <row r="76" customFormat="false" ht="15" hidden="false" customHeight="false" outlineLevel="0" collapsed="false">
      <c r="A76" s="53" t="s">
        <v>833</v>
      </c>
      <c r="B76" s="19" t="s">
        <v>427</v>
      </c>
      <c r="C76" s="20" t="s">
        <v>32</v>
      </c>
      <c r="D76" s="53" t="s">
        <v>834</v>
      </c>
      <c r="E76" s="34" t="n">
        <v>0</v>
      </c>
      <c r="F76" s="34" t="n">
        <v>0</v>
      </c>
      <c r="G76" s="34" t="n">
        <v>0</v>
      </c>
      <c r="H76" s="34" t="n">
        <v>0</v>
      </c>
      <c r="I76" s="34" t="n">
        <v>0</v>
      </c>
      <c r="J76" s="34" t="n">
        <v>0</v>
      </c>
      <c r="K76" s="34" t="n">
        <v>0</v>
      </c>
      <c r="L76" s="34" t="n">
        <v>0</v>
      </c>
    </row>
    <row r="77" customFormat="false" ht="15" hidden="false" customHeight="false" outlineLevel="0" collapsed="false">
      <c r="A77" s="53" t="s">
        <v>835</v>
      </c>
      <c r="B77" s="19" t="s">
        <v>836</v>
      </c>
      <c r="C77" s="20" t="s">
        <v>32</v>
      </c>
      <c r="D77" s="53" t="s">
        <v>837</v>
      </c>
      <c r="E77" s="34" t="n">
        <v>0</v>
      </c>
      <c r="F77" s="34" t="n">
        <v>0</v>
      </c>
      <c r="G77" s="34" t="n">
        <v>0</v>
      </c>
      <c r="H77" s="34" t="n">
        <v>0</v>
      </c>
      <c r="I77" s="34" t="n">
        <v>0</v>
      </c>
      <c r="J77" s="34" t="n">
        <v>0</v>
      </c>
      <c r="K77" s="34" t="n">
        <v>0</v>
      </c>
      <c r="L77" s="34" t="n">
        <v>0</v>
      </c>
    </row>
    <row r="78" customFormat="false" ht="15" hidden="false" customHeight="false" outlineLevel="0" collapsed="false">
      <c r="A78" s="53" t="s">
        <v>838</v>
      </c>
      <c r="B78" s="19" t="s">
        <v>839</v>
      </c>
      <c r="C78" s="20" t="s">
        <v>32</v>
      </c>
      <c r="D78" s="53" t="s">
        <v>840</v>
      </c>
      <c r="E78" s="34" t="n">
        <v>72371.3117223493</v>
      </c>
      <c r="F78" s="34" t="n">
        <v>3507350.65348618</v>
      </c>
      <c r="G78" s="34" t="n">
        <v>26814175.4597839</v>
      </c>
      <c r="H78" s="34" t="n">
        <v>32950208.451616</v>
      </c>
      <c r="I78" s="34" t="n">
        <v>33677556.6826697</v>
      </c>
      <c r="J78" s="34" t="n">
        <v>34418462.9296884</v>
      </c>
      <c r="K78" s="34" t="n">
        <v>35175669.1141416</v>
      </c>
      <c r="L78" s="34" t="n">
        <v>35949533.8346527</v>
      </c>
    </row>
    <row r="79" customFormat="false" ht="15" hidden="false" customHeight="false" outlineLevel="0" collapsed="false">
      <c r="A79" s="53" t="s">
        <v>841</v>
      </c>
      <c r="B79" s="19" t="s">
        <v>842</v>
      </c>
      <c r="C79" s="20" t="s">
        <v>32</v>
      </c>
      <c r="D79" s="53" t="s">
        <v>843</v>
      </c>
      <c r="E79" s="34" t="n">
        <v>3550990.71428571</v>
      </c>
      <c r="F79" s="34" t="n">
        <v>2180369.8125</v>
      </c>
      <c r="G79" s="34" t="n">
        <v>57170.6785714286</v>
      </c>
      <c r="H79" s="34" t="n">
        <v>57170.6785714286</v>
      </c>
      <c r="I79" s="34" t="n">
        <v>57170.6785714286</v>
      </c>
      <c r="J79" s="34" t="n">
        <v>57170.6785714286</v>
      </c>
      <c r="K79" s="34" t="n">
        <v>57170.6785714286</v>
      </c>
      <c r="L79" s="34" t="n">
        <v>57170.6785714286</v>
      </c>
    </row>
    <row r="80" customFormat="false" ht="15" hidden="false" customHeight="false" outlineLevel="0" collapsed="false">
      <c r="A80" s="53" t="s">
        <v>844</v>
      </c>
      <c r="B80" s="19" t="s">
        <v>845</v>
      </c>
      <c r="C80" s="20" t="s">
        <v>32</v>
      </c>
      <c r="D80" s="53" t="s">
        <v>846</v>
      </c>
      <c r="E80" s="34" t="n">
        <v>-3623362.02600806</v>
      </c>
      <c r="F80" s="34" t="n">
        <v>-5687720.46598618</v>
      </c>
      <c r="G80" s="34" t="n">
        <v>-26871346.1383553</v>
      </c>
      <c r="H80" s="34" t="n">
        <v>-33007379.1301875</v>
      </c>
      <c r="I80" s="34" t="n">
        <v>-33734727.3612412</v>
      </c>
      <c r="J80" s="34" t="n">
        <v>-34475633.6082599</v>
      </c>
      <c r="K80" s="34" t="n">
        <v>-35232839.792713</v>
      </c>
      <c r="L80" s="34" t="n">
        <v>-36006704.5132242</v>
      </c>
    </row>
    <row r="81" customFormat="false" ht="15" hidden="false" customHeight="false" outlineLevel="0" collapsed="false">
      <c r="A81" s="60"/>
      <c r="B81" s="10" t="s">
        <v>847</v>
      </c>
    </row>
    <row r="82" customFormat="false" ht="23.85" hidden="false" customHeight="false" outlineLevel="0" collapsed="false">
      <c r="A82" s="53" t="s">
        <v>848</v>
      </c>
      <c r="B82" s="19" t="s">
        <v>849</v>
      </c>
      <c r="C82" s="20" t="s">
        <v>32</v>
      </c>
      <c r="D82" s="53" t="s">
        <v>850</v>
      </c>
      <c r="E82" s="34" t="n">
        <v>-4247376.29724347</v>
      </c>
      <c r="F82" s="34" t="n">
        <v>-20280185.40865</v>
      </c>
      <c r="G82" s="34" t="n">
        <v>13445109.3630832</v>
      </c>
      <c r="H82" s="34" t="n">
        <v>24721123.2498877</v>
      </c>
      <c r="I82" s="34" t="n">
        <v>35839216.1341859</v>
      </c>
      <c r="J82" s="34" t="n">
        <v>36979888.4319318</v>
      </c>
      <c r="K82" s="34" t="n">
        <v>37810538.3476841</v>
      </c>
      <c r="L82" s="34" t="n">
        <v>38659275.1545833</v>
      </c>
    </row>
    <row r="83" customFormat="false" ht="15" hidden="false" customHeight="false" outlineLevel="0" collapsed="false">
      <c r="A83" s="53" t="s">
        <v>851</v>
      </c>
      <c r="B83" s="19" t="s">
        <v>852</v>
      </c>
      <c r="C83" s="20" t="s">
        <v>32</v>
      </c>
      <c r="D83" s="53" t="s">
        <v>853</v>
      </c>
      <c r="E83" s="34" t="n">
        <v>0</v>
      </c>
      <c r="F83" s="34" t="n">
        <v>-11098087.015253</v>
      </c>
      <c r="G83" s="34" t="n">
        <v>-9829162.94877988</v>
      </c>
      <c r="H83" s="34" t="n">
        <v>-4825350.70369384</v>
      </c>
      <c r="I83" s="34" t="n">
        <v>-566556.340609368</v>
      </c>
      <c r="J83" s="34" t="n">
        <v>-579021.454183381</v>
      </c>
      <c r="K83" s="34" t="n">
        <v>-591759.926175434</v>
      </c>
      <c r="L83" s="34" t="n">
        <v>-604778.644551288</v>
      </c>
    </row>
    <row r="84" customFormat="false" ht="15" hidden="false" customHeight="false" outlineLevel="0" collapsed="false">
      <c r="A84" s="53" t="s">
        <v>854</v>
      </c>
      <c r="B84" s="19" t="s">
        <v>855</v>
      </c>
      <c r="C84" s="20" t="s">
        <v>32</v>
      </c>
      <c r="D84" s="53" t="s">
        <v>856</v>
      </c>
      <c r="E84" s="34" t="n">
        <v>0</v>
      </c>
      <c r="F84" s="34" t="n">
        <v>-11231547.6716055</v>
      </c>
      <c r="G84" s="34" t="n">
        <v>-9560562.62945693</v>
      </c>
      <c r="H84" s="34" t="n">
        <v>-5085578.73190159</v>
      </c>
      <c r="I84" s="34" t="n">
        <v>-904081.287733935</v>
      </c>
      <c r="J84" s="34" t="n">
        <v>-589198.947055355</v>
      </c>
      <c r="K84" s="34" t="n">
        <v>-602161.323890574</v>
      </c>
      <c r="L84" s="34" t="n">
        <v>-615408.873016167</v>
      </c>
    </row>
    <row r="85" customFormat="false" ht="15" hidden="false" customHeight="false" outlineLevel="0" collapsed="false">
      <c r="A85" s="53" t="s">
        <v>857</v>
      </c>
      <c r="B85" s="19" t="s">
        <v>858</v>
      </c>
      <c r="C85" s="20" t="s">
        <v>32</v>
      </c>
      <c r="D85" s="53" t="s">
        <v>859</v>
      </c>
      <c r="E85" s="34" t="n">
        <v>-3621808.72867649</v>
      </c>
      <c r="F85" s="34" t="n">
        <v>-5334115.80533546</v>
      </c>
      <c r="G85" s="34" t="n">
        <v>2330113.15743119</v>
      </c>
      <c r="H85" s="34" t="n">
        <v>-1512994.43634218</v>
      </c>
      <c r="I85" s="34" t="n">
        <v>-179346.139163922</v>
      </c>
      <c r="J85" s="34" t="n">
        <v>-182689.211593655</v>
      </c>
      <c r="K85" s="34" t="n">
        <v>-186708.374248726</v>
      </c>
      <c r="L85" s="34" t="n">
        <v>-190815.958482193</v>
      </c>
    </row>
    <row r="86" customFormat="false" ht="15" hidden="false" customHeight="false" outlineLevel="0" collapsed="false">
      <c r="A86" s="53" t="s">
        <v>860</v>
      </c>
      <c r="B86" s="19" t="s">
        <v>861</v>
      </c>
      <c r="C86" s="20" t="s">
        <v>32</v>
      </c>
      <c r="D86" s="53" t="s">
        <v>862</v>
      </c>
      <c r="E86" s="34" t="n">
        <v>51981.6428354487</v>
      </c>
      <c r="F86" s="34" t="n">
        <v>2564717.14154926</v>
      </c>
      <c r="G86" s="34" t="n">
        <v>2280867.50963974</v>
      </c>
      <c r="H86" s="34" t="n">
        <v>1120736.61951273</v>
      </c>
      <c r="I86" s="34" t="n">
        <v>132848.991973274</v>
      </c>
      <c r="J86" s="34" t="n">
        <v>135325.341921225</v>
      </c>
      <c r="K86" s="34" t="n">
        <v>138302.4994435</v>
      </c>
      <c r="L86" s="34" t="n">
        <v>141345.154431256</v>
      </c>
    </row>
    <row r="87" customFormat="false" ht="15" hidden="false" customHeight="false" outlineLevel="0" collapsed="false">
      <c r="A87" s="53" t="s">
        <v>863</v>
      </c>
      <c r="B87" s="19" t="s">
        <v>864</v>
      </c>
      <c r="C87" s="20" t="s">
        <v>32</v>
      </c>
      <c r="D87" s="53" t="s">
        <v>865</v>
      </c>
      <c r="E87" s="34" t="n">
        <v>24418.019014862</v>
      </c>
      <c r="F87" s="34" t="n">
        <v>116821.596907305</v>
      </c>
      <c r="G87" s="34" t="n">
        <v>7638.33530605401</v>
      </c>
      <c r="H87" s="34" t="n">
        <v>3259.22317247925</v>
      </c>
      <c r="I87" s="34" t="n">
        <v>3345.59605839485</v>
      </c>
      <c r="J87" s="34" t="n">
        <v>3420.62095010007</v>
      </c>
      <c r="K87" s="34" t="n">
        <v>3495.87461100231</v>
      </c>
      <c r="L87" s="34" t="n">
        <v>3572.78385244441</v>
      </c>
    </row>
    <row r="88" customFormat="false" ht="15" hidden="false" customHeight="false" outlineLevel="0" collapsed="false">
      <c r="A88" s="53" t="s">
        <v>866</v>
      </c>
      <c r="B88" s="19" t="s">
        <v>867</v>
      </c>
      <c r="C88" s="20" t="s">
        <v>32</v>
      </c>
      <c r="D88" s="53" t="s">
        <v>868</v>
      </c>
      <c r="E88" s="34" t="n">
        <v>0</v>
      </c>
      <c r="F88" s="34" t="n">
        <v>11098087.015253</v>
      </c>
      <c r="G88" s="34" t="n">
        <v>20927249.9640328</v>
      </c>
      <c r="H88" s="34" t="n">
        <v>25752600.6677267</v>
      </c>
      <c r="I88" s="34" t="n">
        <v>26319157.0083361</v>
      </c>
      <c r="J88" s="34" t="n">
        <v>26898178.4625194</v>
      </c>
      <c r="K88" s="34" t="n">
        <v>27489938.3886949</v>
      </c>
      <c r="L88" s="34" t="n">
        <v>28094717.0332462</v>
      </c>
    </row>
    <row r="89" customFormat="false" ht="15" hidden="false" customHeight="false" outlineLevel="0" collapsed="false">
      <c r="A89" s="53" t="s">
        <v>869</v>
      </c>
      <c r="B89" s="19" t="s">
        <v>870</v>
      </c>
      <c r="C89" s="20" t="s">
        <v>32</v>
      </c>
      <c r="D89" s="53" t="s">
        <v>871</v>
      </c>
      <c r="E89" s="34" t="n">
        <v>0</v>
      </c>
      <c r="F89" s="34" t="n">
        <v>11231547.6716055</v>
      </c>
      <c r="G89" s="34" t="n">
        <v>20792110.3010624</v>
      </c>
      <c r="H89" s="34" t="n">
        <v>25877689.032964</v>
      </c>
      <c r="I89" s="34" t="n">
        <v>26781770.320698</v>
      </c>
      <c r="J89" s="34" t="n">
        <v>27370969.2677533</v>
      </c>
      <c r="K89" s="34" t="n">
        <v>27973130.5916439</v>
      </c>
      <c r="L89" s="34" t="n">
        <v>28588539.4646601</v>
      </c>
    </row>
    <row r="90" customFormat="false" ht="15" hidden="false" customHeight="false" outlineLevel="0" collapsed="false">
      <c r="A90" s="53" t="s">
        <v>872</v>
      </c>
      <c r="B90" s="19" t="s">
        <v>873</v>
      </c>
      <c r="C90" s="20" t="s">
        <v>32</v>
      </c>
      <c r="D90" s="53" t="s">
        <v>874</v>
      </c>
      <c r="E90" s="34" t="n">
        <v>3621808.72867649</v>
      </c>
      <c r="F90" s="34" t="n">
        <v>8955924.53401194</v>
      </c>
      <c r="G90" s="34" t="n">
        <v>6625811.37658076</v>
      </c>
      <c r="H90" s="34" t="n">
        <v>8138805.81292294</v>
      </c>
      <c r="I90" s="34" t="n">
        <v>8318151.95208686</v>
      </c>
      <c r="J90" s="34" t="n">
        <v>8500841.16368051</v>
      </c>
      <c r="K90" s="34" t="n">
        <v>8687549.53792924</v>
      </c>
      <c r="L90" s="34" t="n">
        <v>8878365.49641143</v>
      </c>
    </row>
    <row r="91" customFormat="false" ht="15" hidden="false" customHeight="false" outlineLevel="0" collapsed="false">
      <c r="A91" s="53" t="s">
        <v>875</v>
      </c>
      <c r="B91" s="19" t="s">
        <v>876</v>
      </c>
      <c r="C91" s="20" t="s">
        <v>32</v>
      </c>
      <c r="D91" s="53" t="s">
        <v>877</v>
      </c>
      <c r="E91" s="34" t="n">
        <v>51981.6428354487</v>
      </c>
      <c r="F91" s="34" t="n">
        <v>2616698.78438471</v>
      </c>
      <c r="G91" s="34" t="n">
        <v>4897566.29402445</v>
      </c>
      <c r="H91" s="34" t="n">
        <v>6018302.91353718</v>
      </c>
      <c r="I91" s="34" t="n">
        <v>6151151.90551045</v>
      </c>
      <c r="J91" s="34" t="n">
        <v>6286477.24743168</v>
      </c>
      <c r="K91" s="34" t="n">
        <v>6424779.74687518</v>
      </c>
      <c r="L91" s="34" t="n">
        <v>6566124.90130643</v>
      </c>
    </row>
    <row r="92" customFormat="false" ht="15" hidden="false" customHeight="false" outlineLevel="0" collapsed="false">
      <c r="A92" s="53" t="s">
        <v>878</v>
      </c>
      <c r="B92" s="19" t="s">
        <v>879</v>
      </c>
      <c r="C92" s="20" t="s">
        <v>32</v>
      </c>
      <c r="D92" s="53" t="s">
        <v>880</v>
      </c>
      <c r="E92" s="34" t="n">
        <v>24418.019014862</v>
      </c>
      <c r="F92" s="34" t="n">
        <v>141239.615922167</v>
      </c>
      <c r="G92" s="34" t="n">
        <v>148877.951228221</v>
      </c>
      <c r="H92" s="34" t="n">
        <v>152137.174400701</v>
      </c>
      <c r="I92" s="34" t="n">
        <v>155482.770459095</v>
      </c>
      <c r="J92" s="34" t="n">
        <v>158903.391409195</v>
      </c>
      <c r="K92" s="34" t="n">
        <v>162399.266020198</v>
      </c>
      <c r="L92" s="34" t="n">
        <v>165972.049872642</v>
      </c>
    </row>
    <row r="93" customFormat="false" ht="15" hidden="false" customHeight="false" outlineLevel="0" collapsed="false">
      <c r="A93" s="53" t="s">
        <v>881</v>
      </c>
      <c r="B93" s="19" t="s">
        <v>882</v>
      </c>
      <c r="C93" s="20" t="s">
        <v>32</v>
      </c>
      <c r="D93" s="53" t="s">
        <v>883</v>
      </c>
      <c r="E93" s="34" t="n">
        <v>29591589.2857143</v>
      </c>
      <c r="F93" s="34" t="n">
        <v>18169748.4375</v>
      </c>
      <c r="G93" s="34" t="n">
        <v>476422.321428571</v>
      </c>
      <c r="H93" s="34" t="n">
        <v>476422.321428571</v>
      </c>
      <c r="I93" s="34" t="n">
        <v>476422.321428571</v>
      </c>
      <c r="J93" s="34" t="n">
        <v>476422.321428571</v>
      </c>
      <c r="K93" s="34" t="n">
        <v>476422.321428571</v>
      </c>
      <c r="L93" s="34" t="n">
        <v>476422.321428571</v>
      </c>
    </row>
    <row r="94" customFormat="false" ht="15" hidden="false" customHeight="false" outlineLevel="0" collapsed="false">
      <c r="A94" s="60"/>
      <c r="B94" s="10" t="s">
        <v>884</v>
      </c>
    </row>
    <row r="95" customFormat="false" ht="23.85" hidden="false" customHeight="false" outlineLevel="0" collapsed="false">
      <c r="A95" s="53" t="s">
        <v>885</v>
      </c>
      <c r="B95" s="19" t="s">
        <v>886</v>
      </c>
      <c r="C95" s="20" t="s">
        <v>32</v>
      </c>
      <c r="D95" s="53" t="s">
        <v>887</v>
      </c>
      <c r="E95" s="34" t="n">
        <v>147321.428571429</v>
      </c>
      <c r="F95" s="34" t="n">
        <v>0</v>
      </c>
      <c r="G95" s="34" t="n">
        <v>0</v>
      </c>
      <c r="H95" s="34" t="n">
        <v>0</v>
      </c>
      <c r="I95" s="34" t="n">
        <v>0</v>
      </c>
      <c r="J95" s="34" t="n">
        <v>0</v>
      </c>
      <c r="K95" s="34" t="n">
        <v>0</v>
      </c>
      <c r="L95" s="34" t="n">
        <v>0</v>
      </c>
    </row>
    <row r="96" customFormat="false" ht="15" hidden="false" customHeight="false" outlineLevel="0" collapsed="false">
      <c r="A96" s="53" t="s">
        <v>888</v>
      </c>
      <c r="B96" s="19" t="s">
        <v>889</v>
      </c>
      <c r="C96" s="20" t="s">
        <v>32</v>
      </c>
      <c r="D96" s="53" t="s">
        <v>887</v>
      </c>
      <c r="E96" s="34" t="n">
        <v>0</v>
      </c>
      <c r="F96" s="34" t="n">
        <v>736.607142857143</v>
      </c>
      <c r="G96" s="34" t="n">
        <v>2946.42857142857</v>
      </c>
      <c r="H96" s="34" t="n">
        <v>2946.42857142857</v>
      </c>
      <c r="I96" s="34" t="n">
        <v>2946.42857142857</v>
      </c>
      <c r="J96" s="34" t="n">
        <v>2946.42857142857</v>
      </c>
      <c r="K96" s="34" t="n">
        <v>2946.42857142857</v>
      </c>
      <c r="L96" s="34" t="n">
        <v>2946.42857142857</v>
      </c>
    </row>
    <row r="97" customFormat="false" ht="23.85" hidden="false" customHeight="false" outlineLevel="0" collapsed="false">
      <c r="A97" s="53" t="s">
        <v>890</v>
      </c>
      <c r="B97" s="19" t="s">
        <v>891</v>
      </c>
      <c r="C97" s="20" t="s">
        <v>32</v>
      </c>
      <c r="D97" s="53" t="s">
        <v>892</v>
      </c>
      <c r="E97" s="34" t="n">
        <v>321428.571428571</v>
      </c>
      <c r="F97" s="34" t="n">
        <v>0</v>
      </c>
      <c r="G97" s="34" t="n">
        <v>0</v>
      </c>
      <c r="H97" s="34" t="n">
        <v>0</v>
      </c>
      <c r="I97" s="34" t="n">
        <v>0</v>
      </c>
      <c r="J97" s="34" t="n">
        <v>0</v>
      </c>
      <c r="K97" s="34" t="n">
        <v>0</v>
      </c>
      <c r="L97" s="34" t="n">
        <v>0</v>
      </c>
    </row>
    <row r="98" customFormat="false" ht="15" hidden="false" customHeight="false" outlineLevel="0" collapsed="false">
      <c r="A98" s="53" t="s">
        <v>893</v>
      </c>
      <c r="B98" s="19" t="s">
        <v>894</v>
      </c>
      <c r="C98" s="20" t="s">
        <v>32</v>
      </c>
      <c r="D98" s="53" t="s">
        <v>892</v>
      </c>
      <c r="E98" s="34" t="n">
        <v>0</v>
      </c>
      <c r="F98" s="34" t="n">
        <v>1607.14285714286</v>
      </c>
      <c r="G98" s="34" t="n">
        <v>6428.57142857143</v>
      </c>
      <c r="H98" s="34" t="n">
        <v>6428.57142857143</v>
      </c>
      <c r="I98" s="34" t="n">
        <v>6428.57142857143</v>
      </c>
      <c r="J98" s="34" t="n">
        <v>6428.57142857143</v>
      </c>
      <c r="K98" s="34" t="n">
        <v>6428.57142857143</v>
      </c>
      <c r="L98" s="34" t="n">
        <v>6428.57142857143</v>
      </c>
    </row>
    <row r="99" customFormat="false" ht="23.85" hidden="false" customHeight="false" outlineLevel="0" collapsed="false">
      <c r="A99" s="53" t="s">
        <v>895</v>
      </c>
      <c r="B99" s="19" t="s">
        <v>896</v>
      </c>
      <c r="C99" s="20" t="s">
        <v>32</v>
      </c>
      <c r="D99" s="53" t="s">
        <v>897</v>
      </c>
      <c r="E99" s="34" t="n">
        <v>1339285.71428571</v>
      </c>
      <c r="F99" s="34" t="n">
        <v>892857.142857143</v>
      </c>
      <c r="G99" s="34" t="n">
        <v>0</v>
      </c>
      <c r="H99" s="34" t="n">
        <v>0</v>
      </c>
      <c r="I99" s="34" t="n">
        <v>0</v>
      </c>
      <c r="J99" s="34" t="n">
        <v>0</v>
      </c>
      <c r="K99" s="34" t="n">
        <v>0</v>
      </c>
      <c r="L99" s="34" t="n">
        <v>0</v>
      </c>
    </row>
    <row r="100" customFormat="false" ht="15" hidden="false" customHeight="false" outlineLevel="0" collapsed="false">
      <c r="A100" s="53" t="s">
        <v>898</v>
      </c>
      <c r="B100" s="19" t="s">
        <v>899</v>
      </c>
      <c r="C100" s="20" t="s">
        <v>32</v>
      </c>
      <c r="D100" s="53" t="s">
        <v>897</v>
      </c>
      <c r="E100" s="34" t="n">
        <v>0</v>
      </c>
      <c r="F100" s="34" t="n">
        <v>11160.7142857143</v>
      </c>
      <c r="G100" s="34" t="n">
        <v>44642.8571428571</v>
      </c>
      <c r="H100" s="34" t="n">
        <v>44642.8571428571</v>
      </c>
      <c r="I100" s="34" t="n">
        <v>44642.8571428571</v>
      </c>
      <c r="J100" s="34" t="n">
        <v>44642.8571428571</v>
      </c>
      <c r="K100" s="34" t="n">
        <v>44642.8571428571</v>
      </c>
      <c r="L100" s="34" t="n">
        <v>44642.8571428571</v>
      </c>
    </row>
    <row r="101" customFormat="false" ht="23.85" hidden="false" customHeight="false" outlineLevel="0" collapsed="false">
      <c r="A101" s="53" t="s">
        <v>900</v>
      </c>
      <c r="B101" s="19" t="s">
        <v>901</v>
      </c>
      <c r="C101" s="20" t="s">
        <v>32</v>
      </c>
      <c r="D101" s="53" t="s">
        <v>902</v>
      </c>
      <c r="E101" s="34" t="n">
        <v>10953696.4285714</v>
      </c>
      <c r="F101" s="34" t="n">
        <v>7302464.28571429</v>
      </c>
      <c r="G101" s="34" t="n">
        <v>0</v>
      </c>
      <c r="H101" s="34" t="n">
        <v>0</v>
      </c>
      <c r="I101" s="34" t="n">
        <v>0</v>
      </c>
      <c r="J101" s="34" t="n">
        <v>0</v>
      </c>
      <c r="K101" s="34" t="n">
        <v>0</v>
      </c>
      <c r="L101" s="34" t="n">
        <v>0</v>
      </c>
    </row>
    <row r="102" customFormat="false" ht="15" hidden="false" customHeight="false" outlineLevel="0" collapsed="false">
      <c r="A102" s="53" t="s">
        <v>903</v>
      </c>
      <c r="B102" s="19" t="s">
        <v>904</v>
      </c>
      <c r="C102" s="20" t="s">
        <v>32</v>
      </c>
      <c r="D102" s="53" t="s">
        <v>902</v>
      </c>
      <c r="E102" s="34" t="n">
        <v>0</v>
      </c>
      <c r="F102" s="34" t="n">
        <v>456404.017857143</v>
      </c>
      <c r="G102" s="34" t="n">
        <v>1825616.07142857</v>
      </c>
      <c r="H102" s="34" t="n">
        <v>1825616.07142857</v>
      </c>
      <c r="I102" s="34" t="n">
        <v>1825616.07142857</v>
      </c>
      <c r="J102" s="34" t="n">
        <v>1825616.07142857</v>
      </c>
      <c r="K102" s="34" t="n">
        <v>1825616.07142857</v>
      </c>
      <c r="L102" s="34" t="n">
        <v>1825616.07142857</v>
      </c>
    </row>
    <row r="103" customFormat="false" ht="23.85" hidden="false" customHeight="false" outlineLevel="0" collapsed="false">
      <c r="A103" s="53" t="s">
        <v>905</v>
      </c>
      <c r="B103" s="19" t="s">
        <v>906</v>
      </c>
      <c r="C103" s="20" t="s">
        <v>32</v>
      </c>
      <c r="D103" s="53" t="s">
        <v>907</v>
      </c>
      <c r="E103" s="34" t="n">
        <v>13343250</v>
      </c>
      <c r="F103" s="34" t="n">
        <v>8895500</v>
      </c>
      <c r="G103" s="34" t="n">
        <v>0</v>
      </c>
      <c r="H103" s="34" t="n">
        <v>0</v>
      </c>
      <c r="I103" s="34" t="n">
        <v>0</v>
      </c>
      <c r="J103" s="34" t="n">
        <v>0</v>
      </c>
      <c r="K103" s="34" t="n">
        <v>0</v>
      </c>
      <c r="L103" s="34" t="n">
        <v>0</v>
      </c>
    </row>
    <row r="104" customFormat="false" ht="15" hidden="false" customHeight="false" outlineLevel="0" collapsed="false">
      <c r="A104" s="53" t="s">
        <v>908</v>
      </c>
      <c r="B104" s="19" t="s">
        <v>909</v>
      </c>
      <c r="C104" s="20" t="s">
        <v>32</v>
      </c>
      <c r="D104" s="53" t="s">
        <v>907</v>
      </c>
      <c r="E104" s="34" t="n">
        <v>0</v>
      </c>
      <c r="F104" s="34" t="n">
        <v>111193.75</v>
      </c>
      <c r="G104" s="34" t="n">
        <v>444775</v>
      </c>
      <c r="H104" s="34" t="n">
        <v>444775</v>
      </c>
      <c r="I104" s="34" t="n">
        <v>444775</v>
      </c>
      <c r="J104" s="34" t="n">
        <v>444775</v>
      </c>
      <c r="K104" s="34" t="n">
        <v>444775</v>
      </c>
      <c r="L104" s="34" t="n">
        <v>444775</v>
      </c>
    </row>
    <row r="105" customFormat="false" ht="23.85" hidden="false" customHeight="false" outlineLevel="0" collapsed="false">
      <c r="A105" s="53" t="s">
        <v>910</v>
      </c>
      <c r="B105" s="19" t="s">
        <v>911</v>
      </c>
      <c r="C105" s="20" t="s">
        <v>32</v>
      </c>
      <c r="D105" s="53" t="s">
        <v>912</v>
      </c>
      <c r="E105" s="34" t="n">
        <v>160714.285714286</v>
      </c>
      <c r="F105" s="34" t="n">
        <v>17857.1428571429</v>
      </c>
      <c r="G105" s="34" t="n">
        <v>0</v>
      </c>
      <c r="H105" s="34" t="n">
        <v>0</v>
      </c>
      <c r="I105" s="34" t="n">
        <v>0</v>
      </c>
      <c r="J105" s="34" t="n">
        <v>0</v>
      </c>
      <c r="K105" s="34" t="n">
        <v>0</v>
      </c>
      <c r="L105" s="34" t="n">
        <v>0</v>
      </c>
    </row>
    <row r="106" customFormat="false" ht="15" hidden="false" customHeight="false" outlineLevel="0" collapsed="false">
      <c r="A106" s="53" t="s">
        <v>913</v>
      </c>
      <c r="B106" s="19" t="s">
        <v>914</v>
      </c>
      <c r="C106" s="20" t="s">
        <v>32</v>
      </c>
      <c r="D106" s="53" t="s">
        <v>912</v>
      </c>
      <c r="E106" s="34" t="n">
        <v>0</v>
      </c>
      <c r="F106" s="34" t="n">
        <v>892.857142857143</v>
      </c>
      <c r="G106" s="34" t="n">
        <v>3571.42857142857</v>
      </c>
      <c r="H106" s="34" t="n">
        <v>3571.42857142857</v>
      </c>
      <c r="I106" s="34" t="n">
        <v>3571.42857142857</v>
      </c>
      <c r="J106" s="34" t="n">
        <v>3571.42857142857</v>
      </c>
      <c r="K106" s="34" t="n">
        <v>3571.42857142857</v>
      </c>
      <c r="L106" s="34" t="n">
        <v>3571.42857142857</v>
      </c>
    </row>
    <row r="107" customFormat="false" ht="23.85" hidden="false" customHeight="false" outlineLevel="0" collapsed="false">
      <c r="A107" s="53" t="s">
        <v>915</v>
      </c>
      <c r="B107" s="19" t="s">
        <v>916</v>
      </c>
      <c r="C107" s="20" t="s">
        <v>32</v>
      </c>
      <c r="D107" s="53" t="s">
        <v>917</v>
      </c>
      <c r="E107" s="34" t="n">
        <v>26785.7142857143</v>
      </c>
      <c r="F107" s="34" t="n">
        <v>62500</v>
      </c>
      <c r="G107" s="34" t="n">
        <v>0</v>
      </c>
      <c r="H107" s="34" t="n">
        <v>0</v>
      </c>
      <c r="I107" s="34" t="n">
        <v>0</v>
      </c>
      <c r="J107" s="34" t="n">
        <v>0</v>
      </c>
      <c r="K107" s="34" t="n">
        <v>0</v>
      </c>
      <c r="L107" s="34" t="n">
        <v>0</v>
      </c>
    </row>
    <row r="108" customFormat="false" ht="15" hidden="false" customHeight="false" outlineLevel="0" collapsed="false">
      <c r="A108" s="53" t="s">
        <v>918</v>
      </c>
      <c r="B108" s="19" t="s">
        <v>919</v>
      </c>
      <c r="C108" s="20" t="s">
        <v>32</v>
      </c>
      <c r="D108" s="53" t="s">
        <v>917</v>
      </c>
      <c r="E108" s="34" t="n">
        <v>0</v>
      </c>
      <c r="F108" s="34" t="n">
        <v>446.428571428571</v>
      </c>
      <c r="G108" s="34" t="n">
        <v>1785.71428571429</v>
      </c>
      <c r="H108" s="34" t="n">
        <v>1785.71428571429</v>
      </c>
      <c r="I108" s="34" t="n">
        <v>1785.71428571429</v>
      </c>
      <c r="J108" s="34" t="n">
        <v>1785.71428571429</v>
      </c>
      <c r="K108" s="34" t="n">
        <v>1785.71428571429</v>
      </c>
      <c r="L108" s="34" t="n">
        <v>1785.71428571429</v>
      </c>
    </row>
    <row r="109" customFormat="false" ht="23.85" hidden="false" customHeight="false" outlineLevel="0" collapsed="false">
      <c r="A109" s="53" t="s">
        <v>920</v>
      </c>
      <c r="B109" s="19" t="s">
        <v>921</v>
      </c>
      <c r="C109" s="20" t="s">
        <v>32</v>
      </c>
      <c r="D109" s="53" t="s">
        <v>922</v>
      </c>
      <c r="E109" s="34" t="n">
        <v>2968750</v>
      </c>
      <c r="F109" s="34" t="n">
        <v>156250</v>
      </c>
      <c r="G109" s="34" t="n">
        <v>0</v>
      </c>
      <c r="H109" s="34" t="n">
        <v>0</v>
      </c>
      <c r="I109" s="34" t="n">
        <v>0</v>
      </c>
      <c r="J109" s="34" t="n">
        <v>0</v>
      </c>
      <c r="K109" s="34" t="n">
        <v>0</v>
      </c>
      <c r="L109" s="34" t="n">
        <v>0</v>
      </c>
    </row>
    <row r="110" customFormat="false" ht="23.85" hidden="false" customHeight="false" outlineLevel="0" collapsed="false">
      <c r="A110" s="53" t="s">
        <v>923</v>
      </c>
      <c r="B110" s="19" t="s">
        <v>924</v>
      </c>
      <c r="C110" s="20" t="s">
        <v>32</v>
      </c>
      <c r="D110" s="53" t="s">
        <v>922</v>
      </c>
      <c r="E110" s="34" t="n">
        <v>0</v>
      </c>
      <c r="F110" s="34" t="n">
        <v>15625</v>
      </c>
      <c r="G110" s="34" t="n">
        <v>62500</v>
      </c>
      <c r="H110" s="34" t="n">
        <v>62500</v>
      </c>
      <c r="I110" s="34" t="n">
        <v>62500</v>
      </c>
      <c r="J110" s="34" t="n">
        <v>62500</v>
      </c>
      <c r="K110" s="34" t="n">
        <v>62500</v>
      </c>
      <c r="L110" s="34" t="n">
        <v>62500</v>
      </c>
    </row>
    <row r="111" customFormat="false" ht="23.85" hidden="false" customHeight="false" outlineLevel="0" collapsed="false">
      <c r="A111" s="53" t="s">
        <v>925</v>
      </c>
      <c r="B111" s="19" t="s">
        <v>926</v>
      </c>
      <c r="C111" s="20" t="s">
        <v>32</v>
      </c>
      <c r="D111" s="53" t="s">
        <v>927</v>
      </c>
      <c r="E111" s="34" t="n">
        <v>44642.8571428571</v>
      </c>
      <c r="F111" s="34" t="n">
        <v>178571.428571429</v>
      </c>
      <c r="G111" s="34" t="n">
        <v>0</v>
      </c>
      <c r="H111" s="34" t="n">
        <v>0</v>
      </c>
      <c r="I111" s="34" t="n">
        <v>0</v>
      </c>
      <c r="J111" s="34" t="n">
        <v>0</v>
      </c>
      <c r="K111" s="34" t="n">
        <v>0</v>
      </c>
      <c r="L111" s="34" t="n">
        <v>0</v>
      </c>
    </row>
    <row r="112" customFormat="false" ht="15" hidden="false" customHeight="false" outlineLevel="0" collapsed="false">
      <c r="A112" s="53" t="s">
        <v>928</v>
      </c>
      <c r="B112" s="19" t="s">
        <v>929</v>
      </c>
      <c r="C112" s="20" t="s">
        <v>32</v>
      </c>
      <c r="D112" s="53" t="s">
        <v>927</v>
      </c>
      <c r="E112" s="34" t="n">
        <v>0</v>
      </c>
      <c r="F112" s="34" t="n">
        <v>5580.35714285714</v>
      </c>
      <c r="G112" s="34" t="n">
        <v>22321.4285714286</v>
      </c>
      <c r="H112" s="34" t="n">
        <v>22321.4285714286</v>
      </c>
      <c r="I112" s="34" t="n">
        <v>22321.4285714286</v>
      </c>
      <c r="J112" s="34" t="n">
        <v>22321.4285714286</v>
      </c>
      <c r="K112" s="34" t="n">
        <v>22321.4285714286</v>
      </c>
      <c r="L112" s="34" t="n">
        <v>22321.4285714286</v>
      </c>
    </row>
    <row r="113" customFormat="false" ht="23.85" hidden="false" customHeight="false" outlineLevel="0" collapsed="false">
      <c r="A113" s="53" t="s">
        <v>930</v>
      </c>
      <c r="B113" s="19" t="s">
        <v>931</v>
      </c>
      <c r="C113" s="20" t="s">
        <v>32</v>
      </c>
      <c r="D113" s="53" t="s">
        <v>932</v>
      </c>
      <c r="E113" s="34" t="n">
        <v>214285.714285714</v>
      </c>
      <c r="F113" s="34" t="n">
        <v>500000</v>
      </c>
      <c r="G113" s="34" t="n">
        <v>0</v>
      </c>
      <c r="H113" s="34" t="n">
        <v>0</v>
      </c>
      <c r="I113" s="34" t="n">
        <v>0</v>
      </c>
      <c r="J113" s="34" t="n">
        <v>0</v>
      </c>
      <c r="K113" s="34" t="n">
        <v>0</v>
      </c>
      <c r="L113" s="34" t="n">
        <v>0</v>
      </c>
    </row>
    <row r="114" customFormat="false" ht="15" hidden="false" customHeight="false" outlineLevel="0" collapsed="false">
      <c r="A114" s="53" t="s">
        <v>933</v>
      </c>
      <c r="B114" s="19" t="s">
        <v>934</v>
      </c>
      <c r="C114" s="20" t="s">
        <v>32</v>
      </c>
      <c r="D114" s="53" t="s">
        <v>932</v>
      </c>
      <c r="E114" s="34" t="n">
        <v>0</v>
      </c>
      <c r="F114" s="34" t="n">
        <v>8928.57142857143</v>
      </c>
      <c r="G114" s="34" t="n">
        <v>35714.2857142857</v>
      </c>
      <c r="H114" s="34" t="n">
        <v>35714.2857142857</v>
      </c>
      <c r="I114" s="34" t="n">
        <v>35714.2857142857</v>
      </c>
      <c r="J114" s="34" t="n">
        <v>35714.2857142857</v>
      </c>
      <c r="K114" s="34" t="n">
        <v>35714.2857142857</v>
      </c>
      <c r="L114" s="34" t="n">
        <v>35714.2857142857</v>
      </c>
    </row>
    <row r="115" customFormat="false" ht="23.85" hidden="false" customHeight="false" outlineLevel="0" collapsed="false">
      <c r="A115" s="53" t="s">
        <v>935</v>
      </c>
      <c r="B115" s="19" t="s">
        <v>936</v>
      </c>
      <c r="C115" s="20" t="s">
        <v>32</v>
      </c>
      <c r="D115" s="53" t="s">
        <v>937</v>
      </c>
      <c r="E115" s="34" t="n">
        <v>53571.4285714286</v>
      </c>
      <c r="F115" s="34" t="n">
        <v>0</v>
      </c>
      <c r="G115" s="34" t="n">
        <v>0</v>
      </c>
      <c r="H115" s="34" t="n">
        <v>0</v>
      </c>
      <c r="I115" s="34" t="n">
        <v>0</v>
      </c>
      <c r="J115" s="34" t="n">
        <v>0</v>
      </c>
      <c r="K115" s="34" t="n">
        <v>0</v>
      </c>
      <c r="L115" s="34" t="n">
        <v>0</v>
      </c>
    </row>
    <row r="116" customFormat="false" ht="15" hidden="false" customHeight="false" outlineLevel="0" collapsed="false">
      <c r="A116" s="53" t="s">
        <v>938</v>
      </c>
      <c r="B116" s="19" t="s">
        <v>939</v>
      </c>
      <c r="C116" s="20" t="s">
        <v>32</v>
      </c>
      <c r="D116" s="53" t="s">
        <v>937</v>
      </c>
      <c r="E116" s="34" t="n">
        <v>0</v>
      </c>
      <c r="F116" s="34" t="n">
        <v>2678.57142857143</v>
      </c>
      <c r="G116" s="34" t="n">
        <v>10714.2857142857</v>
      </c>
      <c r="H116" s="34" t="n">
        <v>10714.2857142857</v>
      </c>
      <c r="I116" s="34" t="n">
        <v>10714.2857142857</v>
      </c>
      <c r="J116" s="34" t="n">
        <v>10714.2857142857</v>
      </c>
      <c r="K116" s="34" t="n">
        <v>8035.71428571429</v>
      </c>
      <c r="L116" s="34" t="n">
        <v>0</v>
      </c>
    </row>
    <row r="117" customFormat="false" ht="23.85" hidden="false" customHeight="false" outlineLevel="0" collapsed="false">
      <c r="A117" s="53" t="s">
        <v>940</v>
      </c>
      <c r="B117" s="19" t="s">
        <v>941</v>
      </c>
      <c r="C117" s="20" t="s">
        <v>32</v>
      </c>
      <c r="D117" s="53" t="s">
        <v>942</v>
      </c>
      <c r="E117" s="34" t="n">
        <v>17857.1428571429</v>
      </c>
      <c r="F117" s="34" t="n">
        <v>44642.8571428571</v>
      </c>
      <c r="G117" s="34" t="n">
        <v>0</v>
      </c>
      <c r="H117" s="34" t="n">
        <v>0</v>
      </c>
      <c r="I117" s="34" t="n">
        <v>0</v>
      </c>
      <c r="J117" s="34" t="n">
        <v>0</v>
      </c>
      <c r="K117" s="34" t="n">
        <v>0</v>
      </c>
      <c r="L117" s="34" t="n">
        <v>0</v>
      </c>
    </row>
    <row r="118" customFormat="false" ht="15" hidden="false" customHeight="false" outlineLevel="0" collapsed="false">
      <c r="A118" s="53" t="s">
        <v>943</v>
      </c>
      <c r="B118" s="19" t="s">
        <v>944</v>
      </c>
      <c r="C118" s="20" t="s">
        <v>32</v>
      </c>
      <c r="D118" s="53" t="s">
        <v>942</v>
      </c>
      <c r="E118" s="34" t="n">
        <v>0</v>
      </c>
      <c r="F118" s="34" t="n">
        <v>312.5</v>
      </c>
      <c r="G118" s="34" t="n">
        <v>1250</v>
      </c>
      <c r="H118" s="34" t="n">
        <v>1250</v>
      </c>
      <c r="I118" s="34" t="n">
        <v>1250</v>
      </c>
      <c r="J118" s="34" t="n">
        <v>1250</v>
      </c>
      <c r="K118" s="34" t="n">
        <v>1250</v>
      </c>
      <c r="L118" s="34" t="n">
        <v>1250</v>
      </c>
    </row>
    <row r="119" customFormat="false" ht="23.85" hidden="false" customHeight="false" outlineLevel="0" collapsed="false">
      <c r="A119" s="53" t="s">
        <v>945</v>
      </c>
      <c r="B119" s="19" t="s">
        <v>946</v>
      </c>
      <c r="C119" s="20" t="s">
        <v>32</v>
      </c>
      <c r="D119" s="53" t="s">
        <v>947</v>
      </c>
      <c r="E119" s="34" t="n">
        <v>0</v>
      </c>
      <c r="F119" s="34" t="n">
        <v>119105.580357143</v>
      </c>
      <c r="G119" s="34" t="n">
        <v>476422.321428571</v>
      </c>
      <c r="H119" s="34" t="n">
        <v>476422.321428571</v>
      </c>
      <c r="I119" s="34" t="n">
        <v>476422.321428571</v>
      </c>
      <c r="J119" s="34" t="n">
        <v>476422.321428571</v>
      </c>
      <c r="K119" s="34" t="n">
        <v>476422.321428571</v>
      </c>
      <c r="L119" s="34" t="n">
        <v>476422.321428571</v>
      </c>
    </row>
    <row r="120" customFormat="false" ht="23.85" hidden="false" customHeight="false" outlineLevel="0" collapsed="false">
      <c r="A120" s="53" t="s">
        <v>948</v>
      </c>
      <c r="B120" s="19" t="s">
        <v>949</v>
      </c>
      <c r="C120" s="20" t="s">
        <v>32</v>
      </c>
      <c r="D120" s="53" t="s">
        <v>947</v>
      </c>
      <c r="E120" s="34" t="n">
        <v>0</v>
      </c>
      <c r="F120" s="34" t="n">
        <v>1985.09300595238</v>
      </c>
      <c r="G120" s="34" t="n">
        <v>59552.7901785714</v>
      </c>
      <c r="H120" s="34" t="n">
        <v>107195.022321429</v>
      </c>
      <c r="I120" s="34" t="n">
        <v>154837.254464286</v>
      </c>
      <c r="J120" s="34" t="n">
        <v>202479.486607143</v>
      </c>
      <c r="K120" s="34" t="n">
        <v>250121.71875</v>
      </c>
      <c r="L120" s="34" t="n">
        <v>297763.950892857</v>
      </c>
    </row>
    <row r="121" customFormat="false" ht="15" hidden="false" customHeight="false" outlineLevel="0" collapsed="false">
      <c r="A121" s="60"/>
      <c r="B121" s="10" t="s">
        <v>950</v>
      </c>
    </row>
    <row r="122" customFormat="false" ht="15" hidden="false" customHeight="false" outlineLevel="0" collapsed="false">
      <c r="A122" s="53" t="s">
        <v>951</v>
      </c>
      <c r="B122" s="19" t="s">
        <v>952</v>
      </c>
      <c r="C122" s="20" t="s">
        <v>259</v>
      </c>
      <c r="D122" s="53" t="s">
        <v>953</v>
      </c>
      <c r="E122" s="82" t="n">
        <v>0</v>
      </c>
      <c r="F122" s="82" t="n">
        <v>508.187464709204</v>
      </c>
      <c r="G122" s="82" t="n">
        <v>4148.55072463768</v>
      </c>
      <c r="H122" s="82" t="n">
        <v>5000</v>
      </c>
      <c r="I122" s="82" t="n">
        <v>5000</v>
      </c>
      <c r="J122" s="82" t="n">
        <v>5000</v>
      </c>
      <c r="K122" s="82" t="n">
        <v>5000</v>
      </c>
      <c r="L122" s="82" t="n">
        <v>5000</v>
      </c>
    </row>
    <row r="123" customFormat="false" ht="15" hidden="false" customHeight="false" outlineLevel="0" collapsed="false">
      <c r="A123" s="53" t="s">
        <v>954</v>
      </c>
      <c r="B123" s="19" t="s">
        <v>955</v>
      </c>
      <c r="C123" s="20" t="s">
        <v>32</v>
      </c>
      <c r="D123" s="53" t="s">
        <v>956</v>
      </c>
      <c r="E123" s="34" t="n">
        <v>0</v>
      </c>
      <c r="F123" s="34" t="n">
        <v>25458637.1997316</v>
      </c>
      <c r="G123" s="34" t="n">
        <v>210675455.861217</v>
      </c>
      <c r="H123" s="34" t="n">
        <v>259500642.73225</v>
      </c>
      <c r="I123" s="34" t="n">
        <v>265209656.87236</v>
      </c>
      <c r="J123" s="34" t="n">
        <v>271044269.323552</v>
      </c>
      <c r="K123" s="34" t="n">
        <v>277007243.24867</v>
      </c>
      <c r="L123" s="34" t="n">
        <v>283101402.600141</v>
      </c>
    </row>
    <row r="124" customFormat="false" ht="15" hidden="false" customHeight="false" outlineLevel="0" collapsed="false">
      <c r="A124" s="53" t="s">
        <v>957</v>
      </c>
      <c r="B124" s="19" t="s">
        <v>958</v>
      </c>
      <c r="C124" s="20" t="s">
        <v>259</v>
      </c>
      <c r="D124" s="53" t="s">
        <v>959</v>
      </c>
      <c r="E124" s="82" t="n">
        <v>0</v>
      </c>
      <c r="F124" s="82" t="n">
        <v>45.697233201581</v>
      </c>
      <c r="G124" s="82" t="n">
        <v>373.04597826087</v>
      </c>
      <c r="H124" s="82" t="n">
        <v>449.61</v>
      </c>
      <c r="I124" s="82" t="n">
        <v>449.61</v>
      </c>
      <c r="J124" s="82" t="n">
        <v>449.61</v>
      </c>
      <c r="K124" s="82" t="n">
        <v>449.61</v>
      </c>
      <c r="L124" s="82" t="n">
        <v>449.61</v>
      </c>
    </row>
    <row r="125" customFormat="false" ht="23.85" hidden="false" customHeight="false" outlineLevel="0" collapsed="false">
      <c r="A125" s="53" t="s">
        <v>960</v>
      </c>
      <c r="B125" s="19" t="s">
        <v>961</v>
      </c>
      <c r="C125" s="20" t="s">
        <v>32</v>
      </c>
      <c r="D125" s="53" t="s">
        <v>962</v>
      </c>
      <c r="E125" s="34" t="n">
        <v>0</v>
      </c>
      <c r="F125" s="34" t="n">
        <v>9332.41274882975</v>
      </c>
      <c r="G125" s="34" t="n">
        <v>77227.6337778785</v>
      </c>
      <c r="H125" s="34" t="n">
        <v>95125.5594541212</v>
      </c>
      <c r="I125" s="34" t="n">
        <v>97218.3217621118</v>
      </c>
      <c r="J125" s="34" t="n">
        <v>99357.1248408783</v>
      </c>
      <c r="K125" s="34" t="n">
        <v>101542.981587378</v>
      </c>
      <c r="L125" s="34" t="n">
        <v>103776.9271823</v>
      </c>
    </row>
    <row r="126" customFormat="false" ht="15" hidden="false" customHeight="false" outlineLevel="0" collapsed="false">
      <c r="A126" s="53" t="s">
        <v>963</v>
      </c>
      <c r="B126" s="19" t="s">
        <v>964</v>
      </c>
      <c r="C126" s="20" t="s">
        <v>259</v>
      </c>
      <c r="D126" s="53" t="s">
        <v>965</v>
      </c>
      <c r="E126" s="82" t="n">
        <v>0</v>
      </c>
      <c r="F126" s="82" t="n">
        <v>996.04743083004</v>
      </c>
      <c r="G126" s="82" t="n">
        <v>8131.15942028986</v>
      </c>
      <c r="H126" s="82" t="n">
        <v>9800</v>
      </c>
      <c r="I126" s="82" t="n">
        <v>9800</v>
      </c>
      <c r="J126" s="82" t="n">
        <v>9800</v>
      </c>
      <c r="K126" s="82" t="n">
        <v>9800</v>
      </c>
      <c r="L126" s="82" t="n">
        <v>9800</v>
      </c>
    </row>
    <row r="127" customFormat="false" ht="15" hidden="false" customHeight="false" outlineLevel="0" collapsed="false">
      <c r="A127" s="53" t="s">
        <v>966</v>
      </c>
      <c r="B127" s="19" t="s">
        <v>967</v>
      </c>
      <c r="C127" s="20" t="s">
        <v>32</v>
      </c>
      <c r="D127" s="53" t="s">
        <v>968</v>
      </c>
      <c r="E127" s="34" t="n">
        <v>0</v>
      </c>
      <c r="F127" s="34" t="n">
        <v>63113.2926634427</v>
      </c>
      <c r="G127" s="34" t="n">
        <v>522275.469753479</v>
      </c>
      <c r="H127" s="34" t="n">
        <v>643315.660717482</v>
      </c>
      <c r="I127" s="34" t="n">
        <v>657468.605253267</v>
      </c>
      <c r="J127" s="34" t="n">
        <v>671932.914568839</v>
      </c>
      <c r="K127" s="34" t="n">
        <v>686715.438689353</v>
      </c>
      <c r="L127" s="34" t="n">
        <v>701823.178340519</v>
      </c>
    </row>
    <row r="128" customFormat="false" ht="15" hidden="false" customHeight="false" outlineLevel="0" collapsed="false">
      <c r="A128" s="53" t="s">
        <v>969</v>
      </c>
      <c r="B128" s="19" t="s">
        <v>970</v>
      </c>
      <c r="C128" s="20" t="s">
        <v>259</v>
      </c>
      <c r="D128" s="53" t="s">
        <v>971</v>
      </c>
      <c r="E128" s="82" t="n">
        <v>0</v>
      </c>
      <c r="F128" s="82" t="n">
        <v>203.274985883682</v>
      </c>
      <c r="G128" s="82" t="n">
        <v>1659.42028985507</v>
      </c>
      <c r="H128" s="82" t="n">
        <v>2000</v>
      </c>
      <c r="I128" s="82" t="n">
        <v>2000</v>
      </c>
      <c r="J128" s="82" t="n">
        <v>2000</v>
      </c>
      <c r="K128" s="82" t="n">
        <v>2000</v>
      </c>
      <c r="L128" s="82" t="n">
        <v>2000</v>
      </c>
    </row>
    <row r="129" customFormat="false" ht="15" hidden="false" customHeight="false" outlineLevel="0" collapsed="false">
      <c r="A129" s="53" t="s">
        <v>972</v>
      </c>
      <c r="B129" s="19" t="s">
        <v>973</v>
      </c>
      <c r="C129" s="20" t="s">
        <v>32</v>
      </c>
      <c r="D129" s="53" t="s">
        <v>974</v>
      </c>
      <c r="E129" s="34" t="n">
        <v>0</v>
      </c>
      <c r="F129" s="34" t="n">
        <v>195983.870185261</v>
      </c>
      <c r="G129" s="34" t="n">
        <v>1621806.81034886</v>
      </c>
      <c r="H129" s="34" t="n">
        <v>1997669.39130447</v>
      </c>
      <c r="I129" s="34" t="n">
        <v>2041618.11791317</v>
      </c>
      <c r="J129" s="34" t="n">
        <v>2086533.71650726</v>
      </c>
      <c r="K129" s="34" t="n">
        <v>2132437.45827042</v>
      </c>
      <c r="L129" s="34" t="n">
        <v>2179351.08235237</v>
      </c>
    </row>
    <row r="130" customFormat="false" ht="15" hidden="false" customHeight="false" outlineLevel="0" collapsed="false">
      <c r="A130" s="53" t="s">
        <v>975</v>
      </c>
      <c r="B130" s="19" t="s">
        <v>976</v>
      </c>
      <c r="C130" s="20" t="s">
        <v>259</v>
      </c>
      <c r="D130" s="53" t="s">
        <v>977</v>
      </c>
      <c r="E130" s="82" t="n">
        <v>0</v>
      </c>
      <c r="F130" s="82" t="n">
        <v>383.112365894975</v>
      </c>
      <c r="G130" s="82" t="n">
        <v>3127.50942028986</v>
      </c>
      <c r="H130" s="82" t="n">
        <v>3769.4</v>
      </c>
      <c r="I130" s="82" t="n">
        <v>3769.4</v>
      </c>
      <c r="J130" s="82" t="n">
        <v>3769.4</v>
      </c>
      <c r="K130" s="82" t="n">
        <v>3769.4</v>
      </c>
      <c r="L130" s="82" t="n">
        <v>3769.4</v>
      </c>
    </row>
    <row r="131" customFormat="false" ht="15" hidden="false" customHeight="false" outlineLevel="0" collapsed="false">
      <c r="A131" s="53" t="s">
        <v>978</v>
      </c>
      <c r="B131" s="19" t="s">
        <v>979</v>
      </c>
      <c r="C131" s="20" t="s">
        <v>32</v>
      </c>
      <c r="D131" s="53" t="s">
        <v>980</v>
      </c>
      <c r="E131" s="34" t="n">
        <v>0</v>
      </c>
      <c r="F131" s="34" t="n">
        <v>182539.626417555</v>
      </c>
      <c r="G131" s="34" t="n">
        <v>1510552.92970121</v>
      </c>
      <c r="H131" s="34" t="n">
        <v>1860631.81653572</v>
      </c>
      <c r="I131" s="34" t="n">
        <v>1901565.7164995</v>
      </c>
      <c r="J131" s="34" t="n">
        <v>1943400.16226249</v>
      </c>
      <c r="K131" s="34" t="n">
        <v>1986154.96583227</v>
      </c>
      <c r="L131" s="34" t="n">
        <v>2029850.37508057</v>
      </c>
    </row>
    <row r="132" customFormat="false" ht="15" hidden="false" customHeight="false" outlineLevel="0" collapsed="false">
      <c r="A132" s="53" t="s">
        <v>981</v>
      </c>
      <c r="B132" s="19" t="s">
        <v>982</v>
      </c>
      <c r="C132" s="20" t="s">
        <v>259</v>
      </c>
      <c r="D132" s="53" t="s">
        <v>983</v>
      </c>
      <c r="E132" s="82" t="n">
        <v>0</v>
      </c>
      <c r="F132" s="82" t="n">
        <v>16.617730095991</v>
      </c>
      <c r="G132" s="82" t="n">
        <v>135.657608695652</v>
      </c>
      <c r="H132" s="82" t="n">
        <v>163.5</v>
      </c>
      <c r="I132" s="82" t="n">
        <v>163.5</v>
      </c>
      <c r="J132" s="82" t="n">
        <v>163.5</v>
      </c>
      <c r="K132" s="82" t="n">
        <v>163.5</v>
      </c>
      <c r="L132" s="82" t="n">
        <v>163.5</v>
      </c>
    </row>
    <row r="133" customFormat="false" ht="15" hidden="false" customHeight="false" outlineLevel="0" collapsed="false">
      <c r="A133" s="53" t="s">
        <v>984</v>
      </c>
      <c r="B133" s="19" t="s">
        <v>985</v>
      </c>
      <c r="C133" s="20" t="s">
        <v>32</v>
      </c>
      <c r="D133" s="53" t="s">
        <v>986</v>
      </c>
      <c r="E133" s="34" t="n">
        <v>0</v>
      </c>
      <c r="F133" s="34" t="n">
        <v>15198.6078446307</v>
      </c>
      <c r="G133" s="34" t="n">
        <v>125771.603994467</v>
      </c>
      <c r="H133" s="34" t="n">
        <v>154919.859746407</v>
      </c>
      <c r="I133" s="34" t="n">
        <v>158328.096660828</v>
      </c>
      <c r="J133" s="34" t="n">
        <v>161811.314787366</v>
      </c>
      <c r="K133" s="34" t="n">
        <v>165371.163712688</v>
      </c>
      <c r="L133" s="34" t="n">
        <v>169009.329314367</v>
      </c>
    </row>
    <row r="134" customFormat="false" ht="15" hidden="false" customHeight="false" outlineLevel="0" collapsed="false">
      <c r="A134" s="53" t="s">
        <v>987</v>
      </c>
      <c r="B134" s="19" t="s">
        <v>988</v>
      </c>
      <c r="C134" s="20" t="s">
        <v>259</v>
      </c>
      <c r="D134" s="53" t="s">
        <v>989</v>
      </c>
      <c r="E134" s="82" t="n">
        <v>0</v>
      </c>
      <c r="F134" s="82" t="n">
        <v>213.254771315641</v>
      </c>
      <c r="G134" s="82" t="n">
        <v>1740.88952898551</v>
      </c>
      <c r="H134" s="82" t="n">
        <v>2098.19</v>
      </c>
      <c r="I134" s="82" t="n">
        <v>2098.19</v>
      </c>
      <c r="J134" s="82" t="n">
        <v>2098.19</v>
      </c>
      <c r="K134" s="82" t="n">
        <v>2098.19</v>
      </c>
      <c r="L134" s="82" t="n">
        <v>2098.19</v>
      </c>
    </row>
    <row r="135" customFormat="false" ht="15" hidden="false" customHeight="false" outlineLevel="0" collapsed="false">
      <c r="A135" s="53" t="s">
        <v>990</v>
      </c>
      <c r="B135" s="19" t="s">
        <v>991</v>
      </c>
      <c r="C135" s="20" t="s">
        <v>32</v>
      </c>
      <c r="D135" s="53" t="s">
        <v>992</v>
      </c>
      <c r="E135" s="34" t="n">
        <v>0</v>
      </c>
      <c r="F135" s="34" t="n">
        <v>92935.7198899093</v>
      </c>
      <c r="G135" s="34" t="n">
        <v>769062.18506478</v>
      </c>
      <c r="H135" s="34" t="n">
        <v>947296.544391234</v>
      </c>
      <c r="I135" s="34" t="n">
        <v>968137.068367841</v>
      </c>
      <c r="J135" s="34" t="n">
        <v>989436.083871933</v>
      </c>
      <c r="K135" s="34" t="n">
        <v>1011203.67771712</v>
      </c>
      <c r="L135" s="34" t="n">
        <v>1033450.15862689</v>
      </c>
    </row>
    <row r="136" customFormat="false" ht="15" hidden="false" customHeight="false" outlineLevel="0" collapsed="false">
      <c r="A136" s="53" t="s">
        <v>993</v>
      </c>
      <c r="B136" s="19" t="s">
        <v>994</v>
      </c>
      <c r="C136" s="20" t="s">
        <v>259</v>
      </c>
      <c r="D136" s="53" t="s">
        <v>995</v>
      </c>
      <c r="E136" s="82" t="n">
        <v>0</v>
      </c>
      <c r="F136" s="82" t="n">
        <v>0.608808582721626</v>
      </c>
      <c r="G136" s="82" t="n">
        <v>4.96996376811594</v>
      </c>
      <c r="H136" s="82" t="n">
        <v>5.99</v>
      </c>
      <c r="I136" s="82" t="n">
        <v>5.99</v>
      </c>
      <c r="J136" s="82" t="n">
        <v>5.99</v>
      </c>
      <c r="K136" s="82" t="n">
        <v>5.99</v>
      </c>
      <c r="L136" s="82" t="n">
        <v>5.99</v>
      </c>
    </row>
    <row r="137" customFormat="false" ht="15" hidden="false" customHeight="false" outlineLevel="0" collapsed="false">
      <c r="A137" s="53" t="s">
        <v>996</v>
      </c>
      <c r="B137" s="19" t="s">
        <v>997</v>
      </c>
      <c r="C137" s="20" t="s">
        <v>32</v>
      </c>
      <c r="D137" s="53" t="s">
        <v>998</v>
      </c>
      <c r="E137" s="34" t="n">
        <v>0</v>
      </c>
      <c r="F137" s="34" t="n">
        <v>224.242612999302</v>
      </c>
      <c r="G137" s="34" t="n">
        <v>1855.65371573136</v>
      </c>
      <c r="H137" s="34" t="n">
        <v>2285.71159346627</v>
      </c>
      <c r="I137" s="34" t="n">
        <v>2335.99724852253</v>
      </c>
      <c r="J137" s="34" t="n">
        <v>2387.38918799003</v>
      </c>
      <c r="K137" s="34" t="n">
        <v>2439.91175012581</v>
      </c>
      <c r="L137" s="34" t="n">
        <v>2493.58980862857</v>
      </c>
    </row>
    <row r="138" customFormat="false" ht="15" hidden="false" customHeight="false" outlineLevel="0" collapsed="false">
      <c r="A138" s="53" t="s">
        <v>999</v>
      </c>
      <c r="B138" s="19" t="s">
        <v>1000</v>
      </c>
      <c r="C138" s="20" t="s">
        <v>259</v>
      </c>
      <c r="D138" s="53" t="s">
        <v>1001</v>
      </c>
      <c r="E138" s="82" t="n">
        <v>0</v>
      </c>
      <c r="F138" s="82" t="n">
        <v>0.690118577075099</v>
      </c>
      <c r="G138" s="82" t="n">
        <v>5.63373188405797</v>
      </c>
      <c r="H138" s="82" t="n">
        <v>6.79</v>
      </c>
      <c r="I138" s="82" t="n">
        <v>6.79</v>
      </c>
      <c r="J138" s="82" t="n">
        <v>6.79</v>
      </c>
      <c r="K138" s="82" t="n">
        <v>6.79</v>
      </c>
      <c r="L138" s="82" t="n">
        <v>6.79</v>
      </c>
    </row>
    <row r="139" customFormat="false" ht="15" hidden="false" customHeight="false" outlineLevel="0" collapsed="false">
      <c r="A139" s="53" t="s">
        <v>1002</v>
      </c>
      <c r="B139" s="19" t="s">
        <v>1003</v>
      </c>
      <c r="C139" s="20" t="s">
        <v>32</v>
      </c>
      <c r="D139" s="53" t="s">
        <v>1004</v>
      </c>
      <c r="E139" s="34" t="n">
        <v>0</v>
      </c>
      <c r="F139" s="34" t="n">
        <v>142.196259174511</v>
      </c>
      <c r="G139" s="34" t="n">
        <v>1176.70327316914</v>
      </c>
      <c r="H139" s="34" t="n">
        <v>1449.4106797789</v>
      </c>
      <c r="I139" s="34" t="n">
        <v>1481.29771473403</v>
      </c>
      <c r="J139" s="34" t="n">
        <v>1513.88626445818</v>
      </c>
      <c r="K139" s="34" t="n">
        <v>1547.19176227626</v>
      </c>
      <c r="L139" s="34" t="n">
        <v>1581.22998104634</v>
      </c>
    </row>
    <row r="140" customFormat="false" ht="15" hidden="false" customHeight="false" outlineLevel="0" collapsed="false">
      <c r="A140" s="53" t="s">
        <v>1005</v>
      </c>
      <c r="B140" s="19" t="s">
        <v>1006</v>
      </c>
      <c r="C140" s="20" t="s">
        <v>259</v>
      </c>
      <c r="D140" s="53" t="s">
        <v>1007</v>
      </c>
      <c r="E140" s="82" t="n">
        <v>0</v>
      </c>
      <c r="F140" s="82" t="n">
        <v>1.96465273856578</v>
      </c>
      <c r="G140" s="82" t="n">
        <v>16.0382971014493</v>
      </c>
      <c r="H140" s="82" t="n">
        <v>19.33</v>
      </c>
      <c r="I140" s="82" t="n">
        <v>19.33</v>
      </c>
      <c r="J140" s="82" t="n">
        <v>19.33</v>
      </c>
      <c r="K140" s="82" t="n">
        <v>19.33</v>
      </c>
      <c r="L140" s="82" t="n">
        <v>19.33</v>
      </c>
    </row>
    <row r="141" customFormat="false" ht="15" hidden="false" customHeight="false" outlineLevel="0" collapsed="false">
      <c r="A141" s="53" t="s">
        <v>1008</v>
      </c>
      <c r="B141" s="19" t="s">
        <v>1009</v>
      </c>
      <c r="C141" s="20" t="s">
        <v>32</v>
      </c>
      <c r="D141" s="53" t="s">
        <v>1010</v>
      </c>
      <c r="E141" s="34" t="n">
        <v>0</v>
      </c>
      <c r="F141" s="34" t="n">
        <v>1830.59683750169</v>
      </c>
      <c r="G141" s="34" t="n">
        <v>15148.5651102659</v>
      </c>
      <c r="H141" s="34" t="n">
        <v>18659.3277632442</v>
      </c>
      <c r="I141" s="34" t="n">
        <v>19069.8329740356</v>
      </c>
      <c r="J141" s="34" t="n">
        <v>19489.3692994644</v>
      </c>
      <c r="K141" s="34" t="n">
        <v>19918.1354240526</v>
      </c>
      <c r="L141" s="34" t="n">
        <v>20356.3344033818</v>
      </c>
    </row>
    <row r="142" customFormat="false" ht="15" hidden="false" customHeight="false" outlineLevel="0" collapsed="false">
      <c r="A142" s="53" t="s">
        <v>1011</v>
      </c>
      <c r="B142" s="19" t="s">
        <v>1012</v>
      </c>
      <c r="C142" s="20" t="s">
        <v>302</v>
      </c>
      <c r="D142" s="53" t="s">
        <v>1013</v>
      </c>
      <c r="E142" s="82" t="n">
        <v>0</v>
      </c>
      <c r="F142" s="82" t="n">
        <v>406.549971767363</v>
      </c>
      <c r="G142" s="82" t="n">
        <v>3318.84057971015</v>
      </c>
      <c r="H142" s="82" t="n">
        <v>4000</v>
      </c>
      <c r="I142" s="82" t="n">
        <v>4000</v>
      </c>
      <c r="J142" s="82" t="n">
        <v>4000</v>
      </c>
      <c r="K142" s="82" t="n">
        <v>4000</v>
      </c>
      <c r="L142" s="82" t="n">
        <v>4000</v>
      </c>
    </row>
    <row r="143" customFormat="false" ht="15" hidden="false" customHeight="false" outlineLevel="0" collapsed="false">
      <c r="A143" s="53" t="s">
        <v>1014</v>
      </c>
      <c r="B143" s="19" t="s">
        <v>1015</v>
      </c>
      <c r="C143" s="20" t="s">
        <v>32</v>
      </c>
      <c r="D143" s="53" t="s">
        <v>1016</v>
      </c>
      <c r="E143" s="34" t="n">
        <v>0</v>
      </c>
      <c r="F143" s="34" t="n">
        <v>5745.15364136462</v>
      </c>
      <c r="G143" s="34" t="n">
        <v>47542.3273010068</v>
      </c>
      <c r="H143" s="34" t="n">
        <v>58560.5211635353</v>
      </c>
      <c r="I143" s="34" t="n">
        <v>59848.8526291331</v>
      </c>
      <c r="J143" s="34" t="n">
        <v>61165.527386974</v>
      </c>
      <c r="K143" s="34" t="n">
        <v>62511.1689894875</v>
      </c>
      <c r="L143" s="34" t="n">
        <v>63886.4147072562</v>
      </c>
    </row>
    <row r="144" customFormat="false" ht="15" hidden="false" customHeight="false" outlineLevel="0" collapsed="false">
      <c r="A144" s="53" t="s">
        <v>1017</v>
      </c>
      <c r="B144" s="19" t="s">
        <v>1018</v>
      </c>
      <c r="C144" s="20" t="s">
        <v>304</v>
      </c>
      <c r="D144" s="53" t="s">
        <v>1019</v>
      </c>
      <c r="E144" s="82" t="n">
        <v>0</v>
      </c>
      <c r="F144" s="82" t="n">
        <v>10800</v>
      </c>
      <c r="G144" s="82" t="n">
        <v>88165</v>
      </c>
      <c r="H144" s="82" t="n">
        <v>106260</v>
      </c>
      <c r="I144" s="82" t="n">
        <v>106260</v>
      </c>
      <c r="J144" s="82" t="n">
        <v>106260</v>
      </c>
      <c r="K144" s="82" t="n">
        <v>106260</v>
      </c>
      <c r="L144" s="82" t="n">
        <v>106260</v>
      </c>
    </row>
    <row r="145" customFormat="false" ht="15" hidden="false" customHeight="false" outlineLevel="0" collapsed="false">
      <c r="A145" s="53" t="s">
        <v>1020</v>
      </c>
      <c r="B145" s="19" t="s">
        <v>1021</v>
      </c>
      <c r="C145" s="20" t="s">
        <v>32</v>
      </c>
      <c r="D145" s="53" t="s">
        <v>1022</v>
      </c>
      <c r="E145" s="34" t="n">
        <v>0</v>
      </c>
      <c r="F145" s="34" t="n">
        <v>2470.40448281574</v>
      </c>
      <c r="G145" s="34" t="n">
        <v>20443.1048879666</v>
      </c>
      <c r="H145" s="34" t="n">
        <v>25180.9060347533</v>
      </c>
      <c r="I145" s="34" t="n">
        <v>25734.8859675179</v>
      </c>
      <c r="J145" s="34" t="n">
        <v>26301.0534588033</v>
      </c>
      <c r="K145" s="34" t="n">
        <v>26879.676634897</v>
      </c>
      <c r="L145" s="34" t="n">
        <v>27471.0295208647</v>
      </c>
    </row>
    <row r="146" customFormat="false" ht="15" hidden="false" customHeight="false" outlineLevel="0" collapsed="false">
      <c r="A146" s="53" t="s">
        <v>1023</v>
      </c>
      <c r="B146" s="19" t="s">
        <v>1024</v>
      </c>
      <c r="C146" s="20" t="s">
        <v>320</v>
      </c>
      <c r="D146" s="53" t="s">
        <v>1025</v>
      </c>
      <c r="E146" s="82" t="n">
        <v>0</v>
      </c>
      <c r="F146" s="82" t="n">
        <v>852.619853190288</v>
      </c>
      <c r="G146" s="82" t="n">
        <v>6960.29901449275</v>
      </c>
      <c r="H146" s="82" t="n">
        <v>8388.832</v>
      </c>
      <c r="I146" s="82" t="n">
        <v>8388.832</v>
      </c>
      <c r="J146" s="82" t="n">
        <v>8388.832</v>
      </c>
      <c r="K146" s="82" t="n">
        <v>8388.832</v>
      </c>
      <c r="L146" s="82" t="n">
        <v>8388.832</v>
      </c>
    </row>
    <row r="147" customFormat="false" ht="23.85" hidden="false" customHeight="false" outlineLevel="0" collapsed="false">
      <c r="A147" s="53" t="s">
        <v>1026</v>
      </c>
      <c r="B147" s="19" t="s">
        <v>1027</v>
      </c>
      <c r="C147" s="20" t="s">
        <v>32</v>
      </c>
      <c r="D147" s="53" t="s">
        <v>1028</v>
      </c>
      <c r="E147" s="34" t="n">
        <v>0</v>
      </c>
      <c r="F147" s="34" t="n">
        <v>92659.0216519718</v>
      </c>
      <c r="G147" s="34" t="n">
        <v>766772.45027041</v>
      </c>
      <c r="H147" s="34" t="n">
        <v>944476.151059716</v>
      </c>
      <c r="I147" s="34" t="n">
        <v>965254.62638303</v>
      </c>
      <c r="J147" s="34" t="n">
        <v>986490.228163457</v>
      </c>
      <c r="K147" s="34" t="n">
        <v>1008193.01318305</v>
      </c>
      <c r="L147" s="34" t="n">
        <v>1030373.25947308</v>
      </c>
    </row>
    <row r="148" customFormat="false" ht="15" hidden="false" customHeight="false" outlineLevel="0" collapsed="false">
      <c r="A148" s="53" t="s">
        <v>1029</v>
      </c>
      <c r="B148" s="19" t="s">
        <v>1030</v>
      </c>
      <c r="C148" s="20" t="s">
        <v>322</v>
      </c>
      <c r="D148" s="53" t="s">
        <v>1031</v>
      </c>
      <c r="E148" s="82" t="n">
        <v>0</v>
      </c>
      <c r="F148" s="82" t="n">
        <v>17535.4434782609</v>
      </c>
      <c r="G148" s="82" t="n">
        <v>143149.293913044</v>
      </c>
      <c r="H148" s="82" t="n">
        <v>172529.28</v>
      </c>
      <c r="I148" s="82" t="n">
        <v>172529.28</v>
      </c>
      <c r="J148" s="82" t="n">
        <v>172529.28</v>
      </c>
      <c r="K148" s="82" t="n">
        <v>172529.28</v>
      </c>
      <c r="L148" s="82" t="n">
        <v>172529.28</v>
      </c>
    </row>
    <row r="149" customFormat="false" ht="15" hidden="false" customHeight="false" outlineLevel="0" collapsed="false">
      <c r="A149" s="53" t="s">
        <v>1032</v>
      </c>
      <c r="B149" s="19" t="s">
        <v>1033</v>
      </c>
      <c r="C149" s="20" t="s">
        <v>32</v>
      </c>
      <c r="D149" s="53" t="s">
        <v>1034</v>
      </c>
      <c r="E149" s="34" t="n">
        <v>0</v>
      </c>
      <c r="F149" s="34" t="n">
        <v>10711.4328746257</v>
      </c>
      <c r="G149" s="34" t="n">
        <v>88639.3087769987</v>
      </c>
      <c r="H149" s="34" t="n">
        <v>109181.95242509</v>
      </c>
      <c r="I149" s="34" t="n">
        <v>111583.955378442</v>
      </c>
      <c r="J149" s="34" t="n">
        <v>114038.802396768</v>
      </c>
      <c r="K149" s="34" t="n">
        <v>116547.656049497</v>
      </c>
      <c r="L149" s="34" t="n">
        <v>119111.704482585</v>
      </c>
    </row>
    <row r="150" customFormat="false" ht="15" hidden="false" customHeight="false" outlineLevel="0" collapsed="false">
      <c r="A150" s="53" t="s">
        <v>1035</v>
      </c>
      <c r="B150" s="19" t="s">
        <v>1036</v>
      </c>
      <c r="C150" s="20" t="s">
        <v>322</v>
      </c>
      <c r="D150" s="53" t="s">
        <v>1037</v>
      </c>
      <c r="E150" s="82" t="n">
        <v>0</v>
      </c>
      <c r="F150" s="82" t="n">
        <v>475192.600790514</v>
      </c>
      <c r="G150" s="82" t="n">
        <v>3879199.59710145</v>
      </c>
      <c r="H150" s="82" t="n">
        <v>4675367.2</v>
      </c>
      <c r="I150" s="82" t="n">
        <v>4675367.2</v>
      </c>
      <c r="J150" s="82" t="n">
        <v>4675367.2</v>
      </c>
      <c r="K150" s="82" t="n">
        <v>4675367.2</v>
      </c>
      <c r="L150" s="82" t="n">
        <v>4675367.2</v>
      </c>
    </row>
    <row r="151" customFormat="false" ht="23.85" hidden="false" customHeight="false" outlineLevel="0" collapsed="false">
      <c r="A151" s="53" t="s">
        <v>1038</v>
      </c>
      <c r="B151" s="19" t="s">
        <v>1039</v>
      </c>
      <c r="C151" s="20" t="s">
        <v>32</v>
      </c>
      <c r="D151" s="53" t="s">
        <v>1040</v>
      </c>
      <c r="E151" s="34" t="n">
        <v>0</v>
      </c>
      <c r="F151" s="34" t="n">
        <v>86647.4286896669</v>
      </c>
      <c r="G151" s="34" t="n">
        <v>717025.282821909</v>
      </c>
      <c r="H151" s="34" t="n">
        <v>883199.806009351</v>
      </c>
      <c r="I151" s="34" t="n">
        <v>902630.201741557</v>
      </c>
      <c r="J151" s="34" t="n">
        <v>922488.066179871</v>
      </c>
      <c r="K151" s="34" t="n">
        <v>942782.803635828</v>
      </c>
      <c r="L151" s="34" t="n">
        <v>963524.025315816</v>
      </c>
    </row>
    <row r="152" customFormat="false" ht="15" hidden="false" customHeight="false" outlineLevel="0" collapsed="false">
      <c r="A152" s="53" t="s">
        <v>1041</v>
      </c>
      <c r="B152" s="19" t="s">
        <v>1042</v>
      </c>
      <c r="C152" s="20" t="s">
        <v>322</v>
      </c>
      <c r="D152" s="53" t="s">
        <v>1043</v>
      </c>
      <c r="E152" s="82" t="n">
        <v>0</v>
      </c>
      <c r="F152" s="82" t="n">
        <v>1876.581</v>
      </c>
      <c r="G152" s="82" t="n">
        <v>15319.3299875</v>
      </c>
      <c r="H152" s="82" t="n">
        <v>18463.47195</v>
      </c>
      <c r="I152" s="82" t="n">
        <v>18463.47195</v>
      </c>
      <c r="J152" s="82" t="n">
        <v>18463.47195</v>
      </c>
      <c r="K152" s="82" t="n">
        <v>18463.47195</v>
      </c>
      <c r="L152" s="82" t="n">
        <v>18463.47195</v>
      </c>
    </row>
    <row r="153" customFormat="false" ht="15" hidden="false" customHeight="false" outlineLevel="0" collapsed="false">
      <c r="A153" s="53" t="s">
        <v>1044</v>
      </c>
      <c r="B153" s="19" t="s">
        <v>1045</v>
      </c>
      <c r="C153" s="20" t="s">
        <v>32</v>
      </c>
      <c r="D153" s="53" t="s">
        <v>1046</v>
      </c>
      <c r="E153" s="34" t="n">
        <v>0</v>
      </c>
      <c r="F153" s="34" t="n">
        <v>869.993154933089</v>
      </c>
      <c r="G153" s="34" t="n">
        <v>7199.37218452525</v>
      </c>
      <c r="H153" s="34" t="n">
        <v>8867.86598617208</v>
      </c>
      <c r="I153" s="34" t="n">
        <v>9062.95903786787</v>
      </c>
      <c r="J153" s="34" t="n">
        <v>9262.34413670096</v>
      </c>
      <c r="K153" s="34" t="n">
        <v>9466.11570770838</v>
      </c>
      <c r="L153" s="34" t="n">
        <v>9674.37025327796</v>
      </c>
    </row>
    <row r="154" customFormat="false" ht="15" hidden="false" customHeight="false" outlineLevel="0" collapsed="false">
      <c r="A154" s="60"/>
      <c r="B154" s="10" t="s">
        <v>1047</v>
      </c>
    </row>
    <row r="155" customFormat="false" ht="15" hidden="false" customHeight="false" outlineLevel="0" collapsed="false">
      <c r="A155" s="53" t="s">
        <v>1048</v>
      </c>
      <c r="B155" s="19" t="s">
        <v>1049</v>
      </c>
      <c r="C155" s="20" t="s">
        <v>1050</v>
      </c>
      <c r="D155" s="53" t="s">
        <v>1051</v>
      </c>
      <c r="E155" s="82" t="n">
        <v>1</v>
      </c>
      <c r="F155" s="82" t="n">
        <v>1</v>
      </c>
      <c r="G155" s="82" t="n">
        <v>1</v>
      </c>
      <c r="H155" s="82" t="n">
        <v>1</v>
      </c>
      <c r="I155" s="82" t="n">
        <v>1</v>
      </c>
      <c r="J155" s="82" t="n">
        <v>1</v>
      </c>
      <c r="K155" s="82" t="n">
        <v>1</v>
      </c>
      <c r="L155" s="82" t="n">
        <v>1</v>
      </c>
    </row>
    <row r="156" customFormat="false" ht="15" hidden="false" customHeight="false" outlineLevel="0" collapsed="false">
      <c r="A156" s="53" t="s">
        <v>1052</v>
      </c>
      <c r="B156" s="19" t="s">
        <v>1053</v>
      </c>
      <c r="C156" s="20" t="s">
        <v>1054</v>
      </c>
      <c r="D156" s="53" t="s">
        <v>1051</v>
      </c>
      <c r="E156" s="34" t="n">
        <v>35670000</v>
      </c>
      <c r="F156" s="34" t="n">
        <v>35670000</v>
      </c>
      <c r="G156" s="34" t="n">
        <v>35670000</v>
      </c>
      <c r="H156" s="34" t="n">
        <v>35670000</v>
      </c>
      <c r="I156" s="34" t="n">
        <v>35670000</v>
      </c>
      <c r="J156" s="34" t="n">
        <v>35670000</v>
      </c>
      <c r="K156" s="34" t="n">
        <v>35670000</v>
      </c>
      <c r="L156" s="34" t="n">
        <v>35670000</v>
      </c>
    </row>
    <row r="157" customFormat="false" ht="15" hidden="false" customHeight="false" outlineLevel="0" collapsed="false">
      <c r="A157" s="53" t="s">
        <v>1055</v>
      </c>
      <c r="B157" s="19" t="s">
        <v>1056</v>
      </c>
      <c r="C157" s="20" t="s">
        <v>32</v>
      </c>
      <c r="D157" s="53" t="s">
        <v>1051</v>
      </c>
      <c r="E157" s="34" t="n">
        <v>8975.20768309183</v>
      </c>
      <c r="F157" s="34" t="n">
        <v>37204.3264046915</v>
      </c>
      <c r="G157" s="34" t="n">
        <v>37788.9097345624</v>
      </c>
      <c r="H157" s="34" t="n">
        <v>38616.1812630429</v>
      </c>
      <c r="I157" s="34" t="n">
        <v>39465.3763682683</v>
      </c>
      <c r="J157" s="34" t="n">
        <v>40333.6146483702</v>
      </c>
      <c r="K157" s="34" t="n">
        <v>41220.9541706343</v>
      </c>
      <c r="L157" s="34" t="n">
        <v>42127.8151623883</v>
      </c>
    </row>
    <row r="158" customFormat="false" ht="15" hidden="false" customHeight="false" outlineLevel="0" collapsed="false">
      <c r="A158" s="53" t="s">
        <v>1057</v>
      </c>
      <c r="B158" s="19" t="s">
        <v>1058</v>
      </c>
      <c r="C158" s="20" t="s">
        <v>1050</v>
      </c>
      <c r="D158" s="53" t="s">
        <v>1059</v>
      </c>
      <c r="E158" s="82" t="n">
        <v>1</v>
      </c>
      <c r="F158" s="82" t="n">
        <v>1</v>
      </c>
      <c r="G158" s="82" t="n">
        <v>1</v>
      </c>
      <c r="H158" s="82" t="n">
        <v>1</v>
      </c>
      <c r="I158" s="82" t="n">
        <v>1</v>
      </c>
      <c r="J158" s="82" t="n">
        <v>1</v>
      </c>
      <c r="K158" s="82" t="n">
        <v>1</v>
      </c>
      <c r="L158" s="82" t="n">
        <v>1</v>
      </c>
    </row>
    <row r="159" customFormat="false" ht="15" hidden="false" customHeight="false" outlineLevel="0" collapsed="false">
      <c r="A159" s="53" t="s">
        <v>1060</v>
      </c>
      <c r="B159" s="19" t="s">
        <v>1061</v>
      </c>
      <c r="C159" s="20" t="s">
        <v>1054</v>
      </c>
      <c r="D159" s="53" t="s">
        <v>1059</v>
      </c>
      <c r="E159" s="34" t="n">
        <v>23780000</v>
      </c>
      <c r="F159" s="34" t="n">
        <v>23780000</v>
      </c>
      <c r="G159" s="34" t="n">
        <v>23780000</v>
      </c>
      <c r="H159" s="34" t="n">
        <v>23780000</v>
      </c>
      <c r="I159" s="34" t="n">
        <v>23780000</v>
      </c>
      <c r="J159" s="34" t="n">
        <v>23780000</v>
      </c>
      <c r="K159" s="34" t="n">
        <v>23780000</v>
      </c>
      <c r="L159" s="34" t="n">
        <v>23780000</v>
      </c>
    </row>
    <row r="160" customFormat="false" ht="15" hidden="false" customHeight="false" outlineLevel="0" collapsed="false">
      <c r="A160" s="53" t="s">
        <v>1062</v>
      </c>
      <c r="B160" s="19" t="s">
        <v>1063</v>
      </c>
      <c r="C160" s="20" t="s">
        <v>32</v>
      </c>
      <c r="D160" s="53" t="s">
        <v>1059</v>
      </c>
      <c r="E160" s="34" t="n">
        <v>5983.47178872789</v>
      </c>
      <c r="F160" s="34" t="n">
        <v>24802.8842697944</v>
      </c>
      <c r="G160" s="34" t="n">
        <v>25192.6064897083</v>
      </c>
      <c r="H160" s="34" t="n">
        <v>25744.1208420286</v>
      </c>
      <c r="I160" s="34" t="n">
        <v>26310.2509121789</v>
      </c>
      <c r="J160" s="34" t="n">
        <v>26889.0764322468</v>
      </c>
      <c r="K160" s="34" t="n">
        <v>27480.6361137562</v>
      </c>
      <c r="L160" s="34" t="n">
        <v>28085.2101082589</v>
      </c>
    </row>
    <row r="161" customFormat="false" ht="15" hidden="false" customHeight="false" outlineLevel="0" collapsed="false">
      <c r="A161" s="53" t="s">
        <v>1064</v>
      </c>
      <c r="B161" s="19" t="s">
        <v>1065</v>
      </c>
      <c r="C161" s="20" t="s">
        <v>1050</v>
      </c>
      <c r="D161" s="53" t="s">
        <v>1066</v>
      </c>
      <c r="E161" s="82" t="n">
        <v>2</v>
      </c>
      <c r="F161" s="82" t="n">
        <v>2</v>
      </c>
      <c r="G161" s="82" t="n">
        <v>2</v>
      </c>
      <c r="H161" s="82" t="n">
        <v>2</v>
      </c>
      <c r="I161" s="82" t="n">
        <v>2</v>
      </c>
      <c r="J161" s="82" t="n">
        <v>2</v>
      </c>
      <c r="K161" s="82" t="n">
        <v>2</v>
      </c>
      <c r="L161" s="82" t="n">
        <v>2</v>
      </c>
    </row>
    <row r="162" customFormat="false" ht="15" hidden="false" customHeight="false" outlineLevel="0" collapsed="false">
      <c r="A162" s="53" t="s">
        <v>1067</v>
      </c>
      <c r="B162" s="19" t="s">
        <v>1068</v>
      </c>
      <c r="C162" s="20" t="s">
        <v>1054</v>
      </c>
      <c r="D162" s="53" t="s">
        <v>1066</v>
      </c>
      <c r="E162" s="34" t="n">
        <v>8323000</v>
      </c>
      <c r="F162" s="34" t="n">
        <v>8323000</v>
      </c>
      <c r="G162" s="34" t="n">
        <v>8323000</v>
      </c>
      <c r="H162" s="34" t="n">
        <v>8323000</v>
      </c>
      <c r="I162" s="34" t="n">
        <v>8323000</v>
      </c>
      <c r="J162" s="34" t="n">
        <v>8323000</v>
      </c>
      <c r="K162" s="34" t="n">
        <v>8323000</v>
      </c>
      <c r="L162" s="34" t="n">
        <v>8323000</v>
      </c>
    </row>
    <row r="163" customFormat="false" ht="15" hidden="false" customHeight="false" outlineLevel="0" collapsed="false">
      <c r="A163" s="53" t="s">
        <v>1069</v>
      </c>
      <c r="B163" s="19" t="s">
        <v>1070</v>
      </c>
      <c r="C163" s="20" t="s">
        <v>32</v>
      </c>
      <c r="D163" s="53" t="s">
        <v>1066</v>
      </c>
      <c r="E163" s="34" t="n">
        <v>4188.43025210952</v>
      </c>
      <c r="F163" s="34" t="n">
        <v>17362.0189888561</v>
      </c>
      <c r="G163" s="34" t="n">
        <v>17634.8245427958</v>
      </c>
      <c r="H163" s="34" t="n">
        <v>18020.88458942</v>
      </c>
      <c r="I163" s="34" t="n">
        <v>18417.1756385252</v>
      </c>
      <c r="J163" s="34" t="n">
        <v>18822.3535025728</v>
      </c>
      <c r="K163" s="34" t="n">
        <v>19236.4452796294</v>
      </c>
      <c r="L163" s="34" t="n">
        <v>19659.6470757812</v>
      </c>
    </row>
    <row r="164" customFormat="false" ht="15" hidden="false" customHeight="false" outlineLevel="0" collapsed="false">
      <c r="A164" s="53" t="s">
        <v>1071</v>
      </c>
      <c r="B164" s="19" t="s">
        <v>1072</v>
      </c>
      <c r="C164" s="20" t="s">
        <v>1050</v>
      </c>
      <c r="D164" s="53" t="s">
        <v>1073</v>
      </c>
      <c r="E164" s="82" t="n">
        <v>1</v>
      </c>
      <c r="F164" s="82" t="n">
        <v>1</v>
      </c>
      <c r="G164" s="82" t="n">
        <v>1</v>
      </c>
      <c r="H164" s="82" t="n">
        <v>1</v>
      </c>
      <c r="I164" s="82" t="n">
        <v>1</v>
      </c>
      <c r="J164" s="82" t="n">
        <v>1</v>
      </c>
      <c r="K164" s="82" t="n">
        <v>1</v>
      </c>
      <c r="L164" s="82" t="n">
        <v>1</v>
      </c>
    </row>
    <row r="165" customFormat="false" ht="23.85" hidden="false" customHeight="false" outlineLevel="0" collapsed="false">
      <c r="A165" s="53" t="s">
        <v>1074</v>
      </c>
      <c r="B165" s="19" t="s">
        <v>1075</v>
      </c>
      <c r="C165" s="20" t="s">
        <v>1054</v>
      </c>
      <c r="D165" s="53" t="s">
        <v>1073</v>
      </c>
      <c r="E165" s="34" t="n">
        <v>14268000</v>
      </c>
      <c r="F165" s="34" t="n">
        <v>14268000</v>
      </c>
      <c r="G165" s="34" t="n">
        <v>14268000</v>
      </c>
      <c r="H165" s="34" t="n">
        <v>14268000</v>
      </c>
      <c r="I165" s="34" t="n">
        <v>14268000</v>
      </c>
      <c r="J165" s="34" t="n">
        <v>14268000</v>
      </c>
      <c r="K165" s="34" t="n">
        <v>14268000</v>
      </c>
      <c r="L165" s="34" t="n">
        <v>14268000</v>
      </c>
    </row>
    <row r="166" customFormat="false" ht="15" hidden="false" customHeight="false" outlineLevel="0" collapsed="false">
      <c r="A166" s="53" t="s">
        <v>1076</v>
      </c>
      <c r="B166" s="19" t="s">
        <v>1077</v>
      </c>
      <c r="C166" s="20" t="s">
        <v>32</v>
      </c>
      <c r="D166" s="53" t="s">
        <v>1073</v>
      </c>
      <c r="E166" s="34" t="n">
        <v>3590.08307323673</v>
      </c>
      <c r="F166" s="34" t="n">
        <v>14881.7305618766</v>
      </c>
      <c r="G166" s="34" t="n">
        <v>15115.563893825</v>
      </c>
      <c r="H166" s="34" t="n">
        <v>15446.4725052172</v>
      </c>
      <c r="I166" s="34" t="n">
        <v>15786.1505473073</v>
      </c>
      <c r="J166" s="34" t="n">
        <v>16133.4458593481</v>
      </c>
      <c r="K166" s="34" t="n">
        <v>16488.3816682537</v>
      </c>
      <c r="L166" s="34" t="n">
        <v>16851.1260649553</v>
      </c>
    </row>
    <row r="167" customFormat="false" ht="15" hidden="false" customHeight="false" outlineLevel="0" collapsed="false">
      <c r="A167" s="53" t="s">
        <v>1078</v>
      </c>
      <c r="B167" s="19" t="s">
        <v>1079</v>
      </c>
      <c r="C167" s="20" t="s">
        <v>1050</v>
      </c>
      <c r="D167" s="53" t="s">
        <v>1080</v>
      </c>
      <c r="E167" s="82" t="n">
        <v>1</v>
      </c>
      <c r="F167" s="82" t="n">
        <v>1</v>
      </c>
      <c r="G167" s="82" t="n">
        <v>1</v>
      </c>
      <c r="H167" s="82" t="n">
        <v>1</v>
      </c>
      <c r="I167" s="82" t="n">
        <v>1</v>
      </c>
      <c r="J167" s="82" t="n">
        <v>1</v>
      </c>
      <c r="K167" s="82" t="n">
        <v>1</v>
      </c>
      <c r="L167" s="82" t="n">
        <v>1</v>
      </c>
    </row>
    <row r="168" customFormat="false" ht="15" hidden="false" customHeight="false" outlineLevel="0" collapsed="false">
      <c r="A168" s="53" t="s">
        <v>1081</v>
      </c>
      <c r="B168" s="19" t="s">
        <v>1082</v>
      </c>
      <c r="C168" s="20" t="s">
        <v>1054</v>
      </c>
      <c r="D168" s="53" t="s">
        <v>1080</v>
      </c>
      <c r="E168" s="34" t="n">
        <v>11890000</v>
      </c>
      <c r="F168" s="34" t="n">
        <v>11890000</v>
      </c>
      <c r="G168" s="34" t="n">
        <v>11890000</v>
      </c>
      <c r="H168" s="34" t="n">
        <v>11890000</v>
      </c>
      <c r="I168" s="34" t="n">
        <v>11890000</v>
      </c>
      <c r="J168" s="34" t="n">
        <v>11890000</v>
      </c>
      <c r="K168" s="34" t="n">
        <v>11890000</v>
      </c>
      <c r="L168" s="34" t="n">
        <v>11890000</v>
      </c>
    </row>
    <row r="169" customFormat="false" ht="15" hidden="false" customHeight="false" outlineLevel="0" collapsed="false">
      <c r="A169" s="53" t="s">
        <v>1083</v>
      </c>
      <c r="B169" s="19" t="s">
        <v>1084</v>
      </c>
      <c r="C169" s="20" t="s">
        <v>32</v>
      </c>
      <c r="D169" s="53" t="s">
        <v>1080</v>
      </c>
      <c r="E169" s="34" t="n">
        <v>2991.73589436395</v>
      </c>
      <c r="F169" s="34" t="n">
        <v>12401.4421348972</v>
      </c>
      <c r="G169" s="34" t="n">
        <v>12596.3032448541</v>
      </c>
      <c r="H169" s="34" t="n">
        <v>12872.0604210143</v>
      </c>
      <c r="I169" s="34" t="n">
        <v>13155.1254560894</v>
      </c>
      <c r="J169" s="34" t="n">
        <v>13444.5382161234</v>
      </c>
      <c r="K169" s="34" t="n">
        <v>13740.3180568781</v>
      </c>
      <c r="L169" s="34" t="n">
        <v>14042.6050541294</v>
      </c>
    </row>
    <row r="170" customFormat="false" ht="15" hidden="false" customHeight="false" outlineLevel="0" collapsed="false">
      <c r="A170" s="53" t="s">
        <v>1085</v>
      </c>
      <c r="B170" s="19" t="s">
        <v>1086</v>
      </c>
      <c r="C170" s="20" t="s">
        <v>1050</v>
      </c>
      <c r="D170" s="53" t="s">
        <v>1087</v>
      </c>
      <c r="E170" s="82" t="n">
        <v>1</v>
      </c>
      <c r="F170" s="82" t="n">
        <v>1</v>
      </c>
      <c r="G170" s="82" t="n">
        <v>1</v>
      </c>
      <c r="H170" s="82" t="n">
        <v>1</v>
      </c>
      <c r="I170" s="82" t="n">
        <v>1</v>
      </c>
      <c r="J170" s="82" t="n">
        <v>1</v>
      </c>
      <c r="K170" s="82" t="n">
        <v>1</v>
      </c>
      <c r="L170" s="82" t="n">
        <v>1</v>
      </c>
    </row>
    <row r="171" customFormat="false" ht="15" hidden="false" customHeight="false" outlineLevel="0" collapsed="false">
      <c r="A171" s="53" t="s">
        <v>1088</v>
      </c>
      <c r="B171" s="19" t="s">
        <v>1089</v>
      </c>
      <c r="C171" s="20" t="s">
        <v>1054</v>
      </c>
      <c r="D171" s="53" t="s">
        <v>1087</v>
      </c>
      <c r="E171" s="34" t="n">
        <v>8323000</v>
      </c>
      <c r="F171" s="34" t="n">
        <v>8323000</v>
      </c>
      <c r="G171" s="34" t="n">
        <v>8323000</v>
      </c>
      <c r="H171" s="34" t="n">
        <v>8323000</v>
      </c>
      <c r="I171" s="34" t="n">
        <v>8323000</v>
      </c>
      <c r="J171" s="34" t="n">
        <v>8323000</v>
      </c>
      <c r="K171" s="34" t="n">
        <v>8323000</v>
      </c>
      <c r="L171" s="34" t="n">
        <v>8323000</v>
      </c>
    </row>
    <row r="172" customFormat="false" ht="15" hidden="false" customHeight="false" outlineLevel="0" collapsed="false">
      <c r="A172" s="53" t="s">
        <v>1090</v>
      </c>
      <c r="B172" s="19" t="s">
        <v>1091</v>
      </c>
      <c r="C172" s="20" t="s">
        <v>32</v>
      </c>
      <c r="D172" s="53" t="s">
        <v>1087</v>
      </c>
      <c r="E172" s="34" t="n">
        <v>2094.21512605476</v>
      </c>
      <c r="F172" s="34" t="n">
        <v>8681.00949442802</v>
      </c>
      <c r="G172" s="34" t="n">
        <v>8817.4122713979</v>
      </c>
      <c r="H172" s="34" t="n">
        <v>9010.44229471001</v>
      </c>
      <c r="I172" s="34" t="n">
        <v>9208.5878192626</v>
      </c>
      <c r="J172" s="34" t="n">
        <v>9411.17675128638</v>
      </c>
      <c r="K172" s="34" t="n">
        <v>9618.22263981468</v>
      </c>
      <c r="L172" s="34" t="n">
        <v>9829.8235378906</v>
      </c>
    </row>
    <row r="173" customFormat="false" ht="15" hidden="false" customHeight="false" outlineLevel="0" collapsed="false">
      <c r="A173" s="53" t="s">
        <v>1092</v>
      </c>
      <c r="B173" s="19" t="s">
        <v>1093</v>
      </c>
      <c r="C173" s="20" t="s">
        <v>1050</v>
      </c>
      <c r="D173" s="53" t="s">
        <v>1094</v>
      </c>
      <c r="E173" s="82" t="n">
        <v>1</v>
      </c>
      <c r="F173" s="82" t="n">
        <v>1</v>
      </c>
      <c r="G173" s="82" t="n">
        <v>1</v>
      </c>
      <c r="H173" s="82" t="n">
        <v>1</v>
      </c>
      <c r="I173" s="82" t="n">
        <v>1</v>
      </c>
      <c r="J173" s="82" t="n">
        <v>1</v>
      </c>
      <c r="K173" s="82" t="n">
        <v>1</v>
      </c>
      <c r="L173" s="82" t="n">
        <v>1</v>
      </c>
    </row>
    <row r="174" customFormat="false" ht="23.85" hidden="false" customHeight="false" outlineLevel="0" collapsed="false">
      <c r="A174" s="53" t="s">
        <v>1095</v>
      </c>
      <c r="B174" s="19" t="s">
        <v>1096</v>
      </c>
      <c r="C174" s="20" t="s">
        <v>1054</v>
      </c>
      <c r="D174" s="53" t="s">
        <v>1094</v>
      </c>
      <c r="E174" s="34" t="n">
        <v>14268000</v>
      </c>
      <c r="F174" s="34" t="n">
        <v>14268000</v>
      </c>
      <c r="G174" s="34" t="n">
        <v>14268000</v>
      </c>
      <c r="H174" s="34" t="n">
        <v>14268000</v>
      </c>
      <c r="I174" s="34" t="n">
        <v>14268000</v>
      </c>
      <c r="J174" s="34" t="n">
        <v>14268000</v>
      </c>
      <c r="K174" s="34" t="n">
        <v>14268000</v>
      </c>
      <c r="L174" s="34" t="n">
        <v>14268000</v>
      </c>
    </row>
    <row r="175" customFormat="false" ht="23.85" hidden="false" customHeight="false" outlineLevel="0" collapsed="false">
      <c r="A175" s="53" t="s">
        <v>1097</v>
      </c>
      <c r="B175" s="19" t="s">
        <v>1098</v>
      </c>
      <c r="C175" s="20" t="s">
        <v>32</v>
      </c>
      <c r="D175" s="53" t="s">
        <v>1094</v>
      </c>
      <c r="E175" s="34" t="n">
        <v>3590.08307323673</v>
      </c>
      <c r="F175" s="34" t="n">
        <v>14881.7305618766</v>
      </c>
      <c r="G175" s="34" t="n">
        <v>15115.563893825</v>
      </c>
      <c r="H175" s="34" t="n">
        <v>15446.4725052172</v>
      </c>
      <c r="I175" s="34" t="n">
        <v>15786.1505473073</v>
      </c>
      <c r="J175" s="34" t="n">
        <v>16133.4458593481</v>
      </c>
      <c r="K175" s="34" t="n">
        <v>16488.3816682537</v>
      </c>
      <c r="L175" s="34" t="n">
        <v>16851.1260649553</v>
      </c>
    </row>
    <row r="176" customFormat="false" ht="15" hidden="false" customHeight="false" outlineLevel="0" collapsed="false">
      <c r="A176" s="53" t="s">
        <v>1099</v>
      </c>
      <c r="B176" s="19" t="s">
        <v>1100</v>
      </c>
      <c r="C176" s="20" t="s">
        <v>1050</v>
      </c>
      <c r="D176" s="53" t="s">
        <v>1101</v>
      </c>
      <c r="E176" s="82" t="n">
        <v>1</v>
      </c>
      <c r="F176" s="82" t="n">
        <v>1</v>
      </c>
      <c r="G176" s="82" t="n">
        <v>1</v>
      </c>
      <c r="H176" s="82" t="n">
        <v>1</v>
      </c>
      <c r="I176" s="82" t="n">
        <v>1</v>
      </c>
      <c r="J176" s="82" t="n">
        <v>1</v>
      </c>
      <c r="K176" s="82" t="n">
        <v>1</v>
      </c>
      <c r="L176" s="82" t="n">
        <v>1</v>
      </c>
    </row>
    <row r="177" customFormat="false" ht="15" hidden="false" customHeight="false" outlineLevel="0" collapsed="false">
      <c r="A177" s="53" t="s">
        <v>1102</v>
      </c>
      <c r="B177" s="19" t="s">
        <v>1103</v>
      </c>
      <c r="C177" s="20" t="s">
        <v>1054</v>
      </c>
      <c r="D177" s="53" t="s">
        <v>1101</v>
      </c>
      <c r="E177" s="34" t="n">
        <v>9512000</v>
      </c>
      <c r="F177" s="34" t="n">
        <v>9512000</v>
      </c>
      <c r="G177" s="34" t="n">
        <v>9512000</v>
      </c>
      <c r="H177" s="34" t="n">
        <v>9512000</v>
      </c>
      <c r="I177" s="34" t="n">
        <v>9512000</v>
      </c>
      <c r="J177" s="34" t="n">
        <v>9512000</v>
      </c>
      <c r="K177" s="34" t="n">
        <v>9512000</v>
      </c>
      <c r="L177" s="34" t="n">
        <v>9512000</v>
      </c>
    </row>
    <row r="178" customFormat="false" ht="15" hidden="false" customHeight="false" outlineLevel="0" collapsed="false">
      <c r="A178" s="53" t="s">
        <v>1104</v>
      </c>
      <c r="B178" s="19" t="s">
        <v>1105</v>
      </c>
      <c r="C178" s="20" t="s">
        <v>32</v>
      </c>
      <c r="D178" s="53" t="s">
        <v>1101</v>
      </c>
      <c r="E178" s="34" t="n">
        <v>2393.38871549116</v>
      </c>
      <c r="F178" s="34" t="n">
        <v>9921.15370791774</v>
      </c>
      <c r="G178" s="34" t="n">
        <v>10077.0425958833</v>
      </c>
      <c r="H178" s="34" t="n">
        <v>10297.6483368114</v>
      </c>
      <c r="I178" s="34" t="n">
        <v>10524.1003648715</v>
      </c>
      <c r="J178" s="34" t="n">
        <v>10755.6305728987</v>
      </c>
      <c r="K178" s="34" t="n">
        <v>10992.2544455025</v>
      </c>
      <c r="L178" s="34" t="n">
        <v>11234.0840433035</v>
      </c>
    </row>
    <row r="179" customFormat="false" ht="15" hidden="false" customHeight="false" outlineLevel="0" collapsed="false">
      <c r="A179" s="53" t="s">
        <v>1106</v>
      </c>
      <c r="B179" s="19" t="s">
        <v>1107</v>
      </c>
      <c r="C179" s="20" t="s">
        <v>1050</v>
      </c>
      <c r="D179" s="53" t="s">
        <v>1108</v>
      </c>
      <c r="E179" s="82" t="n">
        <v>1</v>
      </c>
      <c r="F179" s="82" t="n">
        <v>1</v>
      </c>
      <c r="G179" s="82" t="n">
        <v>1</v>
      </c>
      <c r="H179" s="82" t="n">
        <v>1</v>
      </c>
      <c r="I179" s="82" t="n">
        <v>1</v>
      </c>
      <c r="J179" s="82" t="n">
        <v>1</v>
      </c>
      <c r="K179" s="82" t="n">
        <v>1</v>
      </c>
      <c r="L179" s="82" t="n">
        <v>1</v>
      </c>
    </row>
    <row r="180" customFormat="false" ht="15" hidden="false" customHeight="false" outlineLevel="0" collapsed="false">
      <c r="A180" s="53" t="s">
        <v>1109</v>
      </c>
      <c r="B180" s="19" t="s">
        <v>1110</v>
      </c>
      <c r="C180" s="20" t="s">
        <v>1054</v>
      </c>
      <c r="D180" s="53" t="s">
        <v>1108</v>
      </c>
      <c r="E180" s="34" t="n">
        <v>9512000</v>
      </c>
      <c r="F180" s="34" t="n">
        <v>9512000</v>
      </c>
      <c r="G180" s="34" t="n">
        <v>9512000</v>
      </c>
      <c r="H180" s="34" t="n">
        <v>9512000</v>
      </c>
      <c r="I180" s="34" t="n">
        <v>9512000</v>
      </c>
      <c r="J180" s="34" t="n">
        <v>9512000</v>
      </c>
      <c r="K180" s="34" t="n">
        <v>9512000</v>
      </c>
      <c r="L180" s="34" t="n">
        <v>9512000</v>
      </c>
    </row>
    <row r="181" customFormat="false" ht="15" hidden="false" customHeight="false" outlineLevel="0" collapsed="false">
      <c r="A181" s="53" t="s">
        <v>1111</v>
      </c>
      <c r="B181" s="19" t="s">
        <v>1112</v>
      </c>
      <c r="C181" s="20" t="s">
        <v>32</v>
      </c>
      <c r="D181" s="53" t="s">
        <v>1108</v>
      </c>
      <c r="E181" s="34" t="n">
        <v>2393.38871549116</v>
      </c>
      <c r="F181" s="34" t="n">
        <v>9921.15370791774</v>
      </c>
      <c r="G181" s="34" t="n">
        <v>10077.0425958833</v>
      </c>
      <c r="H181" s="34" t="n">
        <v>10297.6483368114</v>
      </c>
      <c r="I181" s="34" t="n">
        <v>10524.1003648715</v>
      </c>
      <c r="J181" s="34" t="n">
        <v>10755.6305728987</v>
      </c>
      <c r="K181" s="34" t="n">
        <v>10992.2544455025</v>
      </c>
      <c r="L181" s="34" t="n">
        <v>11234.0840433035</v>
      </c>
    </row>
    <row r="182" customFormat="false" ht="15" hidden="false" customHeight="false" outlineLevel="0" collapsed="false">
      <c r="A182" s="53" t="s">
        <v>1113</v>
      </c>
      <c r="B182" s="19" t="s">
        <v>1114</v>
      </c>
      <c r="C182" s="20" t="s">
        <v>1050</v>
      </c>
      <c r="D182" s="53" t="s">
        <v>1115</v>
      </c>
      <c r="E182" s="82" t="n">
        <v>1</v>
      </c>
      <c r="F182" s="82" t="n">
        <v>1</v>
      </c>
      <c r="G182" s="82" t="n">
        <v>1</v>
      </c>
      <c r="H182" s="82" t="n">
        <v>1</v>
      </c>
      <c r="I182" s="82" t="n">
        <v>1</v>
      </c>
      <c r="J182" s="82" t="n">
        <v>1</v>
      </c>
      <c r="K182" s="82" t="n">
        <v>1</v>
      </c>
      <c r="L182" s="82" t="n">
        <v>1</v>
      </c>
    </row>
    <row r="183" customFormat="false" ht="15" hidden="false" customHeight="false" outlineLevel="0" collapsed="false">
      <c r="A183" s="53" t="s">
        <v>1116</v>
      </c>
      <c r="B183" s="19" t="s">
        <v>1117</v>
      </c>
      <c r="C183" s="20" t="s">
        <v>1054</v>
      </c>
      <c r="D183" s="53" t="s">
        <v>1115</v>
      </c>
      <c r="E183" s="34" t="n">
        <v>14268000</v>
      </c>
      <c r="F183" s="34" t="n">
        <v>14268000</v>
      </c>
      <c r="G183" s="34" t="n">
        <v>14268000</v>
      </c>
      <c r="H183" s="34" t="n">
        <v>14268000</v>
      </c>
      <c r="I183" s="34" t="n">
        <v>14268000</v>
      </c>
      <c r="J183" s="34" t="n">
        <v>14268000</v>
      </c>
      <c r="K183" s="34" t="n">
        <v>14268000</v>
      </c>
      <c r="L183" s="34" t="n">
        <v>14268000</v>
      </c>
    </row>
    <row r="184" customFormat="false" ht="15" hidden="false" customHeight="false" outlineLevel="0" collapsed="false">
      <c r="A184" s="53" t="s">
        <v>1118</v>
      </c>
      <c r="B184" s="19" t="s">
        <v>1119</v>
      </c>
      <c r="C184" s="20" t="s">
        <v>32</v>
      </c>
      <c r="D184" s="53" t="s">
        <v>1115</v>
      </c>
      <c r="E184" s="34" t="n">
        <v>3590.08307323673</v>
      </c>
      <c r="F184" s="34" t="n">
        <v>14881.7305618766</v>
      </c>
      <c r="G184" s="34" t="n">
        <v>15115.563893825</v>
      </c>
      <c r="H184" s="34" t="n">
        <v>15446.4725052172</v>
      </c>
      <c r="I184" s="34" t="n">
        <v>15786.1505473073</v>
      </c>
      <c r="J184" s="34" t="n">
        <v>16133.4458593481</v>
      </c>
      <c r="K184" s="34" t="n">
        <v>16488.3816682537</v>
      </c>
      <c r="L184" s="34" t="n">
        <v>16851.1260649553</v>
      </c>
    </row>
    <row r="185" customFormat="false" ht="15" hidden="false" customHeight="false" outlineLevel="0" collapsed="false">
      <c r="A185" s="53" t="s">
        <v>1120</v>
      </c>
      <c r="B185" s="19" t="s">
        <v>1121</v>
      </c>
      <c r="C185" s="20" t="s">
        <v>1050</v>
      </c>
      <c r="D185" s="53" t="s">
        <v>1122</v>
      </c>
      <c r="E185" s="82" t="n">
        <v>1</v>
      </c>
      <c r="F185" s="82" t="n">
        <v>1</v>
      </c>
      <c r="G185" s="82" t="n">
        <v>1</v>
      </c>
      <c r="H185" s="82" t="n">
        <v>1</v>
      </c>
      <c r="I185" s="82" t="n">
        <v>1</v>
      </c>
      <c r="J185" s="82" t="n">
        <v>1</v>
      </c>
      <c r="K185" s="82" t="n">
        <v>1</v>
      </c>
      <c r="L185" s="82" t="n">
        <v>1</v>
      </c>
    </row>
    <row r="186" customFormat="false" ht="15" hidden="false" customHeight="false" outlineLevel="0" collapsed="false">
      <c r="A186" s="53" t="s">
        <v>1123</v>
      </c>
      <c r="B186" s="19" t="s">
        <v>1124</v>
      </c>
      <c r="C186" s="20" t="s">
        <v>1054</v>
      </c>
      <c r="D186" s="53" t="s">
        <v>1122</v>
      </c>
      <c r="E186" s="34" t="n">
        <v>9512000</v>
      </c>
      <c r="F186" s="34" t="n">
        <v>9512000</v>
      </c>
      <c r="G186" s="34" t="n">
        <v>9512000</v>
      </c>
      <c r="H186" s="34" t="n">
        <v>9512000</v>
      </c>
      <c r="I186" s="34" t="n">
        <v>9512000</v>
      </c>
      <c r="J186" s="34" t="n">
        <v>9512000</v>
      </c>
      <c r="K186" s="34" t="n">
        <v>9512000</v>
      </c>
      <c r="L186" s="34" t="n">
        <v>9512000</v>
      </c>
    </row>
    <row r="187" customFormat="false" ht="15" hidden="false" customHeight="false" outlineLevel="0" collapsed="false">
      <c r="A187" s="53" t="s">
        <v>1125</v>
      </c>
      <c r="B187" s="19" t="s">
        <v>1126</v>
      </c>
      <c r="C187" s="20" t="s">
        <v>32</v>
      </c>
      <c r="D187" s="53" t="s">
        <v>1122</v>
      </c>
      <c r="E187" s="34" t="n">
        <v>2393.38871549116</v>
      </c>
      <c r="F187" s="34" t="n">
        <v>9921.15370791774</v>
      </c>
      <c r="G187" s="34" t="n">
        <v>10077.0425958833</v>
      </c>
      <c r="H187" s="34" t="n">
        <v>10297.6483368114</v>
      </c>
      <c r="I187" s="34" t="n">
        <v>10524.1003648715</v>
      </c>
      <c r="J187" s="34" t="n">
        <v>10755.6305728987</v>
      </c>
      <c r="K187" s="34" t="n">
        <v>10992.2544455025</v>
      </c>
      <c r="L187" s="34" t="n">
        <v>11234.0840433035</v>
      </c>
    </row>
    <row r="188" customFormat="false" ht="15" hidden="false" customHeight="false" outlineLevel="0" collapsed="false">
      <c r="A188" s="53" t="s">
        <v>1127</v>
      </c>
      <c r="B188" s="19" t="s">
        <v>1128</v>
      </c>
      <c r="C188" s="20" t="s">
        <v>1050</v>
      </c>
      <c r="D188" s="53" t="s">
        <v>1129</v>
      </c>
      <c r="E188" s="82" t="n">
        <v>1</v>
      </c>
      <c r="F188" s="82" t="n">
        <v>1</v>
      </c>
      <c r="G188" s="82" t="n">
        <v>1</v>
      </c>
      <c r="H188" s="82" t="n">
        <v>1</v>
      </c>
      <c r="I188" s="82" t="n">
        <v>1</v>
      </c>
      <c r="J188" s="82" t="n">
        <v>1</v>
      </c>
      <c r="K188" s="82" t="n">
        <v>1</v>
      </c>
      <c r="L188" s="82" t="n">
        <v>1</v>
      </c>
    </row>
    <row r="189" customFormat="false" ht="15" hidden="false" customHeight="false" outlineLevel="0" collapsed="false">
      <c r="A189" s="53" t="s">
        <v>1130</v>
      </c>
      <c r="B189" s="19" t="s">
        <v>1131</v>
      </c>
      <c r="C189" s="20" t="s">
        <v>1054</v>
      </c>
      <c r="D189" s="53" t="s">
        <v>1129</v>
      </c>
      <c r="E189" s="34" t="n">
        <v>9512000</v>
      </c>
      <c r="F189" s="34" t="n">
        <v>9512000</v>
      </c>
      <c r="G189" s="34" t="n">
        <v>9512000</v>
      </c>
      <c r="H189" s="34" t="n">
        <v>9512000</v>
      </c>
      <c r="I189" s="34" t="n">
        <v>9512000</v>
      </c>
      <c r="J189" s="34" t="n">
        <v>9512000</v>
      </c>
      <c r="K189" s="34" t="n">
        <v>9512000</v>
      </c>
      <c r="L189" s="34" t="n">
        <v>9512000</v>
      </c>
    </row>
    <row r="190" customFormat="false" ht="15" hidden="false" customHeight="false" outlineLevel="0" collapsed="false">
      <c r="A190" s="53" t="s">
        <v>1132</v>
      </c>
      <c r="B190" s="19" t="s">
        <v>1133</v>
      </c>
      <c r="C190" s="20" t="s">
        <v>32</v>
      </c>
      <c r="D190" s="53" t="s">
        <v>1129</v>
      </c>
      <c r="E190" s="34" t="n">
        <v>2393.38871549116</v>
      </c>
      <c r="F190" s="34" t="n">
        <v>9921.15370791774</v>
      </c>
      <c r="G190" s="34" t="n">
        <v>10077.0425958833</v>
      </c>
      <c r="H190" s="34" t="n">
        <v>10297.6483368114</v>
      </c>
      <c r="I190" s="34" t="n">
        <v>10524.1003648715</v>
      </c>
      <c r="J190" s="34" t="n">
        <v>10755.6305728987</v>
      </c>
      <c r="K190" s="34" t="n">
        <v>10992.2544455025</v>
      </c>
      <c r="L190" s="34" t="n">
        <v>11234.0840433035</v>
      </c>
    </row>
    <row r="191" customFormat="false" ht="15" hidden="false" customHeight="false" outlineLevel="0" collapsed="false">
      <c r="A191" s="53" t="s">
        <v>1134</v>
      </c>
      <c r="B191" s="19" t="s">
        <v>1135</v>
      </c>
      <c r="C191" s="20" t="s">
        <v>1050</v>
      </c>
      <c r="D191" s="53" t="s">
        <v>1136</v>
      </c>
      <c r="E191" s="82" t="n">
        <v>1</v>
      </c>
      <c r="F191" s="82" t="n">
        <v>1</v>
      </c>
      <c r="G191" s="82" t="n">
        <v>1</v>
      </c>
      <c r="H191" s="82" t="n">
        <v>1</v>
      </c>
      <c r="I191" s="82" t="n">
        <v>1</v>
      </c>
      <c r="J191" s="82" t="n">
        <v>1</v>
      </c>
      <c r="K191" s="82" t="n">
        <v>1</v>
      </c>
      <c r="L191" s="82" t="n">
        <v>1</v>
      </c>
    </row>
    <row r="192" customFormat="false" ht="15" hidden="false" customHeight="false" outlineLevel="0" collapsed="false">
      <c r="A192" s="53" t="s">
        <v>1137</v>
      </c>
      <c r="B192" s="19" t="s">
        <v>1138</v>
      </c>
      <c r="C192" s="20" t="s">
        <v>1054</v>
      </c>
      <c r="D192" s="53" t="s">
        <v>1136</v>
      </c>
      <c r="E192" s="34" t="n">
        <v>17835000</v>
      </c>
      <c r="F192" s="34" t="n">
        <v>17835000</v>
      </c>
      <c r="G192" s="34" t="n">
        <v>17835000</v>
      </c>
      <c r="H192" s="34" t="n">
        <v>17835000</v>
      </c>
      <c r="I192" s="34" t="n">
        <v>17835000</v>
      </c>
      <c r="J192" s="34" t="n">
        <v>17835000</v>
      </c>
      <c r="K192" s="34" t="n">
        <v>17835000</v>
      </c>
      <c r="L192" s="34" t="n">
        <v>17835000</v>
      </c>
    </row>
    <row r="193" customFormat="false" ht="15" hidden="false" customHeight="false" outlineLevel="0" collapsed="false">
      <c r="A193" s="53" t="s">
        <v>1139</v>
      </c>
      <c r="B193" s="19" t="s">
        <v>1140</v>
      </c>
      <c r="C193" s="20" t="s">
        <v>32</v>
      </c>
      <c r="D193" s="53" t="s">
        <v>1136</v>
      </c>
      <c r="E193" s="34" t="n">
        <v>4487.60384154592</v>
      </c>
      <c r="F193" s="34" t="n">
        <v>18602.1632023458</v>
      </c>
      <c r="G193" s="34" t="n">
        <v>18894.4548672812</v>
      </c>
      <c r="H193" s="34" t="n">
        <v>19308.0906315214</v>
      </c>
      <c r="I193" s="34" t="n">
        <v>19732.6881841342</v>
      </c>
      <c r="J193" s="34" t="n">
        <v>20166.8073241851</v>
      </c>
      <c r="K193" s="34" t="n">
        <v>20610.4770853172</v>
      </c>
      <c r="L193" s="34" t="n">
        <v>21063.9075811941</v>
      </c>
    </row>
    <row r="194" customFormat="false" ht="15" hidden="false" customHeight="false" outlineLevel="0" collapsed="false">
      <c r="A194" s="53" t="s">
        <v>1141</v>
      </c>
      <c r="B194" s="19" t="s">
        <v>1142</v>
      </c>
      <c r="C194" s="20" t="s">
        <v>1050</v>
      </c>
      <c r="D194" s="53" t="s">
        <v>1143</v>
      </c>
      <c r="E194" s="82" t="n">
        <v>2</v>
      </c>
      <c r="F194" s="82" t="n">
        <v>2</v>
      </c>
      <c r="G194" s="82" t="n">
        <v>2</v>
      </c>
      <c r="H194" s="82" t="n">
        <v>2</v>
      </c>
      <c r="I194" s="82" t="n">
        <v>2</v>
      </c>
      <c r="J194" s="82" t="n">
        <v>2</v>
      </c>
      <c r="K194" s="82" t="n">
        <v>2</v>
      </c>
      <c r="L194" s="82" t="n">
        <v>2</v>
      </c>
    </row>
    <row r="195" customFormat="false" ht="15" hidden="false" customHeight="false" outlineLevel="0" collapsed="false">
      <c r="A195" s="53" t="s">
        <v>1144</v>
      </c>
      <c r="B195" s="19" t="s">
        <v>1145</v>
      </c>
      <c r="C195" s="20" t="s">
        <v>1054</v>
      </c>
      <c r="D195" s="53" t="s">
        <v>1143</v>
      </c>
      <c r="E195" s="34" t="n">
        <v>14268000</v>
      </c>
      <c r="F195" s="34" t="n">
        <v>14268000</v>
      </c>
      <c r="G195" s="34" t="n">
        <v>14268000</v>
      </c>
      <c r="H195" s="34" t="n">
        <v>14268000</v>
      </c>
      <c r="I195" s="34" t="n">
        <v>14268000</v>
      </c>
      <c r="J195" s="34" t="n">
        <v>14268000</v>
      </c>
      <c r="K195" s="34" t="n">
        <v>14268000</v>
      </c>
      <c r="L195" s="34" t="n">
        <v>14268000</v>
      </c>
    </row>
    <row r="196" customFormat="false" ht="15" hidden="false" customHeight="false" outlineLevel="0" collapsed="false">
      <c r="A196" s="53" t="s">
        <v>1146</v>
      </c>
      <c r="B196" s="19" t="s">
        <v>1147</v>
      </c>
      <c r="C196" s="20" t="s">
        <v>32</v>
      </c>
      <c r="D196" s="53" t="s">
        <v>1143</v>
      </c>
      <c r="E196" s="34" t="n">
        <v>7180.16614647347</v>
      </c>
      <c r="F196" s="34" t="n">
        <v>29763.4611237532</v>
      </c>
      <c r="G196" s="34" t="n">
        <v>30231.1277876499</v>
      </c>
      <c r="H196" s="34" t="n">
        <v>30892.9450104343</v>
      </c>
      <c r="I196" s="34" t="n">
        <v>31572.3010946146</v>
      </c>
      <c r="J196" s="34" t="n">
        <v>32266.8917186962</v>
      </c>
      <c r="K196" s="34" t="n">
        <v>32976.7633365075</v>
      </c>
      <c r="L196" s="34" t="n">
        <v>33702.2521299106</v>
      </c>
    </row>
    <row r="197" customFormat="false" ht="15" hidden="false" customHeight="false" outlineLevel="0" collapsed="false">
      <c r="A197" s="53" t="s">
        <v>1148</v>
      </c>
      <c r="B197" s="19" t="s">
        <v>1149</v>
      </c>
      <c r="C197" s="20" t="s">
        <v>1050</v>
      </c>
      <c r="D197" s="53" t="s">
        <v>1150</v>
      </c>
      <c r="E197" s="82" t="n">
        <v>1</v>
      </c>
      <c r="F197" s="82" t="n">
        <v>1</v>
      </c>
      <c r="G197" s="82" t="n">
        <v>1</v>
      </c>
      <c r="H197" s="82" t="n">
        <v>1</v>
      </c>
      <c r="I197" s="82" t="n">
        <v>1</v>
      </c>
      <c r="J197" s="82" t="n">
        <v>1</v>
      </c>
      <c r="K197" s="82" t="n">
        <v>1</v>
      </c>
      <c r="L197" s="82" t="n">
        <v>1</v>
      </c>
    </row>
    <row r="198" customFormat="false" ht="15" hidden="false" customHeight="false" outlineLevel="0" collapsed="false">
      <c r="A198" s="53" t="s">
        <v>1151</v>
      </c>
      <c r="B198" s="19" t="s">
        <v>1152</v>
      </c>
      <c r="C198" s="20" t="s">
        <v>1054</v>
      </c>
      <c r="D198" s="53" t="s">
        <v>1150</v>
      </c>
      <c r="E198" s="34" t="n">
        <v>14268000</v>
      </c>
      <c r="F198" s="34" t="n">
        <v>14268000</v>
      </c>
      <c r="G198" s="34" t="n">
        <v>14268000</v>
      </c>
      <c r="H198" s="34" t="n">
        <v>14268000</v>
      </c>
      <c r="I198" s="34" t="n">
        <v>14268000</v>
      </c>
      <c r="J198" s="34" t="n">
        <v>14268000</v>
      </c>
      <c r="K198" s="34" t="n">
        <v>14268000</v>
      </c>
      <c r="L198" s="34" t="n">
        <v>14268000</v>
      </c>
    </row>
    <row r="199" customFormat="false" ht="15" hidden="false" customHeight="false" outlineLevel="0" collapsed="false">
      <c r="A199" s="53" t="s">
        <v>1153</v>
      </c>
      <c r="B199" s="19" t="s">
        <v>1154</v>
      </c>
      <c r="C199" s="20" t="s">
        <v>32</v>
      </c>
      <c r="D199" s="53" t="s">
        <v>1150</v>
      </c>
      <c r="E199" s="34" t="n">
        <v>3590.08307323673</v>
      </c>
      <c r="F199" s="34" t="n">
        <v>14881.7305618766</v>
      </c>
      <c r="G199" s="34" t="n">
        <v>15115.563893825</v>
      </c>
      <c r="H199" s="34" t="n">
        <v>15446.4725052172</v>
      </c>
      <c r="I199" s="34" t="n">
        <v>15786.1505473073</v>
      </c>
      <c r="J199" s="34" t="n">
        <v>16133.4458593481</v>
      </c>
      <c r="K199" s="34" t="n">
        <v>16488.3816682537</v>
      </c>
      <c r="L199" s="34" t="n">
        <v>16851.1260649553</v>
      </c>
    </row>
    <row r="200" customFormat="false" ht="15" hidden="false" customHeight="false" outlineLevel="0" collapsed="false">
      <c r="A200" s="53" t="s">
        <v>1155</v>
      </c>
      <c r="B200" s="19" t="s">
        <v>1156</v>
      </c>
      <c r="C200" s="20" t="s">
        <v>1050</v>
      </c>
      <c r="D200" s="53" t="s">
        <v>1157</v>
      </c>
      <c r="E200" s="82" t="n">
        <v>2</v>
      </c>
      <c r="F200" s="82" t="n">
        <v>2</v>
      </c>
      <c r="G200" s="82" t="n">
        <v>2</v>
      </c>
      <c r="H200" s="82" t="n">
        <v>2</v>
      </c>
      <c r="I200" s="82" t="n">
        <v>2</v>
      </c>
      <c r="J200" s="82" t="n">
        <v>2</v>
      </c>
      <c r="K200" s="82" t="n">
        <v>2</v>
      </c>
      <c r="L200" s="82" t="n">
        <v>2</v>
      </c>
    </row>
    <row r="201" customFormat="false" ht="15" hidden="false" customHeight="false" outlineLevel="0" collapsed="false">
      <c r="A201" s="53" t="s">
        <v>1158</v>
      </c>
      <c r="B201" s="19" t="s">
        <v>1159</v>
      </c>
      <c r="C201" s="20" t="s">
        <v>1054</v>
      </c>
      <c r="D201" s="53" t="s">
        <v>1157</v>
      </c>
      <c r="E201" s="34" t="n">
        <v>7134000</v>
      </c>
      <c r="F201" s="34" t="n">
        <v>7134000</v>
      </c>
      <c r="G201" s="34" t="n">
        <v>7134000</v>
      </c>
      <c r="H201" s="34" t="n">
        <v>7134000</v>
      </c>
      <c r="I201" s="34" t="n">
        <v>7134000</v>
      </c>
      <c r="J201" s="34" t="n">
        <v>7134000</v>
      </c>
      <c r="K201" s="34" t="n">
        <v>7134000</v>
      </c>
      <c r="L201" s="34" t="n">
        <v>7134000</v>
      </c>
    </row>
    <row r="202" customFormat="false" ht="15" hidden="false" customHeight="false" outlineLevel="0" collapsed="false">
      <c r="A202" s="53" t="s">
        <v>1160</v>
      </c>
      <c r="B202" s="19" t="s">
        <v>1161</v>
      </c>
      <c r="C202" s="20" t="s">
        <v>32</v>
      </c>
      <c r="D202" s="53" t="s">
        <v>1157</v>
      </c>
      <c r="E202" s="34" t="n">
        <v>3590.08307323673</v>
      </c>
      <c r="F202" s="34" t="n">
        <v>14881.7305618766</v>
      </c>
      <c r="G202" s="34" t="n">
        <v>15115.563893825</v>
      </c>
      <c r="H202" s="34" t="n">
        <v>15446.4725052172</v>
      </c>
      <c r="I202" s="34" t="n">
        <v>15786.1505473073</v>
      </c>
      <c r="J202" s="34" t="n">
        <v>16133.4458593481</v>
      </c>
      <c r="K202" s="34" t="n">
        <v>16488.3816682537</v>
      </c>
      <c r="L202" s="34" t="n">
        <v>16851.1260649553</v>
      </c>
    </row>
    <row r="203" customFormat="false" ht="15" hidden="false" customHeight="false" outlineLevel="0" collapsed="false">
      <c r="A203" s="53" t="s">
        <v>1162</v>
      </c>
      <c r="B203" s="19" t="s">
        <v>1163</v>
      </c>
      <c r="C203" s="20" t="s">
        <v>1050</v>
      </c>
      <c r="D203" s="53" t="s">
        <v>1164</v>
      </c>
      <c r="E203" s="82" t="n">
        <v>5</v>
      </c>
      <c r="F203" s="82" t="n">
        <v>5</v>
      </c>
      <c r="G203" s="82" t="n">
        <v>5</v>
      </c>
      <c r="H203" s="82" t="n">
        <v>5</v>
      </c>
      <c r="I203" s="82" t="n">
        <v>5</v>
      </c>
      <c r="J203" s="82" t="n">
        <v>5</v>
      </c>
      <c r="K203" s="82" t="n">
        <v>5</v>
      </c>
      <c r="L203" s="82" t="n">
        <v>5</v>
      </c>
    </row>
    <row r="204" customFormat="false" ht="23.85" hidden="false" customHeight="false" outlineLevel="0" collapsed="false">
      <c r="A204" s="53" t="s">
        <v>1165</v>
      </c>
      <c r="B204" s="19" t="s">
        <v>1166</v>
      </c>
      <c r="C204" s="20" t="s">
        <v>1054</v>
      </c>
      <c r="D204" s="53" t="s">
        <v>1164</v>
      </c>
      <c r="E204" s="34" t="n">
        <v>7134000</v>
      </c>
      <c r="F204" s="34" t="n">
        <v>7134000</v>
      </c>
      <c r="G204" s="34" t="n">
        <v>7134000</v>
      </c>
      <c r="H204" s="34" t="n">
        <v>7134000</v>
      </c>
      <c r="I204" s="34" t="n">
        <v>7134000</v>
      </c>
      <c r="J204" s="34" t="n">
        <v>7134000</v>
      </c>
      <c r="K204" s="34" t="n">
        <v>7134000</v>
      </c>
      <c r="L204" s="34" t="n">
        <v>7134000</v>
      </c>
    </row>
    <row r="205" customFormat="false" ht="23.85" hidden="false" customHeight="false" outlineLevel="0" collapsed="false">
      <c r="A205" s="53" t="s">
        <v>1167</v>
      </c>
      <c r="B205" s="19" t="s">
        <v>1168</v>
      </c>
      <c r="C205" s="20" t="s">
        <v>32</v>
      </c>
      <c r="D205" s="53" t="s">
        <v>1164</v>
      </c>
      <c r="E205" s="34" t="n">
        <v>8975.20768309183</v>
      </c>
      <c r="F205" s="34" t="n">
        <v>37204.3264046915</v>
      </c>
      <c r="G205" s="34" t="n">
        <v>37788.9097345624</v>
      </c>
      <c r="H205" s="34" t="n">
        <v>38616.1812630429</v>
      </c>
      <c r="I205" s="34" t="n">
        <v>39465.3763682683</v>
      </c>
      <c r="J205" s="34" t="n">
        <v>40333.6146483702</v>
      </c>
      <c r="K205" s="34" t="n">
        <v>41220.9541706343</v>
      </c>
      <c r="L205" s="34" t="n">
        <v>42127.8151623883</v>
      </c>
    </row>
    <row r="206" customFormat="false" ht="15" hidden="false" customHeight="false" outlineLevel="0" collapsed="false">
      <c r="A206" s="53" t="s">
        <v>1169</v>
      </c>
      <c r="B206" s="19" t="s">
        <v>1170</v>
      </c>
      <c r="C206" s="20" t="s">
        <v>1050</v>
      </c>
      <c r="D206" s="53" t="s">
        <v>1171</v>
      </c>
      <c r="E206" s="82" t="n">
        <v>2</v>
      </c>
      <c r="F206" s="82" t="n">
        <v>2</v>
      </c>
      <c r="G206" s="82" t="n">
        <v>2</v>
      </c>
      <c r="H206" s="82" t="n">
        <v>2</v>
      </c>
      <c r="I206" s="82" t="n">
        <v>2</v>
      </c>
      <c r="J206" s="82" t="n">
        <v>2</v>
      </c>
      <c r="K206" s="82" t="n">
        <v>2</v>
      </c>
      <c r="L206" s="82" t="n">
        <v>2</v>
      </c>
    </row>
    <row r="207" customFormat="false" ht="23.85" hidden="false" customHeight="false" outlineLevel="0" collapsed="false">
      <c r="A207" s="53" t="s">
        <v>1172</v>
      </c>
      <c r="B207" s="19" t="s">
        <v>1173</v>
      </c>
      <c r="C207" s="20" t="s">
        <v>1054</v>
      </c>
      <c r="D207" s="53" t="s">
        <v>1171</v>
      </c>
      <c r="E207" s="34" t="n">
        <v>7134000</v>
      </c>
      <c r="F207" s="34" t="n">
        <v>7134000</v>
      </c>
      <c r="G207" s="34" t="n">
        <v>7134000</v>
      </c>
      <c r="H207" s="34" t="n">
        <v>7134000</v>
      </c>
      <c r="I207" s="34" t="n">
        <v>7134000</v>
      </c>
      <c r="J207" s="34" t="n">
        <v>7134000</v>
      </c>
      <c r="K207" s="34" t="n">
        <v>7134000</v>
      </c>
      <c r="L207" s="34" t="n">
        <v>7134000</v>
      </c>
    </row>
    <row r="208" customFormat="false" ht="15" hidden="false" customHeight="false" outlineLevel="0" collapsed="false">
      <c r="A208" s="53" t="s">
        <v>1174</v>
      </c>
      <c r="B208" s="19" t="s">
        <v>1175</v>
      </c>
      <c r="C208" s="20" t="s">
        <v>32</v>
      </c>
      <c r="D208" s="53" t="s">
        <v>1171</v>
      </c>
      <c r="E208" s="34" t="n">
        <v>3590.08307323673</v>
      </c>
      <c r="F208" s="34" t="n">
        <v>14881.7305618766</v>
      </c>
      <c r="G208" s="34" t="n">
        <v>15115.563893825</v>
      </c>
      <c r="H208" s="34" t="n">
        <v>15446.4725052172</v>
      </c>
      <c r="I208" s="34" t="n">
        <v>15786.1505473073</v>
      </c>
      <c r="J208" s="34" t="n">
        <v>16133.4458593481</v>
      </c>
      <c r="K208" s="34" t="n">
        <v>16488.3816682537</v>
      </c>
      <c r="L208" s="34" t="n">
        <v>16851.1260649553</v>
      </c>
    </row>
    <row r="209" customFormat="false" ht="15" hidden="false" customHeight="false" outlineLevel="0" collapsed="false">
      <c r="A209" s="53" t="s">
        <v>1176</v>
      </c>
      <c r="B209" s="19" t="s">
        <v>1177</v>
      </c>
      <c r="C209" s="20" t="s">
        <v>1050</v>
      </c>
      <c r="D209" s="53" t="s">
        <v>1178</v>
      </c>
      <c r="E209" s="82" t="n">
        <v>0</v>
      </c>
      <c r="F209" s="82" t="n">
        <v>1</v>
      </c>
      <c r="G209" s="82" t="n">
        <v>1</v>
      </c>
      <c r="H209" s="82" t="n">
        <v>1</v>
      </c>
      <c r="I209" s="82" t="n">
        <v>1</v>
      </c>
      <c r="J209" s="82" t="n">
        <v>1</v>
      </c>
      <c r="K209" s="82" t="n">
        <v>1</v>
      </c>
      <c r="L209" s="82" t="n">
        <v>1</v>
      </c>
    </row>
    <row r="210" customFormat="false" ht="15" hidden="false" customHeight="false" outlineLevel="0" collapsed="false">
      <c r="A210" s="53" t="s">
        <v>1179</v>
      </c>
      <c r="B210" s="19" t="s">
        <v>1180</v>
      </c>
      <c r="C210" s="20" t="s">
        <v>1054</v>
      </c>
      <c r="D210" s="53" t="s">
        <v>1178</v>
      </c>
      <c r="E210" s="34" t="n">
        <v>0</v>
      </c>
      <c r="F210" s="34" t="n">
        <v>17835000</v>
      </c>
      <c r="G210" s="34" t="n">
        <v>17835000</v>
      </c>
      <c r="H210" s="34" t="n">
        <v>17835000</v>
      </c>
      <c r="I210" s="34" t="n">
        <v>17835000</v>
      </c>
      <c r="J210" s="34" t="n">
        <v>17835000</v>
      </c>
      <c r="K210" s="34" t="n">
        <v>17835000</v>
      </c>
      <c r="L210" s="34" t="n">
        <v>17835000</v>
      </c>
    </row>
    <row r="211" customFormat="false" ht="15" hidden="false" customHeight="false" outlineLevel="0" collapsed="false">
      <c r="A211" s="53" t="s">
        <v>1181</v>
      </c>
      <c r="B211" s="19" t="s">
        <v>1182</v>
      </c>
      <c r="C211" s="20" t="s">
        <v>32</v>
      </c>
      <c r="D211" s="53" t="s">
        <v>1178</v>
      </c>
      <c r="E211" s="34" t="n">
        <v>0</v>
      </c>
      <c r="F211" s="34" t="n">
        <v>4582.20898554984</v>
      </c>
      <c r="G211" s="34" t="n">
        <v>18894.4548672812</v>
      </c>
      <c r="H211" s="34" t="n">
        <v>19308.0906315214</v>
      </c>
      <c r="I211" s="34" t="n">
        <v>19732.6881841342</v>
      </c>
      <c r="J211" s="34" t="n">
        <v>20166.8073241851</v>
      </c>
      <c r="K211" s="34" t="n">
        <v>20610.4770853172</v>
      </c>
      <c r="L211" s="34" t="n">
        <v>21063.9075811941</v>
      </c>
    </row>
    <row r="212" customFormat="false" ht="15" hidden="false" customHeight="false" outlineLevel="0" collapsed="false">
      <c r="A212" s="53" t="s">
        <v>1183</v>
      </c>
      <c r="B212" s="19" t="s">
        <v>1184</v>
      </c>
      <c r="C212" s="20" t="s">
        <v>1050</v>
      </c>
      <c r="D212" s="53" t="s">
        <v>1185</v>
      </c>
      <c r="E212" s="82" t="n">
        <v>0</v>
      </c>
      <c r="F212" s="82" t="n">
        <v>16</v>
      </c>
      <c r="G212" s="82" t="n">
        <v>16</v>
      </c>
      <c r="H212" s="82" t="n">
        <v>16</v>
      </c>
      <c r="I212" s="82" t="n">
        <v>16</v>
      </c>
      <c r="J212" s="82" t="n">
        <v>16</v>
      </c>
      <c r="K212" s="82" t="n">
        <v>16</v>
      </c>
      <c r="L212" s="82" t="n">
        <v>16</v>
      </c>
    </row>
    <row r="213" customFormat="false" ht="23.85" hidden="false" customHeight="false" outlineLevel="0" collapsed="false">
      <c r="A213" s="53" t="s">
        <v>1186</v>
      </c>
      <c r="B213" s="19" t="s">
        <v>1187</v>
      </c>
      <c r="C213" s="20" t="s">
        <v>1054</v>
      </c>
      <c r="D213" s="53" t="s">
        <v>1185</v>
      </c>
      <c r="E213" s="34" t="n">
        <v>0</v>
      </c>
      <c r="F213" s="34" t="n">
        <v>15457000</v>
      </c>
      <c r="G213" s="34" t="n">
        <v>15457000</v>
      </c>
      <c r="H213" s="34" t="n">
        <v>15457000</v>
      </c>
      <c r="I213" s="34" t="n">
        <v>15457000</v>
      </c>
      <c r="J213" s="34" t="n">
        <v>15457000</v>
      </c>
      <c r="K213" s="34" t="n">
        <v>15457000</v>
      </c>
      <c r="L213" s="34" t="n">
        <v>15457000</v>
      </c>
    </row>
    <row r="214" customFormat="false" ht="15" hidden="false" customHeight="false" outlineLevel="0" collapsed="false">
      <c r="A214" s="53" t="s">
        <v>1188</v>
      </c>
      <c r="B214" s="19" t="s">
        <v>1189</v>
      </c>
      <c r="C214" s="20" t="s">
        <v>32</v>
      </c>
      <c r="D214" s="53" t="s">
        <v>1185</v>
      </c>
      <c r="E214" s="34" t="n">
        <v>0</v>
      </c>
      <c r="F214" s="34" t="n">
        <v>63539.9645996245</v>
      </c>
      <c r="G214" s="34" t="n">
        <v>262003.107492966</v>
      </c>
      <c r="H214" s="34" t="n">
        <v>267738.856757097</v>
      </c>
      <c r="I214" s="34" t="n">
        <v>273626.60948666</v>
      </c>
      <c r="J214" s="34" t="n">
        <v>279646.394895367</v>
      </c>
      <c r="K214" s="34" t="n">
        <v>285798.615583065</v>
      </c>
      <c r="L214" s="34" t="n">
        <v>292086.185125892</v>
      </c>
    </row>
    <row r="215" customFormat="false" ht="15" hidden="false" customHeight="false" outlineLevel="0" collapsed="false">
      <c r="A215" s="53" t="s">
        <v>1190</v>
      </c>
      <c r="B215" s="19" t="s">
        <v>1191</v>
      </c>
      <c r="C215" s="20" t="s">
        <v>1050</v>
      </c>
      <c r="D215" s="53" t="s">
        <v>1192</v>
      </c>
      <c r="E215" s="82" t="n">
        <v>0</v>
      </c>
      <c r="F215" s="82" t="n">
        <v>1</v>
      </c>
      <c r="G215" s="82" t="n">
        <v>1</v>
      </c>
      <c r="H215" s="82" t="n">
        <v>1</v>
      </c>
      <c r="I215" s="82" t="n">
        <v>1</v>
      </c>
      <c r="J215" s="82" t="n">
        <v>1</v>
      </c>
      <c r="K215" s="82" t="n">
        <v>1</v>
      </c>
      <c r="L215" s="82" t="n">
        <v>1</v>
      </c>
    </row>
    <row r="216" customFormat="false" ht="15" hidden="false" customHeight="false" outlineLevel="0" collapsed="false">
      <c r="A216" s="53" t="s">
        <v>1193</v>
      </c>
      <c r="B216" s="19" t="s">
        <v>1194</v>
      </c>
      <c r="C216" s="20" t="s">
        <v>1054</v>
      </c>
      <c r="D216" s="53" t="s">
        <v>1192</v>
      </c>
      <c r="E216" s="34" t="n">
        <v>0</v>
      </c>
      <c r="F216" s="34" t="n">
        <v>17835000</v>
      </c>
      <c r="G216" s="34" t="n">
        <v>17835000</v>
      </c>
      <c r="H216" s="34" t="n">
        <v>17835000</v>
      </c>
      <c r="I216" s="34" t="n">
        <v>17835000</v>
      </c>
      <c r="J216" s="34" t="n">
        <v>17835000</v>
      </c>
      <c r="K216" s="34" t="n">
        <v>17835000</v>
      </c>
      <c r="L216" s="34" t="n">
        <v>17835000</v>
      </c>
    </row>
    <row r="217" customFormat="false" ht="15" hidden="false" customHeight="false" outlineLevel="0" collapsed="false">
      <c r="A217" s="53" t="s">
        <v>1195</v>
      </c>
      <c r="B217" s="19" t="s">
        <v>1196</v>
      </c>
      <c r="C217" s="20" t="s">
        <v>32</v>
      </c>
      <c r="D217" s="53" t="s">
        <v>1192</v>
      </c>
      <c r="E217" s="34" t="n">
        <v>0</v>
      </c>
      <c r="F217" s="34" t="n">
        <v>4582.20898554984</v>
      </c>
      <c r="G217" s="34" t="n">
        <v>18894.4548672812</v>
      </c>
      <c r="H217" s="34" t="n">
        <v>19308.0906315214</v>
      </c>
      <c r="I217" s="34" t="n">
        <v>19732.6881841342</v>
      </c>
      <c r="J217" s="34" t="n">
        <v>20166.8073241851</v>
      </c>
      <c r="K217" s="34" t="n">
        <v>20610.4770853172</v>
      </c>
      <c r="L217" s="34" t="n">
        <v>21063.9075811941</v>
      </c>
    </row>
    <row r="218" customFormat="false" ht="15" hidden="false" customHeight="false" outlineLevel="0" collapsed="false">
      <c r="A218" s="53" t="s">
        <v>1197</v>
      </c>
      <c r="B218" s="19" t="s">
        <v>1198</v>
      </c>
      <c r="C218" s="20" t="s">
        <v>1050</v>
      </c>
      <c r="D218" s="53" t="s">
        <v>1199</v>
      </c>
      <c r="E218" s="82" t="n">
        <v>0</v>
      </c>
      <c r="F218" s="82" t="n">
        <v>4</v>
      </c>
      <c r="G218" s="82" t="n">
        <v>4</v>
      </c>
      <c r="H218" s="82" t="n">
        <v>4</v>
      </c>
      <c r="I218" s="82" t="n">
        <v>4</v>
      </c>
      <c r="J218" s="82" t="n">
        <v>4</v>
      </c>
      <c r="K218" s="82" t="n">
        <v>4</v>
      </c>
      <c r="L218" s="82" t="n">
        <v>4</v>
      </c>
    </row>
    <row r="219" customFormat="false" ht="15" hidden="false" customHeight="false" outlineLevel="0" collapsed="false">
      <c r="A219" s="53" t="s">
        <v>1200</v>
      </c>
      <c r="B219" s="19" t="s">
        <v>1201</v>
      </c>
      <c r="C219" s="20" t="s">
        <v>1054</v>
      </c>
      <c r="D219" s="53" t="s">
        <v>1199</v>
      </c>
      <c r="E219" s="34" t="n">
        <v>0</v>
      </c>
      <c r="F219" s="34" t="n">
        <v>15457000</v>
      </c>
      <c r="G219" s="34" t="n">
        <v>15457000</v>
      </c>
      <c r="H219" s="34" t="n">
        <v>15457000</v>
      </c>
      <c r="I219" s="34" t="n">
        <v>15457000</v>
      </c>
      <c r="J219" s="34" t="n">
        <v>15457000</v>
      </c>
      <c r="K219" s="34" t="n">
        <v>15457000</v>
      </c>
      <c r="L219" s="34" t="n">
        <v>15457000</v>
      </c>
    </row>
    <row r="220" customFormat="false" ht="15" hidden="false" customHeight="false" outlineLevel="0" collapsed="false">
      <c r="A220" s="53" t="s">
        <v>1202</v>
      </c>
      <c r="B220" s="19" t="s">
        <v>1203</v>
      </c>
      <c r="C220" s="20" t="s">
        <v>32</v>
      </c>
      <c r="D220" s="53" t="s">
        <v>1199</v>
      </c>
      <c r="E220" s="34" t="n">
        <v>0</v>
      </c>
      <c r="F220" s="34" t="n">
        <v>15884.9911499061</v>
      </c>
      <c r="G220" s="34" t="n">
        <v>65500.7768732415</v>
      </c>
      <c r="H220" s="34" t="n">
        <v>66934.7141892743</v>
      </c>
      <c r="I220" s="34" t="n">
        <v>68406.652371665</v>
      </c>
      <c r="J220" s="34" t="n">
        <v>69911.5987238417</v>
      </c>
      <c r="K220" s="34" t="n">
        <v>71449.6538957662</v>
      </c>
      <c r="L220" s="34" t="n">
        <v>73021.546281473</v>
      </c>
    </row>
    <row r="221" customFormat="false" ht="15" hidden="false" customHeight="false" outlineLevel="0" collapsed="false">
      <c r="A221" s="53" t="s">
        <v>1204</v>
      </c>
      <c r="B221" s="19" t="s">
        <v>1205</v>
      </c>
      <c r="C221" s="20" t="s">
        <v>1050</v>
      </c>
      <c r="D221" s="53" t="s">
        <v>1206</v>
      </c>
      <c r="E221" s="82" t="n">
        <v>0</v>
      </c>
      <c r="F221" s="82" t="n">
        <v>8</v>
      </c>
      <c r="G221" s="82" t="n">
        <v>8</v>
      </c>
      <c r="H221" s="82" t="n">
        <v>8</v>
      </c>
      <c r="I221" s="82" t="n">
        <v>8</v>
      </c>
      <c r="J221" s="82" t="n">
        <v>8</v>
      </c>
      <c r="K221" s="82" t="n">
        <v>8</v>
      </c>
      <c r="L221" s="82" t="n">
        <v>8</v>
      </c>
    </row>
    <row r="222" customFormat="false" ht="15" hidden="false" customHeight="false" outlineLevel="0" collapsed="false">
      <c r="A222" s="53" t="s">
        <v>1207</v>
      </c>
      <c r="B222" s="19" t="s">
        <v>1208</v>
      </c>
      <c r="C222" s="20" t="s">
        <v>1054</v>
      </c>
      <c r="D222" s="53" t="s">
        <v>1206</v>
      </c>
      <c r="E222" s="34" t="n">
        <v>0</v>
      </c>
      <c r="F222" s="34" t="n">
        <v>15457000</v>
      </c>
      <c r="G222" s="34" t="n">
        <v>15457000</v>
      </c>
      <c r="H222" s="34" t="n">
        <v>15457000</v>
      </c>
      <c r="I222" s="34" t="n">
        <v>15457000</v>
      </c>
      <c r="J222" s="34" t="n">
        <v>15457000</v>
      </c>
      <c r="K222" s="34" t="n">
        <v>15457000</v>
      </c>
      <c r="L222" s="34" t="n">
        <v>15457000</v>
      </c>
    </row>
    <row r="223" customFormat="false" ht="15" hidden="false" customHeight="false" outlineLevel="0" collapsed="false">
      <c r="A223" s="53" t="s">
        <v>1209</v>
      </c>
      <c r="B223" s="19" t="s">
        <v>1210</v>
      </c>
      <c r="C223" s="20" t="s">
        <v>32</v>
      </c>
      <c r="D223" s="53" t="s">
        <v>1206</v>
      </c>
      <c r="E223" s="34" t="n">
        <v>0</v>
      </c>
      <c r="F223" s="34" t="n">
        <v>31769.9822998122</v>
      </c>
      <c r="G223" s="34" t="n">
        <v>131001.553746483</v>
      </c>
      <c r="H223" s="34" t="n">
        <v>133869.428378549</v>
      </c>
      <c r="I223" s="34" t="n">
        <v>136813.30474333</v>
      </c>
      <c r="J223" s="34" t="n">
        <v>139823.197447683</v>
      </c>
      <c r="K223" s="34" t="n">
        <v>142899.307791532</v>
      </c>
      <c r="L223" s="34" t="n">
        <v>146043.092562946</v>
      </c>
    </row>
    <row r="224" customFormat="false" ht="15" hidden="false" customHeight="false" outlineLevel="0" collapsed="false">
      <c r="A224" s="53" t="s">
        <v>1211</v>
      </c>
      <c r="B224" s="19" t="s">
        <v>1212</v>
      </c>
      <c r="C224" s="20" t="s">
        <v>1050</v>
      </c>
      <c r="D224" s="53" t="s">
        <v>1213</v>
      </c>
      <c r="E224" s="82" t="n">
        <v>0</v>
      </c>
      <c r="F224" s="82" t="n">
        <v>4</v>
      </c>
      <c r="G224" s="82" t="n">
        <v>4</v>
      </c>
      <c r="H224" s="82" t="n">
        <v>4</v>
      </c>
      <c r="I224" s="82" t="n">
        <v>4</v>
      </c>
      <c r="J224" s="82" t="n">
        <v>4</v>
      </c>
      <c r="K224" s="82" t="n">
        <v>4</v>
      </c>
      <c r="L224" s="82" t="n">
        <v>4</v>
      </c>
    </row>
    <row r="225" customFormat="false" ht="15" hidden="false" customHeight="false" outlineLevel="0" collapsed="false">
      <c r="A225" s="53" t="s">
        <v>1214</v>
      </c>
      <c r="B225" s="19" t="s">
        <v>1215</v>
      </c>
      <c r="C225" s="20" t="s">
        <v>1054</v>
      </c>
      <c r="D225" s="53" t="s">
        <v>1213</v>
      </c>
      <c r="E225" s="34" t="n">
        <v>0</v>
      </c>
      <c r="F225" s="34" t="n">
        <v>15457000</v>
      </c>
      <c r="G225" s="34" t="n">
        <v>15457000</v>
      </c>
      <c r="H225" s="34" t="n">
        <v>15457000</v>
      </c>
      <c r="I225" s="34" t="n">
        <v>15457000</v>
      </c>
      <c r="J225" s="34" t="n">
        <v>15457000</v>
      </c>
      <c r="K225" s="34" t="n">
        <v>15457000</v>
      </c>
      <c r="L225" s="34" t="n">
        <v>15457000</v>
      </c>
    </row>
    <row r="226" customFormat="false" ht="15" hidden="false" customHeight="false" outlineLevel="0" collapsed="false">
      <c r="A226" s="53" t="s">
        <v>1216</v>
      </c>
      <c r="B226" s="19" t="s">
        <v>1217</v>
      </c>
      <c r="C226" s="20" t="s">
        <v>32</v>
      </c>
      <c r="D226" s="53" t="s">
        <v>1213</v>
      </c>
      <c r="E226" s="34" t="n">
        <v>0</v>
      </c>
      <c r="F226" s="34" t="n">
        <v>15884.9911499061</v>
      </c>
      <c r="G226" s="34" t="n">
        <v>65500.7768732415</v>
      </c>
      <c r="H226" s="34" t="n">
        <v>66934.7141892743</v>
      </c>
      <c r="I226" s="34" t="n">
        <v>68406.652371665</v>
      </c>
      <c r="J226" s="34" t="n">
        <v>69911.5987238417</v>
      </c>
      <c r="K226" s="34" t="n">
        <v>71449.6538957662</v>
      </c>
      <c r="L226" s="34" t="n">
        <v>73021.546281473</v>
      </c>
    </row>
    <row r="227" customFormat="false" ht="15" hidden="false" customHeight="false" outlineLevel="0" collapsed="false">
      <c r="A227" s="53" t="s">
        <v>1218</v>
      </c>
      <c r="B227" s="19" t="s">
        <v>1219</v>
      </c>
      <c r="C227" s="20" t="s">
        <v>1050</v>
      </c>
      <c r="D227" s="53" t="s">
        <v>1220</v>
      </c>
      <c r="E227" s="82" t="n">
        <v>0</v>
      </c>
      <c r="F227" s="82" t="n">
        <v>1</v>
      </c>
      <c r="G227" s="82" t="n">
        <v>1</v>
      </c>
      <c r="H227" s="82" t="n">
        <v>1</v>
      </c>
      <c r="I227" s="82" t="n">
        <v>1</v>
      </c>
      <c r="J227" s="82" t="n">
        <v>1</v>
      </c>
      <c r="K227" s="82" t="n">
        <v>1</v>
      </c>
      <c r="L227" s="82" t="n">
        <v>1</v>
      </c>
    </row>
    <row r="228" customFormat="false" ht="15" hidden="false" customHeight="false" outlineLevel="0" collapsed="false">
      <c r="A228" s="53" t="s">
        <v>1221</v>
      </c>
      <c r="B228" s="19" t="s">
        <v>1222</v>
      </c>
      <c r="C228" s="20" t="s">
        <v>1054</v>
      </c>
      <c r="D228" s="53" t="s">
        <v>1220</v>
      </c>
      <c r="E228" s="34" t="n">
        <v>0</v>
      </c>
      <c r="F228" s="34" t="n">
        <v>17835000</v>
      </c>
      <c r="G228" s="34" t="n">
        <v>17835000</v>
      </c>
      <c r="H228" s="34" t="n">
        <v>17835000</v>
      </c>
      <c r="I228" s="34" t="n">
        <v>17835000</v>
      </c>
      <c r="J228" s="34" t="n">
        <v>17835000</v>
      </c>
      <c r="K228" s="34" t="n">
        <v>17835000</v>
      </c>
      <c r="L228" s="34" t="n">
        <v>17835000</v>
      </c>
    </row>
    <row r="229" customFormat="false" ht="15" hidden="false" customHeight="false" outlineLevel="0" collapsed="false">
      <c r="A229" s="53" t="s">
        <v>1223</v>
      </c>
      <c r="B229" s="19" t="s">
        <v>1224</v>
      </c>
      <c r="C229" s="20" t="s">
        <v>32</v>
      </c>
      <c r="D229" s="53" t="s">
        <v>1220</v>
      </c>
      <c r="E229" s="34" t="n">
        <v>0</v>
      </c>
      <c r="F229" s="34" t="n">
        <v>4582.20898554984</v>
      </c>
      <c r="G229" s="34" t="n">
        <v>18894.4548672812</v>
      </c>
      <c r="H229" s="34" t="n">
        <v>19308.0906315214</v>
      </c>
      <c r="I229" s="34" t="n">
        <v>19732.6881841342</v>
      </c>
      <c r="J229" s="34" t="n">
        <v>20166.8073241851</v>
      </c>
      <c r="K229" s="34" t="n">
        <v>20610.4770853172</v>
      </c>
      <c r="L229" s="34" t="n">
        <v>21063.9075811941</v>
      </c>
    </row>
    <row r="230" customFormat="false" ht="15" hidden="false" customHeight="false" outlineLevel="0" collapsed="false">
      <c r="A230" s="53" t="s">
        <v>1225</v>
      </c>
      <c r="B230" s="19" t="s">
        <v>1226</v>
      </c>
      <c r="C230" s="20" t="s">
        <v>1050</v>
      </c>
      <c r="D230" s="53" t="s">
        <v>1227</v>
      </c>
      <c r="E230" s="82" t="n">
        <v>0</v>
      </c>
      <c r="F230" s="82" t="n">
        <v>4</v>
      </c>
      <c r="G230" s="82" t="n">
        <v>4</v>
      </c>
      <c r="H230" s="82" t="n">
        <v>4</v>
      </c>
      <c r="I230" s="82" t="n">
        <v>4</v>
      </c>
      <c r="J230" s="82" t="n">
        <v>4</v>
      </c>
      <c r="K230" s="82" t="n">
        <v>4</v>
      </c>
      <c r="L230" s="82" t="n">
        <v>4</v>
      </c>
    </row>
    <row r="231" customFormat="false" ht="15" hidden="false" customHeight="false" outlineLevel="0" collapsed="false">
      <c r="A231" s="53" t="s">
        <v>1228</v>
      </c>
      <c r="B231" s="19" t="s">
        <v>1229</v>
      </c>
      <c r="C231" s="20" t="s">
        <v>1054</v>
      </c>
      <c r="D231" s="53" t="s">
        <v>1227</v>
      </c>
      <c r="E231" s="34" t="n">
        <v>0</v>
      </c>
      <c r="F231" s="34" t="n">
        <v>15457000</v>
      </c>
      <c r="G231" s="34" t="n">
        <v>15457000</v>
      </c>
      <c r="H231" s="34" t="n">
        <v>15457000</v>
      </c>
      <c r="I231" s="34" t="n">
        <v>15457000</v>
      </c>
      <c r="J231" s="34" t="n">
        <v>15457000</v>
      </c>
      <c r="K231" s="34" t="n">
        <v>15457000</v>
      </c>
      <c r="L231" s="34" t="n">
        <v>15457000</v>
      </c>
    </row>
    <row r="232" customFormat="false" ht="15" hidden="false" customHeight="false" outlineLevel="0" collapsed="false">
      <c r="A232" s="53" t="s">
        <v>1230</v>
      </c>
      <c r="B232" s="19" t="s">
        <v>1231</v>
      </c>
      <c r="C232" s="20" t="s">
        <v>32</v>
      </c>
      <c r="D232" s="53" t="s">
        <v>1227</v>
      </c>
      <c r="E232" s="34" t="n">
        <v>0</v>
      </c>
      <c r="F232" s="34" t="n">
        <v>15884.9911499061</v>
      </c>
      <c r="G232" s="34" t="n">
        <v>65500.7768732415</v>
      </c>
      <c r="H232" s="34" t="n">
        <v>66934.7141892743</v>
      </c>
      <c r="I232" s="34" t="n">
        <v>68406.652371665</v>
      </c>
      <c r="J232" s="34" t="n">
        <v>69911.5987238417</v>
      </c>
      <c r="K232" s="34" t="n">
        <v>71449.6538957662</v>
      </c>
      <c r="L232" s="34" t="n">
        <v>73021.546281473</v>
      </c>
    </row>
    <row r="233" customFormat="false" ht="15" hidden="false" customHeight="false" outlineLevel="0" collapsed="false">
      <c r="A233" s="53" t="s">
        <v>1232</v>
      </c>
      <c r="B233" s="19" t="s">
        <v>1233</v>
      </c>
      <c r="C233" s="20" t="s">
        <v>1050</v>
      </c>
      <c r="D233" s="53" t="s">
        <v>1234</v>
      </c>
      <c r="E233" s="82" t="n">
        <v>0</v>
      </c>
      <c r="F233" s="82" t="n">
        <v>4</v>
      </c>
      <c r="G233" s="82" t="n">
        <v>4</v>
      </c>
      <c r="H233" s="82" t="n">
        <v>4</v>
      </c>
      <c r="I233" s="82" t="n">
        <v>4</v>
      </c>
      <c r="J233" s="82" t="n">
        <v>4</v>
      </c>
      <c r="K233" s="82" t="n">
        <v>4</v>
      </c>
      <c r="L233" s="82" t="n">
        <v>4</v>
      </c>
    </row>
    <row r="234" customFormat="false" ht="15" hidden="false" customHeight="false" outlineLevel="0" collapsed="false">
      <c r="A234" s="53" t="s">
        <v>1235</v>
      </c>
      <c r="B234" s="19" t="s">
        <v>1236</v>
      </c>
      <c r="C234" s="20" t="s">
        <v>1054</v>
      </c>
      <c r="D234" s="53" t="s">
        <v>1234</v>
      </c>
      <c r="E234" s="34" t="n">
        <v>0</v>
      </c>
      <c r="F234" s="34" t="n">
        <v>15457000</v>
      </c>
      <c r="G234" s="34" t="n">
        <v>15457000</v>
      </c>
      <c r="H234" s="34" t="n">
        <v>15457000</v>
      </c>
      <c r="I234" s="34" t="n">
        <v>15457000</v>
      </c>
      <c r="J234" s="34" t="n">
        <v>15457000</v>
      </c>
      <c r="K234" s="34" t="n">
        <v>15457000</v>
      </c>
      <c r="L234" s="34" t="n">
        <v>15457000</v>
      </c>
    </row>
    <row r="235" customFormat="false" ht="15" hidden="false" customHeight="false" outlineLevel="0" collapsed="false">
      <c r="A235" s="53" t="s">
        <v>1237</v>
      </c>
      <c r="B235" s="19" t="s">
        <v>1238</v>
      </c>
      <c r="C235" s="20" t="s">
        <v>32</v>
      </c>
      <c r="D235" s="53" t="s">
        <v>1234</v>
      </c>
      <c r="E235" s="34" t="n">
        <v>0</v>
      </c>
      <c r="F235" s="34" t="n">
        <v>15884.9911499061</v>
      </c>
      <c r="G235" s="34" t="n">
        <v>65500.7768732415</v>
      </c>
      <c r="H235" s="34" t="n">
        <v>66934.7141892743</v>
      </c>
      <c r="I235" s="34" t="n">
        <v>68406.652371665</v>
      </c>
      <c r="J235" s="34" t="n">
        <v>69911.5987238417</v>
      </c>
      <c r="K235" s="34" t="n">
        <v>71449.6538957662</v>
      </c>
      <c r="L235" s="34" t="n">
        <v>73021.546281473</v>
      </c>
    </row>
    <row r="236" customFormat="false" ht="15" hidden="false" customHeight="false" outlineLevel="0" collapsed="false">
      <c r="A236" s="53" t="s">
        <v>1239</v>
      </c>
      <c r="B236" s="19" t="s">
        <v>1240</v>
      </c>
      <c r="C236" s="20" t="s">
        <v>1050</v>
      </c>
      <c r="D236" s="53" t="s">
        <v>1241</v>
      </c>
      <c r="E236" s="82" t="n">
        <v>0</v>
      </c>
      <c r="F236" s="82" t="n">
        <v>8</v>
      </c>
      <c r="G236" s="82" t="n">
        <v>8</v>
      </c>
      <c r="H236" s="82" t="n">
        <v>8</v>
      </c>
      <c r="I236" s="82" t="n">
        <v>8</v>
      </c>
      <c r="J236" s="82" t="n">
        <v>8</v>
      </c>
      <c r="K236" s="82" t="n">
        <v>8</v>
      </c>
      <c r="L236" s="82" t="n">
        <v>8</v>
      </c>
    </row>
    <row r="237" customFormat="false" ht="15" hidden="false" customHeight="false" outlineLevel="0" collapsed="false">
      <c r="A237" s="53" t="s">
        <v>1242</v>
      </c>
      <c r="B237" s="19" t="s">
        <v>1243</v>
      </c>
      <c r="C237" s="20" t="s">
        <v>1054</v>
      </c>
      <c r="D237" s="53" t="s">
        <v>1241</v>
      </c>
      <c r="E237" s="34" t="n">
        <v>0</v>
      </c>
      <c r="F237" s="34" t="n">
        <v>15457000</v>
      </c>
      <c r="G237" s="34" t="n">
        <v>15457000</v>
      </c>
      <c r="H237" s="34" t="n">
        <v>15457000</v>
      </c>
      <c r="I237" s="34" t="n">
        <v>15457000</v>
      </c>
      <c r="J237" s="34" t="n">
        <v>15457000</v>
      </c>
      <c r="K237" s="34" t="n">
        <v>15457000</v>
      </c>
      <c r="L237" s="34" t="n">
        <v>15457000</v>
      </c>
    </row>
    <row r="238" customFormat="false" ht="15" hidden="false" customHeight="false" outlineLevel="0" collapsed="false">
      <c r="A238" s="53" t="s">
        <v>1244</v>
      </c>
      <c r="B238" s="19" t="s">
        <v>1245</v>
      </c>
      <c r="C238" s="20" t="s">
        <v>32</v>
      </c>
      <c r="D238" s="53" t="s">
        <v>1241</v>
      </c>
      <c r="E238" s="34" t="n">
        <v>0</v>
      </c>
      <c r="F238" s="34" t="n">
        <v>31769.9822998122</v>
      </c>
      <c r="G238" s="34" t="n">
        <v>131001.553746483</v>
      </c>
      <c r="H238" s="34" t="n">
        <v>133869.428378549</v>
      </c>
      <c r="I238" s="34" t="n">
        <v>136813.30474333</v>
      </c>
      <c r="J238" s="34" t="n">
        <v>139823.197447683</v>
      </c>
      <c r="K238" s="34" t="n">
        <v>142899.307791532</v>
      </c>
      <c r="L238" s="34" t="n">
        <v>146043.092562946</v>
      </c>
    </row>
    <row r="239" customFormat="false" ht="15" hidden="false" customHeight="false" outlineLevel="0" collapsed="false">
      <c r="A239" s="53" t="s">
        <v>1246</v>
      </c>
      <c r="B239" s="19" t="s">
        <v>1247</v>
      </c>
      <c r="C239" s="20" t="s">
        <v>1050</v>
      </c>
      <c r="D239" s="53" t="s">
        <v>1248</v>
      </c>
      <c r="E239" s="82" t="n">
        <v>0</v>
      </c>
      <c r="F239" s="82" t="n">
        <v>1</v>
      </c>
      <c r="G239" s="82" t="n">
        <v>1</v>
      </c>
      <c r="H239" s="82" t="n">
        <v>1</v>
      </c>
      <c r="I239" s="82" t="n">
        <v>1</v>
      </c>
      <c r="J239" s="82" t="n">
        <v>1</v>
      </c>
      <c r="K239" s="82" t="n">
        <v>1</v>
      </c>
      <c r="L239" s="82" t="n">
        <v>1</v>
      </c>
    </row>
    <row r="240" customFormat="false" ht="15" hidden="false" customHeight="false" outlineLevel="0" collapsed="false">
      <c r="A240" s="53" t="s">
        <v>1249</v>
      </c>
      <c r="B240" s="19" t="s">
        <v>1250</v>
      </c>
      <c r="C240" s="20" t="s">
        <v>1054</v>
      </c>
      <c r="D240" s="53" t="s">
        <v>1248</v>
      </c>
      <c r="E240" s="34" t="n">
        <v>0</v>
      </c>
      <c r="F240" s="34" t="n">
        <v>9512000</v>
      </c>
      <c r="G240" s="34" t="n">
        <v>9512000</v>
      </c>
      <c r="H240" s="34" t="n">
        <v>9512000</v>
      </c>
      <c r="I240" s="34" t="n">
        <v>9512000</v>
      </c>
      <c r="J240" s="34" t="n">
        <v>9512000</v>
      </c>
      <c r="K240" s="34" t="n">
        <v>9512000</v>
      </c>
      <c r="L240" s="34" t="n">
        <v>9512000</v>
      </c>
    </row>
    <row r="241" customFormat="false" ht="15" hidden="false" customHeight="false" outlineLevel="0" collapsed="false">
      <c r="A241" s="53" t="s">
        <v>1251</v>
      </c>
      <c r="B241" s="19" t="s">
        <v>1252</v>
      </c>
      <c r="C241" s="20" t="s">
        <v>32</v>
      </c>
      <c r="D241" s="53" t="s">
        <v>1248</v>
      </c>
      <c r="E241" s="34" t="n">
        <v>0</v>
      </c>
      <c r="F241" s="34" t="n">
        <v>2443.84479229325</v>
      </c>
      <c r="G241" s="34" t="n">
        <v>10077.0425958833</v>
      </c>
      <c r="H241" s="34" t="n">
        <v>10297.6483368114</v>
      </c>
      <c r="I241" s="34" t="n">
        <v>10524.1003648715</v>
      </c>
      <c r="J241" s="34" t="n">
        <v>10755.6305728987</v>
      </c>
      <c r="K241" s="34" t="n">
        <v>10992.2544455025</v>
      </c>
      <c r="L241" s="34" t="n">
        <v>11234.0840433035</v>
      </c>
    </row>
    <row r="242" customFormat="false" ht="15" hidden="false" customHeight="false" outlineLevel="0" collapsed="false">
      <c r="A242" s="53" t="s">
        <v>1253</v>
      </c>
      <c r="B242" s="19" t="s">
        <v>1254</v>
      </c>
      <c r="C242" s="20" t="s">
        <v>1050</v>
      </c>
      <c r="D242" s="53" t="s">
        <v>1255</v>
      </c>
      <c r="E242" s="82" t="n">
        <v>0</v>
      </c>
      <c r="F242" s="82" t="n">
        <v>8</v>
      </c>
      <c r="G242" s="82" t="n">
        <v>8</v>
      </c>
      <c r="H242" s="82" t="n">
        <v>8</v>
      </c>
      <c r="I242" s="82" t="n">
        <v>8</v>
      </c>
      <c r="J242" s="82" t="n">
        <v>8</v>
      </c>
      <c r="K242" s="82" t="n">
        <v>8</v>
      </c>
      <c r="L242" s="82" t="n">
        <v>8</v>
      </c>
    </row>
    <row r="243" customFormat="false" ht="15" hidden="false" customHeight="false" outlineLevel="0" collapsed="false">
      <c r="A243" s="53" t="s">
        <v>1256</v>
      </c>
      <c r="B243" s="19" t="s">
        <v>1257</v>
      </c>
      <c r="C243" s="20" t="s">
        <v>1054</v>
      </c>
      <c r="D243" s="53" t="s">
        <v>1255</v>
      </c>
      <c r="E243" s="34" t="n">
        <v>0</v>
      </c>
      <c r="F243" s="34" t="n">
        <v>11592750</v>
      </c>
      <c r="G243" s="34" t="n">
        <v>11592750</v>
      </c>
      <c r="H243" s="34" t="n">
        <v>11592750</v>
      </c>
      <c r="I243" s="34" t="n">
        <v>11592750</v>
      </c>
      <c r="J243" s="34" t="n">
        <v>11592750</v>
      </c>
      <c r="K243" s="34" t="n">
        <v>11592750</v>
      </c>
      <c r="L243" s="34" t="n">
        <v>11592750</v>
      </c>
    </row>
    <row r="244" customFormat="false" ht="15" hidden="false" customHeight="false" outlineLevel="0" collapsed="false">
      <c r="A244" s="53" t="s">
        <v>1258</v>
      </c>
      <c r="B244" s="19" t="s">
        <v>1259</v>
      </c>
      <c r="C244" s="20" t="s">
        <v>32</v>
      </c>
      <c r="D244" s="53" t="s">
        <v>1255</v>
      </c>
      <c r="E244" s="34" t="n">
        <v>0</v>
      </c>
      <c r="F244" s="34" t="n">
        <v>23827.4867248592</v>
      </c>
      <c r="G244" s="34" t="n">
        <v>98251.1653098623</v>
      </c>
      <c r="H244" s="34" t="n">
        <v>100402.071283912</v>
      </c>
      <c r="I244" s="34" t="n">
        <v>102609.978557498</v>
      </c>
      <c r="J244" s="34" t="n">
        <v>104867.398085763</v>
      </c>
      <c r="K244" s="34" t="n">
        <v>107174.480843649</v>
      </c>
      <c r="L244" s="34" t="n">
        <v>109532.31942221</v>
      </c>
    </row>
    <row r="245" customFormat="false" ht="15" hidden="false" customHeight="false" outlineLevel="0" collapsed="false">
      <c r="A245" s="53" t="s">
        <v>1260</v>
      </c>
      <c r="B245" s="19" t="s">
        <v>1261</v>
      </c>
      <c r="C245" s="20" t="s">
        <v>1050</v>
      </c>
      <c r="D245" s="53" t="s">
        <v>1262</v>
      </c>
      <c r="E245" s="82" t="n">
        <v>0</v>
      </c>
      <c r="F245" s="82" t="n">
        <v>2</v>
      </c>
      <c r="G245" s="82" t="n">
        <v>2</v>
      </c>
      <c r="H245" s="82" t="n">
        <v>2</v>
      </c>
      <c r="I245" s="82" t="n">
        <v>2</v>
      </c>
      <c r="J245" s="82" t="n">
        <v>2</v>
      </c>
      <c r="K245" s="82" t="n">
        <v>2</v>
      </c>
      <c r="L245" s="82" t="n">
        <v>2</v>
      </c>
    </row>
    <row r="246" customFormat="false" ht="15" hidden="false" customHeight="false" outlineLevel="0" collapsed="false">
      <c r="A246" s="53" t="s">
        <v>1263</v>
      </c>
      <c r="B246" s="19" t="s">
        <v>1264</v>
      </c>
      <c r="C246" s="20" t="s">
        <v>1054</v>
      </c>
      <c r="D246" s="53" t="s">
        <v>1262</v>
      </c>
      <c r="E246" s="34" t="n">
        <v>0</v>
      </c>
      <c r="F246" s="34" t="n">
        <v>7134000</v>
      </c>
      <c r="G246" s="34" t="n">
        <v>7134000</v>
      </c>
      <c r="H246" s="34" t="n">
        <v>7134000</v>
      </c>
      <c r="I246" s="34" t="n">
        <v>7134000</v>
      </c>
      <c r="J246" s="34" t="n">
        <v>7134000</v>
      </c>
      <c r="K246" s="34" t="n">
        <v>7134000</v>
      </c>
      <c r="L246" s="34" t="n">
        <v>7134000</v>
      </c>
    </row>
    <row r="247" customFormat="false" ht="15" hidden="false" customHeight="false" outlineLevel="0" collapsed="false">
      <c r="A247" s="53" t="s">
        <v>1265</v>
      </c>
      <c r="B247" s="19" t="s">
        <v>1266</v>
      </c>
      <c r="C247" s="20" t="s">
        <v>32</v>
      </c>
      <c r="D247" s="53" t="s">
        <v>1262</v>
      </c>
      <c r="E247" s="34" t="n">
        <v>0</v>
      </c>
      <c r="F247" s="34" t="n">
        <v>3665.76718843987</v>
      </c>
      <c r="G247" s="34" t="n">
        <v>15115.563893825</v>
      </c>
      <c r="H247" s="34" t="n">
        <v>15446.4725052172</v>
      </c>
      <c r="I247" s="34" t="n">
        <v>15786.1505473073</v>
      </c>
      <c r="J247" s="34" t="n">
        <v>16133.4458593481</v>
      </c>
      <c r="K247" s="34" t="n">
        <v>16488.3816682537</v>
      </c>
      <c r="L247" s="34" t="n">
        <v>16851.1260649553</v>
      </c>
    </row>
    <row r="248" customFormat="false" ht="15" hidden="false" customHeight="false" outlineLevel="0" collapsed="false">
      <c r="A248" s="53" t="s">
        <v>1267</v>
      </c>
      <c r="B248" s="19" t="s">
        <v>1268</v>
      </c>
      <c r="C248" s="20" t="s">
        <v>1050</v>
      </c>
      <c r="D248" s="53" t="s">
        <v>1269</v>
      </c>
      <c r="E248" s="82" t="n">
        <v>0</v>
      </c>
      <c r="F248" s="82" t="n">
        <v>8</v>
      </c>
      <c r="G248" s="82" t="n">
        <v>8</v>
      </c>
      <c r="H248" s="82" t="n">
        <v>8</v>
      </c>
      <c r="I248" s="82" t="n">
        <v>8</v>
      </c>
      <c r="J248" s="82" t="n">
        <v>8</v>
      </c>
      <c r="K248" s="82" t="n">
        <v>8</v>
      </c>
      <c r="L248" s="82" t="n">
        <v>8</v>
      </c>
    </row>
    <row r="249" customFormat="false" ht="15" hidden="false" customHeight="false" outlineLevel="0" collapsed="false">
      <c r="A249" s="53" t="s">
        <v>1270</v>
      </c>
      <c r="B249" s="19" t="s">
        <v>1271</v>
      </c>
      <c r="C249" s="20" t="s">
        <v>1054</v>
      </c>
      <c r="D249" s="53" t="s">
        <v>1269</v>
      </c>
      <c r="E249" s="34" t="n">
        <v>0</v>
      </c>
      <c r="F249" s="34" t="n">
        <v>11592750</v>
      </c>
      <c r="G249" s="34" t="n">
        <v>11592750</v>
      </c>
      <c r="H249" s="34" t="n">
        <v>11592750</v>
      </c>
      <c r="I249" s="34" t="n">
        <v>11592750</v>
      </c>
      <c r="J249" s="34" t="n">
        <v>11592750</v>
      </c>
      <c r="K249" s="34" t="n">
        <v>11592750</v>
      </c>
      <c r="L249" s="34" t="n">
        <v>11592750</v>
      </c>
    </row>
    <row r="250" customFormat="false" ht="15" hidden="false" customHeight="false" outlineLevel="0" collapsed="false">
      <c r="A250" s="53" t="s">
        <v>1272</v>
      </c>
      <c r="B250" s="19" t="s">
        <v>1273</v>
      </c>
      <c r="C250" s="20" t="s">
        <v>32</v>
      </c>
      <c r="D250" s="53" t="s">
        <v>1269</v>
      </c>
      <c r="E250" s="34" t="n">
        <v>0</v>
      </c>
      <c r="F250" s="34" t="n">
        <v>23827.4867248592</v>
      </c>
      <c r="G250" s="34" t="n">
        <v>98251.1653098623</v>
      </c>
      <c r="H250" s="34" t="n">
        <v>100402.071283912</v>
      </c>
      <c r="I250" s="34" t="n">
        <v>102609.978557498</v>
      </c>
      <c r="J250" s="34" t="n">
        <v>104867.398085763</v>
      </c>
      <c r="K250" s="34" t="n">
        <v>107174.480843649</v>
      </c>
      <c r="L250" s="34" t="n">
        <v>109532.31942221</v>
      </c>
    </row>
    <row r="251" customFormat="false" ht="15" hidden="false" customHeight="false" outlineLevel="0" collapsed="false">
      <c r="A251" s="53" t="s">
        <v>1274</v>
      </c>
      <c r="B251" s="19" t="s">
        <v>1275</v>
      </c>
      <c r="C251" s="20" t="s">
        <v>1050</v>
      </c>
      <c r="D251" s="53" t="s">
        <v>1276</v>
      </c>
      <c r="E251" s="82" t="n">
        <v>0</v>
      </c>
      <c r="F251" s="82" t="n">
        <v>8</v>
      </c>
      <c r="G251" s="82" t="n">
        <v>8</v>
      </c>
      <c r="H251" s="82" t="n">
        <v>8</v>
      </c>
      <c r="I251" s="82" t="n">
        <v>8</v>
      </c>
      <c r="J251" s="82" t="n">
        <v>8</v>
      </c>
      <c r="K251" s="82" t="n">
        <v>8</v>
      </c>
      <c r="L251" s="82" t="n">
        <v>8</v>
      </c>
    </row>
    <row r="252" customFormat="false" ht="15" hidden="false" customHeight="false" outlineLevel="0" collapsed="false">
      <c r="A252" s="53" t="s">
        <v>1277</v>
      </c>
      <c r="B252" s="19" t="s">
        <v>1278</v>
      </c>
      <c r="C252" s="20" t="s">
        <v>1054</v>
      </c>
      <c r="D252" s="53" t="s">
        <v>1276</v>
      </c>
      <c r="E252" s="34" t="n">
        <v>0</v>
      </c>
      <c r="F252" s="34" t="n">
        <v>7134000</v>
      </c>
      <c r="G252" s="34" t="n">
        <v>7134000</v>
      </c>
      <c r="H252" s="34" t="n">
        <v>7134000</v>
      </c>
      <c r="I252" s="34" t="n">
        <v>7134000</v>
      </c>
      <c r="J252" s="34" t="n">
        <v>7134000</v>
      </c>
      <c r="K252" s="34" t="n">
        <v>7134000</v>
      </c>
      <c r="L252" s="34" t="n">
        <v>7134000</v>
      </c>
    </row>
    <row r="253" customFormat="false" ht="15" hidden="false" customHeight="false" outlineLevel="0" collapsed="false">
      <c r="A253" s="53" t="s">
        <v>1279</v>
      </c>
      <c r="B253" s="19" t="s">
        <v>1280</v>
      </c>
      <c r="C253" s="20" t="s">
        <v>32</v>
      </c>
      <c r="D253" s="53" t="s">
        <v>1276</v>
      </c>
      <c r="E253" s="34" t="n">
        <v>0</v>
      </c>
      <c r="F253" s="34" t="n">
        <v>14663.0687537595</v>
      </c>
      <c r="G253" s="34" t="n">
        <v>60462.2555752999</v>
      </c>
      <c r="H253" s="34" t="n">
        <v>61785.8900208686</v>
      </c>
      <c r="I253" s="34" t="n">
        <v>63144.6021892293</v>
      </c>
      <c r="J253" s="34" t="n">
        <v>64533.7834373923</v>
      </c>
      <c r="K253" s="34" t="n">
        <v>65953.5266730149</v>
      </c>
      <c r="L253" s="34" t="n">
        <v>67404.5042598213</v>
      </c>
    </row>
    <row r="254" customFormat="false" ht="15" hidden="false" customHeight="false" outlineLevel="0" collapsed="false">
      <c r="A254" s="53" t="s">
        <v>1281</v>
      </c>
      <c r="B254" s="19" t="s">
        <v>1282</v>
      </c>
      <c r="C254" s="20" t="s">
        <v>1050</v>
      </c>
      <c r="D254" s="53" t="s">
        <v>1283</v>
      </c>
      <c r="E254" s="82" t="n">
        <v>0</v>
      </c>
      <c r="F254" s="82" t="n">
        <v>4</v>
      </c>
      <c r="G254" s="82" t="n">
        <v>4</v>
      </c>
      <c r="H254" s="82" t="n">
        <v>4</v>
      </c>
      <c r="I254" s="82" t="n">
        <v>4</v>
      </c>
      <c r="J254" s="82" t="n">
        <v>4</v>
      </c>
      <c r="K254" s="82" t="n">
        <v>4</v>
      </c>
      <c r="L254" s="82" t="n">
        <v>4</v>
      </c>
    </row>
    <row r="255" customFormat="false" ht="15" hidden="false" customHeight="false" outlineLevel="0" collapsed="false">
      <c r="A255" s="53" t="s">
        <v>1284</v>
      </c>
      <c r="B255" s="19" t="s">
        <v>1285</v>
      </c>
      <c r="C255" s="20" t="s">
        <v>1054</v>
      </c>
      <c r="D255" s="53" t="s">
        <v>1283</v>
      </c>
      <c r="E255" s="34" t="n">
        <v>0</v>
      </c>
      <c r="F255" s="34" t="n">
        <v>11592750</v>
      </c>
      <c r="G255" s="34" t="n">
        <v>11592750</v>
      </c>
      <c r="H255" s="34" t="n">
        <v>11592750</v>
      </c>
      <c r="I255" s="34" t="n">
        <v>11592750</v>
      </c>
      <c r="J255" s="34" t="n">
        <v>11592750</v>
      </c>
      <c r="K255" s="34" t="n">
        <v>11592750</v>
      </c>
      <c r="L255" s="34" t="n">
        <v>11592750</v>
      </c>
    </row>
    <row r="256" customFormat="false" ht="15" hidden="false" customHeight="false" outlineLevel="0" collapsed="false">
      <c r="A256" s="53" t="s">
        <v>1286</v>
      </c>
      <c r="B256" s="19" t="s">
        <v>1287</v>
      </c>
      <c r="C256" s="20" t="s">
        <v>32</v>
      </c>
      <c r="D256" s="53" t="s">
        <v>1283</v>
      </c>
      <c r="E256" s="34" t="n">
        <v>0</v>
      </c>
      <c r="F256" s="34" t="n">
        <v>11913.7433624296</v>
      </c>
      <c r="G256" s="34" t="n">
        <v>49125.5826549311</v>
      </c>
      <c r="H256" s="34" t="n">
        <v>50201.0356419558</v>
      </c>
      <c r="I256" s="34" t="n">
        <v>51304.9892787488</v>
      </c>
      <c r="J256" s="34" t="n">
        <v>52433.6990428813</v>
      </c>
      <c r="K256" s="34" t="n">
        <v>53587.2404218246</v>
      </c>
      <c r="L256" s="34" t="n">
        <v>54766.1597111048</v>
      </c>
    </row>
    <row r="257" customFormat="false" ht="15" hidden="false" customHeight="false" outlineLevel="0" collapsed="false">
      <c r="A257" s="53" t="s">
        <v>1288</v>
      </c>
      <c r="B257" s="19" t="s">
        <v>1289</v>
      </c>
      <c r="C257" s="20" t="s">
        <v>1050</v>
      </c>
      <c r="D257" s="53" t="s">
        <v>1290</v>
      </c>
      <c r="E257" s="82" t="n">
        <v>0</v>
      </c>
      <c r="F257" s="82" t="n">
        <v>12</v>
      </c>
      <c r="G257" s="82" t="n">
        <v>12</v>
      </c>
      <c r="H257" s="82" t="n">
        <v>12</v>
      </c>
      <c r="I257" s="82" t="n">
        <v>12</v>
      </c>
      <c r="J257" s="82" t="n">
        <v>12</v>
      </c>
      <c r="K257" s="82" t="n">
        <v>12</v>
      </c>
      <c r="L257" s="82" t="n">
        <v>12</v>
      </c>
    </row>
    <row r="258" customFormat="false" ht="15" hidden="false" customHeight="false" outlineLevel="0" collapsed="false">
      <c r="A258" s="53" t="s">
        <v>1291</v>
      </c>
      <c r="B258" s="19" t="s">
        <v>1292</v>
      </c>
      <c r="C258" s="20" t="s">
        <v>1054</v>
      </c>
      <c r="D258" s="53" t="s">
        <v>1290</v>
      </c>
      <c r="E258" s="34" t="n">
        <v>0</v>
      </c>
      <c r="F258" s="34" t="n">
        <v>11592750</v>
      </c>
      <c r="G258" s="34" t="n">
        <v>11592750</v>
      </c>
      <c r="H258" s="34" t="n">
        <v>11592750</v>
      </c>
      <c r="I258" s="34" t="n">
        <v>11592750</v>
      </c>
      <c r="J258" s="34" t="n">
        <v>11592750</v>
      </c>
      <c r="K258" s="34" t="n">
        <v>11592750</v>
      </c>
      <c r="L258" s="34" t="n">
        <v>11592750</v>
      </c>
    </row>
    <row r="259" customFormat="false" ht="15" hidden="false" customHeight="false" outlineLevel="0" collapsed="false">
      <c r="A259" s="53" t="s">
        <v>1293</v>
      </c>
      <c r="B259" s="19" t="s">
        <v>1294</v>
      </c>
      <c r="C259" s="20" t="s">
        <v>32</v>
      </c>
      <c r="D259" s="53" t="s">
        <v>1290</v>
      </c>
      <c r="E259" s="34" t="n">
        <v>0</v>
      </c>
      <c r="F259" s="34" t="n">
        <v>35741.2300872888</v>
      </c>
      <c r="G259" s="34" t="n">
        <v>147376.747964793</v>
      </c>
      <c r="H259" s="34" t="n">
        <v>150603.106925867</v>
      </c>
      <c r="I259" s="34" t="n">
        <v>153914.967836246</v>
      </c>
      <c r="J259" s="34" t="n">
        <v>157301.097128644</v>
      </c>
      <c r="K259" s="34" t="n">
        <v>160761.721265474</v>
      </c>
      <c r="L259" s="34" t="n">
        <v>164298.479133314</v>
      </c>
    </row>
    <row r="260" customFormat="false" ht="15" hidden="false" customHeight="false" outlineLevel="0" collapsed="false">
      <c r="A260" s="53" t="s">
        <v>1295</v>
      </c>
      <c r="B260" s="19" t="s">
        <v>1296</v>
      </c>
      <c r="C260" s="20" t="s">
        <v>1050</v>
      </c>
      <c r="D260" s="53" t="s">
        <v>1297</v>
      </c>
      <c r="E260" s="82" t="n">
        <v>0</v>
      </c>
      <c r="F260" s="82" t="n">
        <v>10</v>
      </c>
      <c r="G260" s="82" t="n">
        <v>10</v>
      </c>
      <c r="H260" s="82" t="n">
        <v>10</v>
      </c>
      <c r="I260" s="82" t="n">
        <v>10</v>
      </c>
      <c r="J260" s="82" t="n">
        <v>10</v>
      </c>
      <c r="K260" s="82" t="n">
        <v>10</v>
      </c>
      <c r="L260" s="82" t="n">
        <v>10</v>
      </c>
    </row>
    <row r="261" customFormat="false" ht="15" hidden="false" customHeight="false" outlineLevel="0" collapsed="false">
      <c r="A261" s="53" t="s">
        <v>1298</v>
      </c>
      <c r="B261" s="19" t="s">
        <v>1299</v>
      </c>
      <c r="C261" s="20" t="s">
        <v>1054</v>
      </c>
      <c r="D261" s="53" t="s">
        <v>1297</v>
      </c>
      <c r="E261" s="34" t="n">
        <v>0</v>
      </c>
      <c r="F261" s="34" t="n">
        <v>7134000</v>
      </c>
      <c r="G261" s="34" t="n">
        <v>7134000</v>
      </c>
      <c r="H261" s="34" t="n">
        <v>7134000</v>
      </c>
      <c r="I261" s="34" t="n">
        <v>7134000</v>
      </c>
      <c r="J261" s="34" t="n">
        <v>7134000</v>
      </c>
      <c r="K261" s="34" t="n">
        <v>7134000</v>
      </c>
      <c r="L261" s="34" t="n">
        <v>7134000</v>
      </c>
    </row>
    <row r="262" customFormat="false" ht="15" hidden="false" customHeight="false" outlineLevel="0" collapsed="false">
      <c r="A262" s="53" t="s">
        <v>1300</v>
      </c>
      <c r="B262" s="19" t="s">
        <v>1301</v>
      </c>
      <c r="C262" s="20" t="s">
        <v>32</v>
      </c>
      <c r="D262" s="53" t="s">
        <v>1297</v>
      </c>
      <c r="E262" s="34" t="n">
        <v>0</v>
      </c>
      <c r="F262" s="34" t="n">
        <v>18328.8359421994</v>
      </c>
      <c r="G262" s="34" t="n">
        <v>75577.8194691248</v>
      </c>
      <c r="H262" s="34" t="n">
        <v>77232.3625260858</v>
      </c>
      <c r="I262" s="34" t="n">
        <v>78930.7527365366</v>
      </c>
      <c r="J262" s="34" t="n">
        <v>80667.2292967404</v>
      </c>
      <c r="K262" s="34" t="n">
        <v>82441.9083412687</v>
      </c>
      <c r="L262" s="34" t="n">
        <v>84255.6303247766</v>
      </c>
    </row>
    <row r="263" customFormat="false" ht="15" hidden="false" customHeight="false" outlineLevel="0" collapsed="false">
      <c r="A263" s="53" t="s">
        <v>1302</v>
      </c>
      <c r="B263" s="19" t="s">
        <v>1303</v>
      </c>
      <c r="C263" s="20" t="s">
        <v>1050</v>
      </c>
      <c r="D263" s="53" t="s">
        <v>1304</v>
      </c>
      <c r="E263" s="82" t="n">
        <v>0</v>
      </c>
      <c r="F263" s="82" t="n">
        <v>4</v>
      </c>
      <c r="G263" s="82" t="n">
        <v>4</v>
      </c>
      <c r="H263" s="82" t="n">
        <v>4</v>
      </c>
      <c r="I263" s="82" t="n">
        <v>4</v>
      </c>
      <c r="J263" s="82" t="n">
        <v>4</v>
      </c>
      <c r="K263" s="82" t="n">
        <v>4</v>
      </c>
      <c r="L263" s="82" t="n">
        <v>4</v>
      </c>
    </row>
    <row r="264" customFormat="false" ht="15" hidden="false" customHeight="false" outlineLevel="0" collapsed="false">
      <c r="A264" s="53" t="s">
        <v>1305</v>
      </c>
      <c r="B264" s="19" t="s">
        <v>1306</v>
      </c>
      <c r="C264" s="20" t="s">
        <v>1054</v>
      </c>
      <c r="D264" s="53" t="s">
        <v>1304</v>
      </c>
      <c r="E264" s="34" t="n">
        <v>0</v>
      </c>
      <c r="F264" s="34" t="n">
        <v>8917500</v>
      </c>
      <c r="G264" s="34" t="n">
        <v>8917500</v>
      </c>
      <c r="H264" s="34" t="n">
        <v>8917500</v>
      </c>
      <c r="I264" s="34" t="n">
        <v>8917500</v>
      </c>
      <c r="J264" s="34" t="n">
        <v>8917500</v>
      </c>
      <c r="K264" s="34" t="n">
        <v>8917500</v>
      </c>
      <c r="L264" s="34" t="n">
        <v>8917500</v>
      </c>
    </row>
    <row r="265" customFormat="false" ht="15" hidden="false" customHeight="false" outlineLevel="0" collapsed="false">
      <c r="A265" s="53" t="s">
        <v>1307</v>
      </c>
      <c r="B265" s="19" t="s">
        <v>1308</v>
      </c>
      <c r="C265" s="20" t="s">
        <v>32</v>
      </c>
      <c r="D265" s="53" t="s">
        <v>1304</v>
      </c>
      <c r="E265" s="34" t="n">
        <v>0</v>
      </c>
      <c r="F265" s="34" t="n">
        <v>9164.41797109968</v>
      </c>
      <c r="G265" s="34" t="n">
        <v>37788.9097345624</v>
      </c>
      <c r="H265" s="34" t="n">
        <v>38616.1812630429</v>
      </c>
      <c r="I265" s="34" t="n">
        <v>39465.3763682683</v>
      </c>
      <c r="J265" s="34" t="n">
        <v>40333.6146483702</v>
      </c>
      <c r="K265" s="34" t="n">
        <v>41220.9541706343</v>
      </c>
      <c r="L265" s="34" t="n">
        <v>42127.8151623883</v>
      </c>
    </row>
    <row r="266" customFormat="false" ht="15" hidden="false" customHeight="false" outlineLevel="0" collapsed="false">
      <c r="A266" s="53" t="s">
        <v>1309</v>
      </c>
      <c r="B266" s="19" t="s">
        <v>1310</v>
      </c>
      <c r="C266" s="20" t="s">
        <v>1050</v>
      </c>
      <c r="D266" s="53" t="s">
        <v>1311</v>
      </c>
      <c r="E266" s="82" t="n">
        <v>0</v>
      </c>
      <c r="F266" s="82" t="n">
        <v>6</v>
      </c>
      <c r="G266" s="82" t="n">
        <v>6</v>
      </c>
      <c r="H266" s="82" t="n">
        <v>6</v>
      </c>
      <c r="I266" s="82" t="n">
        <v>6</v>
      </c>
      <c r="J266" s="82" t="n">
        <v>6</v>
      </c>
      <c r="K266" s="82" t="n">
        <v>6</v>
      </c>
      <c r="L266" s="82" t="n">
        <v>6</v>
      </c>
    </row>
    <row r="267" customFormat="false" ht="15" hidden="false" customHeight="false" outlineLevel="0" collapsed="false">
      <c r="A267" s="53" t="s">
        <v>1312</v>
      </c>
      <c r="B267" s="19" t="s">
        <v>1313</v>
      </c>
      <c r="C267" s="20" t="s">
        <v>1054</v>
      </c>
      <c r="D267" s="53" t="s">
        <v>1311</v>
      </c>
      <c r="E267" s="34" t="n">
        <v>0</v>
      </c>
      <c r="F267" s="34" t="n">
        <v>8917500</v>
      </c>
      <c r="G267" s="34" t="n">
        <v>8917500</v>
      </c>
      <c r="H267" s="34" t="n">
        <v>8917500</v>
      </c>
      <c r="I267" s="34" t="n">
        <v>8917500</v>
      </c>
      <c r="J267" s="34" t="n">
        <v>8917500</v>
      </c>
      <c r="K267" s="34" t="n">
        <v>8917500</v>
      </c>
      <c r="L267" s="34" t="n">
        <v>8917500</v>
      </c>
    </row>
    <row r="268" customFormat="false" ht="15" hidden="false" customHeight="false" outlineLevel="0" collapsed="false">
      <c r="A268" s="53" t="s">
        <v>1314</v>
      </c>
      <c r="B268" s="19" t="s">
        <v>1315</v>
      </c>
      <c r="C268" s="20" t="s">
        <v>32</v>
      </c>
      <c r="D268" s="53" t="s">
        <v>1311</v>
      </c>
      <c r="E268" s="34" t="n">
        <v>0</v>
      </c>
      <c r="F268" s="34" t="n">
        <v>13746.6269566495</v>
      </c>
      <c r="G268" s="34" t="n">
        <v>56683.3646018436</v>
      </c>
      <c r="H268" s="34" t="n">
        <v>57924.2718945643</v>
      </c>
      <c r="I268" s="34" t="n">
        <v>59198.0645524024</v>
      </c>
      <c r="J268" s="34" t="n">
        <v>60500.4219725553</v>
      </c>
      <c r="K268" s="34" t="n">
        <v>61831.4312559515</v>
      </c>
      <c r="L268" s="34" t="n">
        <v>63191.7227435824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2026-10-27T02:17:30Z</dcterms:created>
  <dc:creator>openpyxl</dc:creator>
  <dc:description/>
  <dc:language>en-US</dc:language>
  <cp:lastModifiedBy/>
  <dcterms:modified xsi:type="dcterms:W3CDTF">2026-10-27T02:17:31Z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