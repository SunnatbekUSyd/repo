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юме" sheetId="1" state="visible" r:id="rId3"/>
    <sheet name="ИНФОРМАЦИЯ" sheetId="2" state="visible" r:id="rId4"/>
    <sheet name="ProjCost" sheetId="3" state="visible" r:id="rId5"/>
    <sheet name="FinPlan" sheetId="4" state="visible" r:id="rId6"/>
    <sheet name="Share of costs" sheetId="5" state="visible" r:id="rId7"/>
    <sheet name="Depreciate" sheetId="6" state="visible" r:id="rId8"/>
    <sheet name="ProdPlan" sheetId="7" state="visible" r:id="rId9"/>
    <sheet name="SalePlan" sheetId="8" state="visible" r:id="rId10"/>
    <sheet name="RawMat" sheetId="9" state="visible" r:id="rId11"/>
    <sheet name="Labour" sheetId="10" state="visible" r:id="rId12"/>
    <sheet name="Taxes" sheetId="11" state="visible" r:id="rId13"/>
    <sheet name="CostTotal" sheetId="12" state="visible" r:id="rId14"/>
    <sheet name="CostSold" sheetId="13" state="visible" r:id="rId15"/>
    <sheet name="LOANS" sheetId="14" state="visible" r:id="rId16"/>
    <sheet name="ProfLoss" sheetId="15" state="visible" r:id="rId17"/>
    <sheet name="WorkCap" sheetId="16" state="visible" r:id="rId18"/>
    <sheet name="CashFlow" sheetId="17" state="visible" r:id="rId19"/>
    <sheet name="BreakPoint" sheetId="18" state="visible" r:id="rId20"/>
    <sheet name="NPV_IRR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<sst xmlns="http://schemas.openxmlformats.org/spreadsheetml/2006/main" count="877" uniqueCount="563">
  <si>
    <t xml:space="preserve">БИЗНЕС-ПЛАН ИНВЕСТИЦИОННОГО ПРОЕКТА</t>
  </si>
  <si>
    <t xml:space="preserve">Строительство нового гидрометаллургического завода по переработке вольфрамового концентрата (1-я очередь)</t>
  </si>
  <si>
    <t xml:space="preserve">(Цех по переработке вольфрамового концентрата)</t>
  </si>
  <si>
    <t xml:space="preserve">1. ОБЩИЕ СВЕДЕНИЯ</t>
  </si>
  <si>
    <t xml:space="preserve">Суть проекта</t>
  </si>
  <si>
    <t xml:space="preserve">Строительство нового гидрометаллургического завода по переработке вольфрамового концентрата (1-я очередь). Переработка 5 000 т вольфрамового концентрата в год; выпуск основной продукции - Триоксид вольфрама WO3  2 656.5 t/год при проектной мощности; реализация - экспорт.</t>
  </si>
  <si>
    <t xml:space="preserve">Заемщик</t>
  </si>
  <si>
    <t xml:space="preserve">АО «Узбекский комбинат технологических металлов» (АО «Ўзбекистон ТМК», UzTMK)</t>
  </si>
  <si>
    <t xml:space="preserve">Местоположение</t>
  </si>
  <si>
    <t xml:space="preserve">Самаркандская обл., Нурабадский р-н, 9,6 га</t>
  </si>
  <si>
    <t xml:space="preserve">Продукция</t>
  </si>
  <si>
    <t xml:space="preserve">Триоксид вольфрама WO3</t>
  </si>
  <si>
    <t xml:space="preserve">Производственная мощность</t>
  </si>
  <si>
    <t xml:space="preserve">Переработка 5 000 т вольфрамового концентрата в год; выпуск основной продукции - 2 656 t/год</t>
  </si>
  <si>
    <t xml:space="preserve">Рынок сбыта</t>
  </si>
  <si>
    <t xml:space="preserve">экспорт (100% выручки в USD)</t>
  </si>
  <si>
    <t xml:space="preserve">Сроки</t>
  </si>
  <si>
    <t xml:space="preserve">начало строительства - 01.10.2026; начало производства - 01.10.2027; выход на проектную мощность - 3-й год</t>
  </si>
  <si>
    <t xml:space="preserve">Стадия проработки</t>
  </si>
  <si>
    <t xml:space="preserve">ТЭО</t>
  </si>
  <si>
    <t xml:space="preserve">2. ПАРАМЕТРЫ КРЕДИТА</t>
  </si>
  <si>
    <t xml:space="preserve">Кредитор</t>
  </si>
  <si>
    <t xml:space="preserve">Национальный банк внешнеэкономической деятельности Республики Узбекистан</t>
  </si>
  <si>
    <t xml:space="preserve">Сумма кредита, USD</t>
  </si>
  <si>
    <t xml:space="preserve">Процентная ставка</t>
  </si>
  <si>
    <t xml:space="preserve">Срок кредита</t>
  </si>
  <si>
    <t xml:space="preserve">84 месяца (7 лет): льготный (инвестиционный) период - 12 месяцев (1-й год), погашение - 72 месяца (2-7 годы)</t>
  </si>
  <si>
    <t xml:space="preserve">Порядок погашения</t>
  </si>
  <si>
    <t xml:space="preserve">основной долг - ежемесячно равными долями; проценты - ежемесячно на остаток задолженности</t>
  </si>
  <si>
    <t xml:space="preserve">Проценты льготного периода</t>
  </si>
  <si>
    <t xml:space="preserve">Целевое назначение</t>
  </si>
  <si>
    <t xml:space="preserve">30% авансовый платёж по EPC-контракту (E - проектирование, P - поставка оборудования, C - строительство)</t>
  </si>
  <si>
    <t xml:space="preserve">3. СТОИМОСТЬ ПРОЕКТА И ИСТОЧНИКИ ФИНАНСИРОВАНИЯ</t>
  </si>
  <si>
    <t xml:space="preserve">Статья</t>
  </si>
  <si>
    <t xml:space="preserve">USD</t>
  </si>
  <si>
    <t xml:space="preserve">Доля</t>
  </si>
  <si>
    <t xml:space="preserve">Фиксированные активы</t>
  </si>
  <si>
    <t xml:space="preserve">Рабочий капитал</t>
  </si>
  <si>
    <t xml:space="preserve">Проценты льготного периода и расходы подготовительного периода</t>
  </si>
  <si>
    <t xml:space="preserve">Резерв</t>
  </si>
  <si>
    <t xml:space="preserve">ВСЕГО СТОИМОСТЬ ПРОЕКТА</t>
  </si>
  <si>
    <t xml:space="preserve">Собственные средства заемщика</t>
  </si>
  <si>
    <t xml:space="preserve">Кредит НБУ</t>
  </si>
  <si>
    <t xml:space="preserve">4. ОСНОВНЫЕ ФИНАНСОВЫЕ ПОКАЗАТЕЛИ ПО ГОДАМ</t>
  </si>
  <si>
    <t xml:space="preserve">ПОКАЗАТЕЛИ</t>
  </si>
  <si>
    <t xml:space="preserve">Ед. изм.</t>
  </si>
  <si>
    <t xml:space="preserve">1 год (льготный период)</t>
  </si>
  <si>
    <t xml:space="preserve">2 год</t>
  </si>
  <si>
    <t xml:space="preserve">3 год</t>
  </si>
  <si>
    <t xml:space="preserve">4 год</t>
  </si>
  <si>
    <t xml:space="preserve">5 год</t>
  </si>
  <si>
    <t xml:space="preserve">6 год</t>
  </si>
  <si>
    <t xml:space="preserve">7 год</t>
  </si>
  <si>
    <t xml:space="preserve">Выручка (без НДС)</t>
  </si>
  <si>
    <t xml:space="preserve">EBITDA</t>
  </si>
  <si>
    <t xml:space="preserve">Чистая прибыль</t>
  </si>
  <si>
    <t xml:space="preserve">Операционный поток наличности (A)</t>
  </si>
  <si>
    <t xml:space="preserve">Обслуживание долга (проценты + основной долг)</t>
  </si>
  <si>
    <t xml:space="preserve">Чистый поток наличности</t>
  </si>
  <si>
    <t xml:space="preserve">Кумулятивный поток наличности</t>
  </si>
  <si>
    <t xml:space="preserve">DSCR (с учётом поддерживающих капвложений)</t>
  </si>
  <si>
    <t xml:space="preserve">x</t>
  </si>
  <si>
    <t xml:space="preserve">Задолженность по кредиту на конец года</t>
  </si>
  <si>
    <t xml:space="preserve">5. ПОКАЗАТЕЛИ ЭФФЕКТИВНОСТИ И УСТОЙЧИВОСТИ</t>
  </si>
  <si>
    <t xml:space="preserve">NPV проекта за 7 лет, USD</t>
  </si>
  <si>
    <t xml:space="preserve">IRR проекта за 7 лет</t>
  </si>
  <si>
    <t xml:space="preserve">Индекс доходности (PI)</t>
  </si>
  <si>
    <t xml:space="preserve">Простой срок окупаемости, лет</t>
  </si>
  <si>
    <t xml:space="preserve">Дисконтированный срок окупаемости, лет</t>
  </si>
  <si>
    <t xml:space="preserve">Минимальный / средний DSCR (2-7 годы)</t>
  </si>
  <si>
    <t xml:space="preserve">Точка безубыточности при проектной мощности, % от выручки</t>
  </si>
  <si>
    <t xml:space="preserve">6. ВЫПОЛНЕНИЕ УСЛОВИЙ ФИНАНСИРОВАНИЯ</t>
  </si>
  <si>
    <t xml:space="preserve">Положительный чистый поток наличности в каждом из 1-7 годов</t>
  </si>
  <si>
    <t xml:space="preserve">Чистая прибыль в каждом из 1-7 годов</t>
  </si>
  <si>
    <t xml:space="preserve">Погашение кредита в течение 6 лет после льготного периода</t>
  </si>
  <si>
    <t xml:space="preserve">Проценты льготного периода покрыты собственными средствами</t>
  </si>
  <si>
    <t xml:space="preserve">Дисконтированный срок окупаемости - в пределах срока кредита (7 лет)</t>
  </si>
  <si>
    <t xml:space="preserve">7. ОСНОВНЫЕ ДОПУЩЕНИЯ</t>
  </si>
  <si>
    <t xml:space="preserve">- Производственные, затратные, налоговые и инвестиционные показатели приняты по ТЭО проекта; цены реализации - на консервативном уровне.</t>
  </si>
  <si>
    <t xml:space="preserve">- Кредитор - Национальный банк внешнеэкономической деятельности Республики Узбекистан. Сумма кредита определена по 30% авансу по EPC-контрактам (распределение 78 млн USD между тремя проектами - лист «ИНФОРМАЦИЯ»).</t>
  </si>
  <si>
    <t xml:space="preserve">- Кредит: 7% годовых, 84 месяца, льготный период 12 месяцев, погашение основного долга ежемесячно равными долями; база начисления процентов - 360 дней.</t>
  </si>
  <si>
    <t xml:space="preserve">- Все затраты сверх суммы кредита финансируются за счёт собственных средств заемщика.</t>
  </si>
  <si>
    <t xml:space="preserve">- Кредит выдаётся единовременно в начале 1-го года; проценты 1-го года капитализируются в стоимость основных средств.</t>
  </si>
  <si>
    <t xml:space="preserve">- Резерв на непредвиденные расходы - 1% суммы кредита.</t>
  </si>
  <si>
    <t xml:space="preserve">8. ОСНОВНЫЕ РИСКИ И МЕРЫ ПО ИХ СНИЖЕНИЮ</t>
  </si>
  <si>
    <t xml:space="preserve">Ценовой риск</t>
  </si>
  <si>
    <t xml:space="preserve">Валютный риск</t>
  </si>
  <si>
    <t xml:space="preserve">Риск освоения мощностей</t>
  </si>
  <si>
    <t xml:space="preserve">Строительный риск</t>
  </si>
  <si>
    <t xml:space="preserve">Сырьевой риск</t>
  </si>
  <si>
    <t xml:space="preserve">ДАННЫЕ ПО ПРОЕКТУ</t>
  </si>
  <si>
    <t xml:space="preserve">ЗАЕМЩИК</t>
  </si>
  <si>
    <t xml:space="preserve">ИНН</t>
  </si>
  <si>
    <t xml:space="preserve">- (заполняется заемщиком)</t>
  </si>
  <si>
    <t xml:space="preserve">ДЕЯТЕЛЬНОСТЬ</t>
  </si>
  <si>
    <t xml:space="preserve">Добыча и переработка редких и тугоплавких металлов (вольфрам, молибден)</t>
  </si>
  <si>
    <t xml:space="preserve">НАИМЕНОВАНИЕ ПРОЕКТА</t>
  </si>
  <si>
    <t xml:space="preserve">Строительство нового гидрометаллургического завода по переработке вольфрамового концентрата (1-я очередь)
(Цех по переработке вольфрамового концентрата)</t>
  </si>
  <si>
    <t xml:space="preserve">МЕСТО РЕАЛИЗАЦИИ</t>
  </si>
  <si>
    <t xml:space="preserve">ПРОИЗВОДСТВЕННАЯ МОЩНОСТЬ</t>
  </si>
  <si>
    <t xml:space="preserve">Переработка 5 000 т вольфрамового концентрата в год</t>
  </si>
  <si>
    <t xml:space="preserve">ОСНОВНАЯ ПРОДУКЦИЯ</t>
  </si>
  <si>
    <t xml:space="preserve">СТАДИЯ ПРОРАБОТКИ</t>
  </si>
  <si>
    <t xml:space="preserve">ТЭО (технико-экономическое обоснование)</t>
  </si>
  <si>
    <t xml:space="preserve">НАЧАЛО СТРОИТЕЛЬСТВА</t>
  </si>
  <si>
    <t xml:space="preserve">01.10.2026</t>
  </si>
  <si>
    <t xml:space="preserve">НАЧАЛО ПРОИЗВОДСТВА</t>
  </si>
  <si>
    <t xml:space="preserve">01.10.2027</t>
  </si>
  <si>
    <t xml:space="preserve">СРОК РЕАЛИЗАЦИИ (по данным заемщика)</t>
  </si>
  <si>
    <t xml:space="preserve">ноябрь 2027 г.</t>
  </si>
  <si>
    <t xml:space="preserve">УЧАСТНИКИ ПРОЕКТА</t>
  </si>
  <si>
    <t xml:space="preserve">Заемщик (инициатор проекта)</t>
  </si>
  <si>
    <t xml:space="preserve">Доля заемщика в проекте</t>
  </si>
  <si>
    <t xml:space="preserve">100%</t>
  </si>
  <si>
    <t xml:space="preserve">Кредитор №1</t>
  </si>
  <si>
    <t xml:space="preserve">Генеральный подрядчик</t>
  </si>
  <si>
    <t xml:space="preserve">EPC-подрядчик (по EPC-контракту)</t>
  </si>
  <si>
    <t xml:space="preserve">ВАЛЮТА ПРОЕКТА</t>
  </si>
  <si>
    <t xml:space="preserve">Доллар США (экв.)</t>
  </si>
  <si>
    <t xml:space="preserve">1 USD = (сум, средний курс 1-го года)</t>
  </si>
  <si>
    <t xml:space="preserve">УСЛОВИЯ КРЕДИТА</t>
  </si>
  <si>
    <t xml:space="preserve">Процентная ставка, % годовых</t>
  </si>
  <si>
    <t xml:space="preserve">Срок кредита, месяцев</t>
  </si>
  <si>
    <t xml:space="preserve">Льготный период по основному долгу, месяцев</t>
  </si>
  <si>
    <t xml:space="preserve">Инвестиционный период, месяцев</t>
  </si>
  <si>
    <t xml:space="preserve">Дата выдачи кредита</t>
  </si>
  <si>
    <t xml:space="preserve">База начисления процентов, дней в году (по форме банка)</t>
  </si>
  <si>
    <t xml:space="preserve">Погашение основного долга</t>
  </si>
  <si>
    <t xml:space="preserve">ежемесячно равными долями: 72 платежа, со 2-го по 7-й год</t>
  </si>
  <si>
    <t xml:space="preserve">Уплата процентов</t>
  </si>
  <si>
    <t xml:space="preserve">ежемесячно; в льготный период (1-й год) - за счёт собственных средств заемщика (включены в стоимость проекта)</t>
  </si>
  <si>
    <t xml:space="preserve">30% авансовый платёж по EPC-контракту (данные заемщика)</t>
  </si>
  <si>
    <t xml:space="preserve">Резерв (непредвиденные расходы) - % от суммы кредита (по форме банка)</t>
  </si>
  <si>
    <t xml:space="preserve">РАСПРЕДЕЛЕНИЕ КРЕДИТА 78 МЛН USD МЕЖДУ ПРОЕКТАМИ (по 30% авансу EPC-контрактов, файл заемщика от 14.10.2026)</t>
  </si>
  <si>
    <t xml:space="preserve">Проект</t>
  </si>
  <si>
    <t xml:space="preserve">Мощность</t>
  </si>
  <si>
    <t xml:space="preserve">Стоимость проекта, млн USD</t>
  </si>
  <si>
    <t xml:space="preserve">EPC: E (Engineering), млрд сум</t>
  </si>
  <si>
    <t xml:space="preserve">EPC: P (Procurement), млрд сум</t>
  </si>
  <si>
    <t xml:space="preserve">EPC: C (Construction), млрд сум</t>
  </si>
  <si>
    <t xml:space="preserve">EPC итого, млрд сум</t>
  </si>
  <si>
    <t xml:space="preserve">Курс EPC (тыс. сум/USD)</t>
  </si>
  <si>
    <t xml:space="preserve">EPC итого, экв. млн USD</t>
  </si>
  <si>
    <t xml:space="preserve">30% аванс, млрд сум</t>
  </si>
  <si>
    <t xml:space="preserve">Курс аванса (тыс. сум/USD)</t>
  </si>
  <si>
    <t xml:space="preserve">30% аванс, млн USD</t>
  </si>
  <si>
    <t xml:space="preserve">Доля в кредите</t>
  </si>
  <si>
    <t xml:space="preserve">Кредит, USD</t>
  </si>
  <si>
    <t xml:space="preserve">Освоение центральной части вольфрамового месторождения Сарикуль (1-я очередь)</t>
  </si>
  <si>
    <t xml:space="preserve">Переработка 600 тыс. т руды в год</t>
  </si>
  <si>
    <t xml:space="preserve">Строительство нового гидрометаллургического завода по переработке промышленного продукта - молибденового огарка</t>
  </si>
  <si>
    <t xml:space="preserve">Переработка 5 000 т молибденового огарка (концентрата) в год</t>
  </si>
  <si>
    <t xml:space="preserve">ИТОГО</t>
  </si>
  <si>
    <t xml:space="preserve">Лимит кредита, USD</t>
  </si>
  <si>
    <t xml:space="preserve">Распределение кредита - пропорционально 30% авансу по EPC-контрактам, с приведением к лимиту 78,0 млн USD.</t>
  </si>
  <si>
    <t xml:space="preserve">ПЕРВОНАЧАЛЬНАЯ СТОИМОСТЬ ПРОЕКТА (в экв. долл. США)</t>
  </si>
  <si>
    <t xml:space="preserve">Приложение 1</t>
  </si>
  <si>
    <t xml:space="preserve">Инвестиционный период: с начала строительства до конца 1-го года (льготный период по кредиту).</t>
  </si>
  <si>
    <t xml:space="preserve">Наименование затрат</t>
  </si>
  <si>
    <t xml:space="preserve">МЕСТНАЯ ВАЛЮТА</t>
  </si>
  <si>
    <t xml:space="preserve">ТВЕРДАЯ ВАЛЮТА</t>
  </si>
  <si>
    <t xml:space="preserve">ВСЕГО</t>
  </si>
  <si>
    <t xml:space="preserve">СТРУКТУРА (%)</t>
  </si>
  <si>
    <t xml:space="preserve">ВСЕГО ФИКСИРОВАННЫЕ АКТИВЫ</t>
  </si>
  <si>
    <t xml:space="preserve">Здания, сооружения и передаточные устройства</t>
  </si>
  <si>
    <t xml:space="preserve">Машины и оборудование</t>
  </si>
  <si>
    <t xml:space="preserve">Транспортные средства</t>
  </si>
  <si>
    <t xml:space="preserve">Мебель, оргтехника и офисное оборудование</t>
  </si>
  <si>
    <t xml:space="preserve">РАБОЧИЙ КАПИТАЛ</t>
  </si>
  <si>
    <t xml:space="preserve">ПРОЧИЕ ФИНАНСОВЫЕ ИЗДЕРЖКИ, ВКЛЮЧАЯ:</t>
  </si>
  <si>
    <t xml:space="preserve">   Проценты по кредиту за льготный период (1-й год) - за счёт собственных средств</t>
  </si>
  <si>
    <t xml:space="preserve">   Расходы подготовительного периода (административные и пусковые расходы)</t>
  </si>
  <si>
    <t xml:space="preserve">НЕПРЕДВИДЕННЫЕ РАСХОДЫ/РЕЗЕРВ (1% от суммы кредита)</t>
  </si>
  <si>
    <t xml:space="preserve">ВСЕГО ПЕРВОНАЧАЛЬНАЯ СТОИМОСТЬ ПРОЕКТА</t>
  </si>
  <si>
    <t xml:space="preserve">ФИНАНСОВЫЙ ПЛАН (в экв. долл. США)</t>
  </si>
  <si>
    <t xml:space="preserve">Приложение 2</t>
  </si>
  <si>
    <t xml:space="preserve">ТВЁРДАЯ ВАЛЮТА</t>
  </si>
  <si>
    <t xml:space="preserve">ДОЛЯ В ФИНАНСИРОВАНИИ</t>
  </si>
  <si>
    <t xml:space="preserve">СОБСТВЕННЫЙ КАПИТАЛ</t>
  </si>
  <si>
    <t xml:space="preserve">Денежные средства (финансовые издержки льготного периода, расходы подготовительного периода, резерв)</t>
  </si>
  <si>
    <t xml:space="preserve">КРЕДИТЫ</t>
  </si>
  <si>
    <t xml:space="preserve">Национальный банк внешнеэкономической деятельности Республики Узбекистан (7% годовых, 84 мес., льготный период 12 мес.)</t>
  </si>
  <si>
    <t xml:space="preserve">   Фиксированные активы (30% аванс по EPC-контракту)</t>
  </si>
  <si>
    <t xml:space="preserve">ВСЕГО ФИНАНСИРОВАНИЯ</t>
  </si>
  <si>
    <t xml:space="preserve">ПЕРВОНАЧАЛЬНАЯ СТОИМОСТЬ ПРОЕКТА ПО ИСТОЧНИКАМ ФИНАНСИРОВАНИЯ (в экв. долл. США)</t>
  </si>
  <si>
    <t xml:space="preserve">Приложение 3</t>
  </si>
  <si>
    <t xml:space="preserve">Всего</t>
  </si>
  <si>
    <t xml:space="preserve">в местной валюте</t>
  </si>
  <si>
    <t xml:space="preserve">в твердой валюте</t>
  </si>
  <si>
    <t xml:space="preserve">ПРОЧИЕ ФИНАНСОВЫЕ ИЗДЕРЖКИ</t>
  </si>
  <si>
    <t xml:space="preserve">   в т.ч. проценты по кредиту за льготный период</t>
  </si>
  <si>
    <t xml:space="preserve">   в т.ч. расходы подготовительного периода</t>
  </si>
  <si>
    <t xml:space="preserve">НЕПРЕДВИДЕННЫЕ РАСХОДЫ/РЕЗЕРВ</t>
  </si>
  <si>
    <t xml:space="preserve">Итого по источнику</t>
  </si>
  <si>
    <t xml:space="preserve">Кредит НБУ направляется на 30% авансовый платёж по EPC-контракту; распределение по группам активов - пропорционально составу EPC-контракта: P (поставка оборудования) - машины и оборудование, E+C (проектирование и строительство) - здания, сооружения и прочие объекты.</t>
  </si>
  <si>
    <t xml:space="preserve">АМОРТИЗАЦИЯ (в долл. США)</t>
  </si>
  <si>
    <t xml:space="preserve">Приложение 4</t>
  </si>
  <si>
    <t xml:space="preserve">Линейный метод. Проценты льготного периода капитализированы в стоимость основных средств (МСФО IAS 23).</t>
  </si>
  <si>
    <t xml:space="preserve">ОБЪЕКТЫ АМОРТИЗАЦИИ</t>
  </si>
  <si>
    <t xml:space="preserve">Группа основных средств</t>
  </si>
  <si>
    <t xml:space="preserve">Первоначальная стоимость</t>
  </si>
  <si>
    <t xml:space="preserve">Срок, лет</t>
  </si>
  <si>
    <t xml:space="preserve">Норма, %</t>
  </si>
  <si>
    <t xml:space="preserve">1 год</t>
  </si>
  <si>
    <t xml:space="preserve">Разработка проектных документов (ТЭО и ЗВОС)</t>
  </si>
  <si>
    <t xml:space="preserve">Разработка PFS проекта</t>
  </si>
  <si>
    <t xml:space="preserve">Проектно-инженерные работы</t>
  </si>
  <si>
    <t xml:space="preserve">Приобретение оборудования</t>
  </si>
  <si>
    <t xml:space="preserve">Строительство</t>
  </si>
  <si>
    <t xml:space="preserve">Земляные работы</t>
  </si>
  <si>
    <t xml:space="preserve">Адаптация проектной документации</t>
  </si>
  <si>
    <t xml:space="preserve">Строительство инфраструктуры (вода, газ, электроэнергия)</t>
  </si>
  <si>
    <t xml:space="preserve">Технологический транспорт</t>
  </si>
  <si>
    <t xml:space="preserve">Солнечные панели</t>
  </si>
  <si>
    <t xml:space="preserve">Камеры наблюдения и вертикальные стойки</t>
  </si>
  <si>
    <t xml:space="preserve">Дополнительные расходы</t>
  </si>
  <si>
    <t xml:space="preserve">Поддерживающие капвложения (% от первоначальной стоимости ОС)</t>
  </si>
  <si>
    <t xml:space="preserve">Капитализированные проценты по кредиту за льготный период (1-й год)</t>
  </si>
  <si>
    <t xml:space="preserve">Затраты по займам (МСФО IAS 23)</t>
  </si>
  <si>
    <t xml:space="preserve">Х</t>
  </si>
  <si>
    <t xml:space="preserve">в т.ч. в себестоимости продукции</t>
  </si>
  <si>
    <t xml:space="preserve">в т.ч. в административных расходах</t>
  </si>
  <si>
    <t xml:space="preserve">Капитальные вложения (освоение; 1-й год вкл. подготовительный период)</t>
  </si>
  <si>
    <t xml:space="preserve">Накопленная амортизация</t>
  </si>
  <si>
    <t xml:space="preserve">Остаточная стоимость основных средств (на конец года)</t>
  </si>
  <si>
    <t xml:space="preserve">ПРОИЗВОДСТВЕННЫЙ ПЛАН</t>
  </si>
  <si>
    <t xml:space="preserve">Приложение 5</t>
  </si>
  <si>
    <t xml:space="preserve">Н А И М Е Н О В А Н И Е</t>
  </si>
  <si>
    <t xml:space="preserve">Мощность в год</t>
  </si>
  <si>
    <t xml:space="preserve">Цена за единицу, USD (при проектной мощности)</t>
  </si>
  <si>
    <t xml:space="preserve">Выручка при полной мощности: экспорт</t>
  </si>
  <si>
    <t xml:space="preserve">Выручка при полной мощности: внутр. рынок</t>
  </si>
  <si>
    <t xml:space="preserve">t</t>
  </si>
  <si>
    <t xml:space="preserve">экспорт</t>
  </si>
  <si>
    <t xml:space="preserve">ОСВОЕНИЕ МОЩНОСТЕЙ</t>
  </si>
  <si>
    <t xml:space="preserve">%</t>
  </si>
  <si>
    <t xml:space="preserve">КОЛИЧЕСТВО ПРОИЗВОДСТВА</t>
  </si>
  <si>
    <t xml:space="preserve">КОЛИЧЕСТВО ДЛЯ РЕАЛИЗАЦИИ</t>
  </si>
  <si>
    <t xml:space="preserve">Триоксид вольфрама WO3 - экспорт</t>
  </si>
  <si>
    <t xml:space="preserve">Триоксид вольфрама WO3 - внутренний рынок</t>
  </si>
  <si>
    <t xml:space="preserve">КОЛИЧЕСТВО ЗАПАСА ГОТОВОЙ ПРОДУКЦИИ НА КОНЕЦ ГОДА</t>
  </si>
  <si>
    <t xml:space="preserve">ЦЕНА РЕАЛИЗАЦИИ</t>
  </si>
  <si>
    <t xml:space="preserve">USD/t</t>
  </si>
  <si>
    <t xml:space="preserve">ПЛАН ПРОДАЖ (в экв. долл. США, без НДС)</t>
  </si>
  <si>
    <t xml:space="preserve">Приложение 6</t>
  </si>
  <si>
    <t xml:space="preserve">ЭКСПОРТ</t>
  </si>
  <si>
    <t xml:space="preserve">   Триоксид вольфрама WO3</t>
  </si>
  <si>
    <t xml:space="preserve">ВНУТРЕННИЕ ПРОДАЖИ</t>
  </si>
  <si>
    <t xml:space="preserve">ВСЕГО ПРОДАЖ</t>
  </si>
  <si>
    <t xml:space="preserve">Доля экспорта в выручке</t>
  </si>
  <si>
    <t xml:space="preserve">СТОИМОСТЬ СЫРЬЯ И МАТЕРИАЛОВ ПРИ ПРОЕКТНОЙ МОЩНОСТИ (в экв. долл. США)</t>
  </si>
  <si>
    <t xml:space="preserve">Приложение 7</t>
  </si>
  <si>
    <t xml:space="preserve">Расчёт на 3-й год (освоение мощности 100%); цены в номинальном выражении; без НДС.</t>
  </si>
  <si>
    <t xml:space="preserve">НАИМЕНОВАНИЕ</t>
  </si>
  <si>
    <t xml:space="preserve">Цена за единицу, USD</t>
  </si>
  <si>
    <t xml:space="preserve">Годовая потребность</t>
  </si>
  <si>
    <t xml:space="preserve">Годовая стоимость, USD</t>
  </si>
  <si>
    <t xml:space="preserve">ДОЛЯ (%)</t>
  </si>
  <si>
    <t xml:space="preserve">Примечание</t>
  </si>
  <si>
    <t xml:space="preserve">СЫРЬЁ, МАТЕРИАЛЫ И ПЕРЕМЕННЫЕ ЗАТРАТЫ С ЦЕНОЙ В ТВЁРДОЙ ВАЛЮТЕ (USD)</t>
  </si>
  <si>
    <t xml:space="preserve">Вольфрамовый концентрат 55%</t>
  </si>
  <si>
    <t xml:space="preserve">Сырьё</t>
  </si>
  <si>
    <t xml:space="preserve">ВСЕГО В ТВЁРДОЙ ВАЛЮТЕ</t>
  </si>
  <si>
    <t xml:space="preserve">СЫРЬЁ, МАТЕРИАЛЫ И ПЕРЕМЕННЫЕ ЗАТРАТЫ С ЦЕНОЙ В НАЦИОНАЛЬНОЙ ВАЛЮТЕ (UZS)</t>
  </si>
  <si>
    <t xml:space="preserve">Аммиачная вода 25% (на 100%)</t>
  </si>
  <si>
    <t xml:space="preserve">Вспомогательные материалы</t>
  </si>
  <si>
    <t xml:space="preserve">Соляная кислота 30%</t>
  </si>
  <si>
    <t xml:space="preserve">Гидроксид натрия</t>
  </si>
  <si>
    <t xml:space="preserve">Карбонат натрия</t>
  </si>
  <si>
    <t xml:space="preserve">Гидроксид алюминия</t>
  </si>
  <si>
    <t xml:space="preserve">Хлорид аммония</t>
  </si>
  <si>
    <t xml:space="preserve">Ионообменная смола</t>
  </si>
  <si>
    <t xml:space="preserve">Сульфид меди</t>
  </si>
  <si>
    <t xml:space="preserve">Сульфид аммония</t>
  </si>
  <si>
    <t xml:space="preserve">Фильтроткань</t>
  </si>
  <si>
    <t xml:space="preserve">m2</t>
  </si>
  <si>
    <t xml:space="preserve">Мешки 25 кг</t>
  </si>
  <si>
    <t xml:space="preserve">pcs</t>
  </si>
  <si>
    <t xml:space="preserve">ВСЕГО В НАЦИОНАЛЬНОЙ ВАЛЮТЕ</t>
  </si>
  <si>
    <t xml:space="preserve">ИТОГО СЫРЬЁ, МАТЕРИАЛЫ И ПРОЧИЕ ПЕРЕМЕННЫЕ ЗАТРАТЫ</t>
  </si>
  <si>
    <t xml:space="preserve">ПРОЧИЕ ПРОИЗВОДСТВЕННЫЕ РАСХОДЫ (постоянные)</t>
  </si>
  <si>
    <t xml:space="preserve">Статьи затрат</t>
  </si>
  <si>
    <t xml:space="preserve">Состав затрат</t>
  </si>
  <si>
    <t xml:space="preserve">Ремонт и техническое обслуживание</t>
  </si>
  <si>
    <t xml:space="preserve">Ремонт СМР (0,5%); Ремонт оборудования (4%)</t>
  </si>
  <si>
    <t xml:space="preserve">Прочие производственные расходы (охрана труда, накладные и др.)</t>
  </si>
  <si>
    <t xml:space="preserve">Охрана труда; Прочие накладные СМР (0,5%); Прочие накладные оборудование (2%)</t>
  </si>
  <si>
    <t xml:space="preserve">Налог за пользование недрами (НДПИ)</t>
  </si>
  <si>
    <t xml:space="preserve">Итого:</t>
  </si>
  <si>
    <t xml:space="preserve">ЭНЕРГОРЕСУРСЫ И ОПЛАТА ТРУДА ПРИ ПРОЕКТНОЙ МОЩНОСТИ (в экв. долл. США)</t>
  </si>
  <si>
    <t xml:space="preserve">Приложение 8</t>
  </si>
  <si>
    <t xml:space="preserve">Расчёт на 3-й год.</t>
  </si>
  <si>
    <t xml:space="preserve">СТАТЬИ ЗАТРАТ</t>
  </si>
  <si>
    <t xml:space="preserve">Электроэнергия - переменная часть 80%</t>
  </si>
  <si>
    <t xml:space="preserve">MWh</t>
  </si>
  <si>
    <t xml:space="preserve">Техническая вода - переменная часть 80%</t>
  </si>
  <si>
    <t xml:space="preserve">m3</t>
  </si>
  <si>
    <t xml:space="preserve">Природный газ - переменная часть 80%</t>
  </si>
  <si>
    <t xml:space="preserve">Сброс сточных вод</t>
  </si>
  <si>
    <t xml:space="preserve">Электроэнергия - постоянная часть</t>
  </si>
  <si>
    <t xml:space="preserve">Природный газ / топливо - постоянная часть</t>
  </si>
  <si>
    <t xml:space="preserve">Вода - постоянная часть</t>
  </si>
  <si>
    <t xml:space="preserve">ВСЕГО ЭНЕРГОРЕСУРСЫ</t>
  </si>
  <si>
    <t xml:space="preserve">РАСЧЕТ ЗАРАБОТНОЙ ПЛАТЫ</t>
  </si>
  <si>
    <t xml:space="preserve">Ставка социального налога</t>
  </si>
  <si>
    <t xml:space="preserve">Количество, чел.</t>
  </si>
  <si>
    <t xml:space="preserve">Среднемесячная з/плата на 1 чел., сум</t>
  </si>
  <si>
    <t xml:space="preserve">Среднемесячная з/плата на 1 чел., USD</t>
  </si>
  <si>
    <t xml:space="preserve">Годовой фонд з/платы, USD</t>
  </si>
  <si>
    <t xml:space="preserve">Отчисления (соц. налог), USD</t>
  </si>
  <si>
    <t xml:space="preserve">ПРОИЗВОДСТВЕННЫЙ ПЕРСОНАЛ</t>
  </si>
  <si>
    <t xml:space="preserve">Цех выщелачивания - начальник</t>
  </si>
  <si>
    <t xml:space="preserve">Цех выщелачивания - операторы</t>
  </si>
  <si>
    <t xml:space="preserve">Цех ионного обмена - начальник</t>
  </si>
  <si>
    <t xml:space="preserve">Операторы тонкой фильтрации</t>
  </si>
  <si>
    <t xml:space="preserve">Операторы ионного обмена</t>
  </si>
  <si>
    <t xml:space="preserve">Операторы участка очистки</t>
  </si>
  <si>
    <t xml:space="preserve">Цех APT и WO3 - руководитель</t>
  </si>
  <si>
    <t xml:space="preserve">Выпаривание-кристаллизация</t>
  </si>
  <si>
    <t xml:space="preserve">Фильтр-прессование и дробление</t>
  </si>
  <si>
    <t xml:space="preserve">Пирометаллургия и очистка газов</t>
  </si>
  <si>
    <t xml:space="preserve">Очистка стоков - бригадир</t>
  </si>
  <si>
    <t xml:space="preserve">Очистка стоков - рабочие</t>
  </si>
  <si>
    <t xml:space="preserve">Склад жидкого аммиака</t>
  </si>
  <si>
    <t xml:space="preserve">Котельная</t>
  </si>
  <si>
    <t xml:space="preserve">Механоремонтный цех</t>
  </si>
  <si>
    <t xml:space="preserve">Распределительное устройство</t>
  </si>
  <si>
    <t xml:space="preserve">Персонал по техобслуживанию</t>
  </si>
  <si>
    <t xml:space="preserve">Водители</t>
  </si>
  <si>
    <t xml:space="preserve">Автомобильные весы</t>
  </si>
  <si>
    <t xml:space="preserve">Охрана</t>
  </si>
  <si>
    <t xml:space="preserve">ИТОГО (фонд оплаты труда + социальный налог)</t>
  </si>
  <si>
    <t xml:space="preserve">АДМИНИСТРАЦИЯ</t>
  </si>
  <si>
    <t xml:space="preserve">Генеральный директор</t>
  </si>
  <si>
    <t xml:space="preserve">Заместитель ген. директора</t>
  </si>
  <si>
    <t xml:space="preserve">Офисные служащие</t>
  </si>
  <si>
    <t xml:space="preserve">Руководитель финансового отдела</t>
  </si>
  <si>
    <t xml:space="preserve">Бухгалтер</t>
  </si>
  <si>
    <t xml:space="preserve">Кассир</t>
  </si>
  <si>
    <t xml:space="preserve">Руководитель отдела снабжения и сбыта</t>
  </si>
  <si>
    <t xml:space="preserve">Специалист по закупкам</t>
  </si>
  <si>
    <t xml:space="preserve">Специалист по сбыту</t>
  </si>
  <si>
    <t xml:space="preserve">Руководитель отдела кадров</t>
  </si>
  <si>
    <t xml:space="preserve">Специалист по кадрам</t>
  </si>
  <si>
    <t xml:space="preserve">Специалист по обучению</t>
  </si>
  <si>
    <t xml:space="preserve">Руководитель ПТО</t>
  </si>
  <si>
    <t xml:space="preserve">Инженер-металлург</t>
  </si>
  <si>
    <t xml:space="preserve">Инженер-электрик</t>
  </si>
  <si>
    <t xml:space="preserve">Прочие технические специалисты</t>
  </si>
  <si>
    <t xml:space="preserve">Отдел охраны труда и окружающей среды</t>
  </si>
  <si>
    <t xml:space="preserve">Прочий обслуживающий персонал</t>
  </si>
  <si>
    <t xml:space="preserve">ОБЩАЯ СУММА</t>
  </si>
  <si>
    <t xml:space="preserve">Заработная плата установлена в сумах и пересчитана в USD с учётом индексации и курса.</t>
  </si>
  <si>
    <t xml:space="preserve">НАЛОГИ И СБОРЫ (в экв. долл. США)</t>
  </si>
  <si>
    <t xml:space="preserve">Приложение 9</t>
  </si>
  <si>
    <t xml:space="preserve">Ставка</t>
  </si>
  <si>
    <t xml:space="preserve">Налоги и сборы, включаемые в расходы</t>
  </si>
  <si>
    <t xml:space="preserve">   Налог на имущество</t>
  </si>
  <si>
    <t xml:space="preserve">1.50%</t>
  </si>
  <si>
    <t xml:space="preserve">   Земельный налог</t>
  </si>
  <si>
    <t xml:space="preserve">   Специальный рентный налог</t>
  </si>
  <si>
    <t xml:space="preserve">   Налог за пользование недрами (НДПИ) - в себестоимости</t>
  </si>
  <si>
    <t xml:space="preserve">   Социальный налог (производственный и административный персонал)</t>
  </si>
  <si>
    <t xml:space="preserve">12%</t>
  </si>
  <si>
    <t xml:space="preserve">Прочие налоги</t>
  </si>
  <si>
    <t xml:space="preserve">   Налог на прибыль (Приложение 13)</t>
  </si>
  <si>
    <t xml:space="preserve">   НДС к уплате в бюджет (при превышении входящего НДС - к возмещению, см. ниже)</t>
  </si>
  <si>
    <t xml:space="preserve">ВСЕГО НАЛОГОВ И ОТЧИСЛЕНИЙ</t>
  </si>
  <si>
    <t xml:space="preserve">Расчет НДС</t>
  </si>
  <si>
    <t xml:space="preserve">НДС исходящий (реализация на внутреннем рынке; экспорт - 0%)</t>
  </si>
  <si>
    <t xml:space="preserve">НДС входящий - по операционным затратам</t>
  </si>
  <si>
    <t xml:space="preserve">НДС входящий - по капитальным вложениям (1-й год вкл. подготовительный период)</t>
  </si>
  <si>
    <t xml:space="preserve">НДС к уплате (+) / к возмещению из бюджета (-)</t>
  </si>
  <si>
    <t xml:space="preserve">Расчет налога на прибыль</t>
  </si>
  <si>
    <t xml:space="preserve">Прибыль (убыток) до налогообложения (Приложение 13)</t>
  </si>
  <si>
    <t xml:space="preserve">Налоговые корректировки</t>
  </si>
  <si>
    <t xml:space="preserve">Налогооблагаемая прибыль</t>
  </si>
  <si>
    <t xml:space="preserve">Ставка налога на прибыль</t>
  </si>
  <si>
    <t xml:space="preserve">Налог на прибыль</t>
  </si>
  <si>
    <t xml:space="preserve">СТОИМОСТЬ ПРОДУКЦИИ ПРИ ПРОЕКТНОЙ МОЩНОСТИ (в экв. долл. США)</t>
  </si>
  <si>
    <t xml:space="preserve">Приложение 10</t>
  </si>
  <si>
    <t xml:space="preserve">Расчёт на 3-й год; разделение на постоянные и переменные затраты.</t>
  </si>
  <si>
    <t xml:space="preserve">Статьи издержек</t>
  </si>
  <si>
    <t xml:space="preserve">Всего стоимость</t>
  </si>
  <si>
    <t xml:space="preserve">Доля постоянных затрат (%)</t>
  </si>
  <si>
    <t xml:space="preserve">Доля переменных затрат (%)</t>
  </si>
  <si>
    <t xml:space="preserve">Фиксированная стоимость</t>
  </si>
  <si>
    <t xml:space="preserve">Переменная стоимость</t>
  </si>
  <si>
    <t xml:space="preserve">Сырьё, материалы и прочие переменные затраты</t>
  </si>
  <si>
    <t xml:space="preserve">   с ценой в твёрдой валюте (USD)</t>
  </si>
  <si>
    <t xml:space="preserve">   с ценой в национальной валюте</t>
  </si>
  <si>
    <t xml:space="preserve">Энергоресурсы (электроэнергия, газ, вода)</t>
  </si>
  <si>
    <t xml:space="preserve">Зарплата производственного персонала (с соц. налогом)</t>
  </si>
  <si>
    <t xml:space="preserve">Зарплата административного персонала (с соц. налогом)</t>
  </si>
  <si>
    <t xml:space="preserve">Ремонт и техническое обслуживание (постоянная часть)</t>
  </si>
  <si>
    <t xml:space="preserve">Прочие производственные расходы (постоянная часть)</t>
  </si>
  <si>
    <t xml:space="preserve">Административные расходы (без персонала и амортизации)</t>
  </si>
  <si>
    <t xml:space="preserve">Коммерческие расходы</t>
  </si>
  <si>
    <t xml:space="preserve">Налог на имущество и земельный налог</t>
  </si>
  <si>
    <t xml:space="preserve">Специальный рентный налог</t>
  </si>
  <si>
    <t xml:space="preserve">Резерв на непредвиденные операционные расходы</t>
  </si>
  <si>
    <t xml:space="preserve">Прочие операционные расходы / (доходы)</t>
  </si>
  <si>
    <t xml:space="preserve">Амортизация (Приложение 4)</t>
  </si>
  <si>
    <t xml:space="preserve">в т.ч. в местной валюте</t>
  </si>
  <si>
    <t xml:space="preserve">в т.ч. в твёрдой валюте (производственные затраты в USD)</t>
  </si>
  <si>
    <t xml:space="preserve">Выручка при проектной мощности</t>
  </si>
  <si>
    <t xml:space="preserve">Затраты на 1 USD выручки</t>
  </si>
  <si>
    <t xml:space="preserve">Полная себестоимость единицы основной продукции, USD/t</t>
  </si>
  <si>
    <t xml:space="preserve">ГОДОВАЯ СТОИМОСТЬ ПРОДАННОЙ ПРОДУКЦИИ (в экв. долл. США)</t>
  </si>
  <si>
    <t xml:space="preserve">Приложение 11</t>
  </si>
  <si>
    <t xml:space="preserve">Освоение мощностей (основная продукция)</t>
  </si>
  <si>
    <t xml:space="preserve">ПРОИЗВОДСТВЕННАЯ СЕБЕСТОИМОСТЬ ПО ЭЛЕМЕНТАМ</t>
  </si>
  <si>
    <t xml:space="preserve">   Сырьё</t>
  </si>
  <si>
    <t xml:space="preserve">   Вспомогательные материалы</t>
  </si>
  <si>
    <t xml:space="preserve">   Электроэнергия</t>
  </si>
  <si>
    <t xml:space="preserve">   Природный газ / топливо</t>
  </si>
  <si>
    <t xml:space="preserve">   Вода</t>
  </si>
  <si>
    <t xml:space="preserve">   Заработная плата</t>
  </si>
  <si>
    <t xml:space="preserve">   Социальный налог</t>
  </si>
  <si>
    <t xml:space="preserve">   Амортизация (Приложение 4)</t>
  </si>
  <si>
    <t xml:space="preserve">   Ремонт и техобслуживание</t>
  </si>
  <si>
    <t xml:space="preserve">   Прочие производственные расходы (без НДПИ)</t>
  </si>
  <si>
    <t xml:space="preserve">   Налог за пользование недрами (НДПИ)</t>
  </si>
  <si>
    <t xml:space="preserve">Себестоимость произведенной продукции</t>
  </si>
  <si>
    <t xml:space="preserve">   Изменение остатков готовой продукции (- прирост запаса)</t>
  </si>
  <si>
    <t xml:space="preserve">Себестоимость реализованной продукции</t>
  </si>
  <si>
    <t xml:space="preserve">   Доля затрат в твёрдой валюте (USD) в денежной себестоимости</t>
  </si>
  <si>
    <t xml:space="preserve">   в т.ч. затраты в твёрдой валюте (USD)</t>
  </si>
  <si>
    <t xml:space="preserve">   в т.ч. затраты в национальной валюте</t>
  </si>
  <si>
    <t xml:space="preserve">РАСХОДЫ ПЕРИОДА</t>
  </si>
  <si>
    <t xml:space="preserve">   Зарплата административного персонала (с соц. налогом)</t>
  </si>
  <si>
    <t xml:space="preserve">   Амортизация административных активов</t>
  </si>
  <si>
    <t xml:space="preserve">   Прочие административные расходы (аренда, налог за воду, прочие)</t>
  </si>
  <si>
    <t xml:space="preserve">   Коммерческие расходы (расходы по реализации)</t>
  </si>
  <si>
    <t xml:space="preserve">Итого расходы периода</t>
  </si>
  <si>
    <t xml:space="preserve">НАЛОГИ И ПРОЧИЕ ОПЕРАЦИОННЫЕ РАСХОДЫ</t>
  </si>
  <si>
    <t xml:space="preserve">   Резерв на непредвиденные операционные расходы</t>
  </si>
  <si>
    <t xml:space="preserve">   Прочие операционные расходы / (доходы)</t>
  </si>
  <si>
    <t xml:space="preserve">Итого налоги и прочие операционные расходы</t>
  </si>
  <si>
    <t xml:space="preserve">ФИНАНСОВЫЕ ИЗДЕРЖКИ</t>
  </si>
  <si>
    <t xml:space="preserve">   Проценты за кредит (1-й год - капитализированы, оплачены за счёт собственных средств)</t>
  </si>
  <si>
    <t xml:space="preserve">ПОЛНАЯ СТОИМОСТЬ ПРОДАННОЙ ПРОДУКЦИИ</t>
  </si>
  <si>
    <t xml:space="preserve">Полная себестоимость единицы основной продукции</t>
  </si>
  <si>
    <t xml:space="preserve">СХЕМА ВЫПЛАТЫ КРЕДИТА (в долл. США)</t>
  </si>
  <si>
    <t xml:space="preserve">Приложение 12</t>
  </si>
  <si>
    <t xml:space="preserve">месяцев</t>
  </si>
  <si>
    <t xml:space="preserve">Льготный период</t>
  </si>
  <si>
    <t xml:space="preserve">Инвестиционный период</t>
  </si>
  <si>
    <t xml:space="preserve">годовых</t>
  </si>
  <si>
    <t xml:space="preserve">Сумма кредита</t>
  </si>
  <si>
    <t xml:space="preserve">Дата выдачи</t>
  </si>
  <si>
    <t xml:space="preserve">База начисления процентов</t>
  </si>
  <si>
    <t xml:space="preserve">дней</t>
  </si>
  <si>
    <t xml:space="preserve">Количество платежей по основному долгу</t>
  </si>
  <si>
    <t xml:space="preserve">платежей</t>
  </si>
  <si>
    <t xml:space="preserve">Ежемесячный платёж по основному долгу</t>
  </si>
  <si>
    <t xml:space="preserve">№</t>
  </si>
  <si>
    <t xml:space="preserve">Дата платежа</t>
  </si>
  <si>
    <t xml:space="preserve">Остаток на начало</t>
  </si>
  <si>
    <t xml:space="preserve">Проценты</t>
  </si>
  <si>
    <t xml:space="preserve">Всего выплат</t>
  </si>
  <si>
    <t xml:space="preserve">Остаток на конец</t>
  </si>
  <si>
    <t xml:space="preserve">№ года</t>
  </si>
  <si>
    <t xml:space="preserve">ГОДОВАЯ СВОДКА ПО КРЕДИТУ</t>
  </si>
  <si>
    <t xml:space="preserve">Выдача кредита</t>
  </si>
  <si>
    <t xml:space="preserve">Всего обслуживание долга</t>
  </si>
  <si>
    <t xml:space="preserve">Остаток задолженности на конец года</t>
  </si>
  <si>
    <t xml:space="preserve">ПРЕДПОЛАГАЕМЫЕ СЧЕТА ПРИБЫЛЕЙ И УБЫТКОВ (в экв. долл. США)</t>
  </si>
  <si>
    <t xml:space="preserve">Приложение 13</t>
  </si>
  <si>
    <t xml:space="preserve">Выручка от реализации продукции (с НДС)</t>
  </si>
  <si>
    <t xml:space="preserve">   экспорт (в твёрдой валюте)</t>
  </si>
  <si>
    <t xml:space="preserve">   внутренний рынок (с НДС)</t>
  </si>
  <si>
    <t xml:space="preserve">НДС, начисленный с реализации</t>
  </si>
  <si>
    <t xml:space="preserve">Чистая выручка от реализации продукции</t>
  </si>
  <si>
    <t xml:space="preserve">   в твёрдой валюте</t>
  </si>
  <si>
    <t xml:space="preserve">   в местной валюте</t>
  </si>
  <si>
    <t xml:space="preserve">Валовая прибыль (убыток)</t>
  </si>
  <si>
    <t xml:space="preserve">Расходы периода (административные и коммерческие)</t>
  </si>
  <si>
    <t xml:space="preserve">Налоги и прочие операционные расходы</t>
  </si>
  <si>
    <t xml:space="preserve">Прибыль (убыток) от основной деятельности (EBIT)</t>
  </si>
  <si>
    <t xml:space="preserve">Финансовые расходы</t>
  </si>
  <si>
    <t xml:space="preserve">   Проценты за кредит</t>
  </si>
  <si>
    <t xml:space="preserve">Прибыль (убыток) до налогообложения</t>
  </si>
  <si>
    <t xml:space="preserve">Налог на прибыль (Приложение 9)</t>
  </si>
  <si>
    <t xml:space="preserve">Чистая прибыль (убыток)</t>
  </si>
  <si>
    <t xml:space="preserve">Коэффициенты рентабельности и покрытия</t>
  </si>
  <si>
    <t xml:space="preserve">Валовая рентабельность</t>
  </si>
  <si>
    <t xml:space="preserve">Чистая рентабельность</t>
  </si>
  <si>
    <t xml:space="preserve">Маржа EBITDA</t>
  </si>
  <si>
    <t xml:space="preserve">EBIT / Проценты за кредит</t>
  </si>
  <si>
    <t xml:space="preserve">Долг / EBITDA</t>
  </si>
  <si>
    <t xml:space="preserve">1-й год: проценты за кредит льготного периода оплачиваются за счёт собственных средств и капитализируются в стоимость основных средств (МСФО IAS 23, Приложения 1 и 4); в отчёт о прибылях и убытках не включаются.</t>
  </si>
  <si>
    <t xml:space="preserve">ПРЕДПОЛОЖЕНИЯ ПО РАБОЧЕМУ КАПИТАЛУ (в экв. долл. США)</t>
  </si>
  <si>
    <t xml:space="preserve">Приложение 14</t>
  </si>
  <si>
    <t xml:space="preserve">Показатели</t>
  </si>
  <si>
    <t xml:space="preserve">Дни покрытия</t>
  </si>
  <si>
    <t xml:space="preserve">Период поступления от продаж (дебиторская задолженность)</t>
  </si>
  <si>
    <t xml:space="preserve">Запасы сырья и материалов на складе</t>
  </si>
  <si>
    <t xml:space="preserve">Незавершенная продукция</t>
  </si>
  <si>
    <t xml:space="preserve">Запасы готовой продукции (минимальный запас)</t>
  </si>
  <si>
    <t xml:space="preserve">Период оплаты поставщикам (кредиторская задолженность)</t>
  </si>
  <si>
    <t xml:space="preserve">Задолженность по заработной плате</t>
  </si>
  <si>
    <t xml:space="preserve">Возмещение НДС (операционный)</t>
  </si>
  <si>
    <t xml:space="preserve">Возмещение НДС по капитальным вложениям</t>
  </si>
  <si>
    <t xml:space="preserve">ПОКАЗАТЕЛИ (на конец года)</t>
  </si>
  <si>
    <t xml:space="preserve">На начало строительства</t>
  </si>
  <si>
    <t xml:space="preserve">Дебиторская задолженность</t>
  </si>
  <si>
    <t xml:space="preserve">Запасы (сырьё, материалы, НЗП, готовая продукция)</t>
  </si>
  <si>
    <t xml:space="preserve">НДС к возмещению</t>
  </si>
  <si>
    <t xml:space="preserve">Итого текущих активов</t>
  </si>
  <si>
    <t xml:space="preserve">Кредиторская задолженность</t>
  </si>
  <si>
    <t xml:space="preserve">Задолженность по оплате труда и налогам с ФОТ</t>
  </si>
  <si>
    <t xml:space="preserve">Итого текущих обязательств</t>
  </si>
  <si>
    <t xml:space="preserve">Чистый рабочий капитал</t>
  </si>
  <si>
    <t xml:space="preserve">Изменения в рабочем капитале (- рост / + снижение)</t>
  </si>
  <si>
    <t xml:space="preserve">Прочие изменения операционных статей (налоги к уплате и пр.)</t>
  </si>
  <si>
    <t xml:space="preserve">Изменение рабочего капитала для потока наличности (Приложение 15)</t>
  </si>
  <si>
    <t xml:space="preserve">1-й год: изменение рассчитано от начала строительства, т.е. включает подготовительный период.</t>
  </si>
  <si>
    <t xml:space="preserve">ПОТОКИ НАЛИЧНОСТИ (в экв. долл. США)</t>
  </si>
  <si>
    <t xml:space="preserve">Приложение 15</t>
  </si>
  <si>
    <t xml:space="preserve">1-й год - инвестиционный и льготный период; включает также освоение капвложений и расходы подготовительного периода.</t>
  </si>
  <si>
    <t xml:space="preserve">Изменения в рабочем капитале (Приложение 14)</t>
  </si>
  <si>
    <t xml:space="preserve">Наличность от продаж</t>
  </si>
  <si>
    <t xml:space="preserve">Валовые поступления наличности</t>
  </si>
  <si>
    <t xml:space="preserve">Расходы периода</t>
  </si>
  <si>
    <t xml:space="preserve">Расходы подготовительного периода</t>
  </si>
  <si>
    <t xml:space="preserve">Амортизация (неденежная статья, прибавляется)</t>
  </si>
  <si>
    <t xml:space="preserve">Собственный капитал (взнос заемщика)</t>
  </si>
  <si>
    <t xml:space="preserve">Привлеченный кредит НБУ</t>
  </si>
  <si>
    <t xml:space="preserve">Инвестиции (капитальные вложения, Приложение 4)</t>
  </si>
  <si>
    <t xml:space="preserve">Проценты за кредит (B)</t>
  </si>
  <si>
    <t xml:space="preserve">Прочие финансовые издержки в инвестиционный период (проценты льготного периода)</t>
  </si>
  <si>
    <t xml:space="preserve">Чистые поступления наличности</t>
  </si>
  <si>
    <t xml:space="preserve">Выплата основного долга (C)</t>
  </si>
  <si>
    <t xml:space="preserve">Коэффициент обслуживания долга, DSCR [(A)/(B+C)]</t>
  </si>
  <si>
    <t xml:space="preserve">DSCR с учётом поддерживающих капвложений [(A - инвестиции)/(B+C)]</t>
  </si>
  <si>
    <t xml:space="preserve">Минимальный DSCR (2-7 годы)</t>
  </si>
  <si>
    <t xml:space="preserve">Средний DSCR (2-7 годы)</t>
  </si>
  <si>
    <t xml:space="preserve">Проценты льготного периода (1-й год) уплачиваются за счёт собственных средств заемщика (включены в стоимость проекта, Приложение 1). Налог на прибыль - в размере начисленного (без учёта отсрочки уплаты).</t>
  </si>
  <si>
    <t xml:space="preserve">ТОЧКА БЕЗУБЫТОЧНОСТИ (в экв. долл. США)</t>
  </si>
  <si>
    <t xml:space="preserve">Приложение 16</t>
  </si>
  <si>
    <t xml:space="preserve">Расчёт на 3-й год (проектная мощность).</t>
  </si>
  <si>
    <t xml:space="preserve">Общие продажи при проектной мощности</t>
  </si>
  <si>
    <t xml:space="preserve">Маржинальный доход</t>
  </si>
  <si>
    <t xml:space="preserve">Точка безубыточности (доля от выручки при проектной мощности)</t>
  </si>
  <si>
    <t xml:space="preserve">Точка безубыточности, USD выручки</t>
  </si>
  <si>
    <t xml:space="preserve">Точка безубыточности в натуральном выражении (основная продукция)</t>
  </si>
  <si>
    <t xml:space="preserve">Запас финансовой прочности</t>
  </si>
  <si>
    <t xml:space="preserve">РАСЧЁТ NPV, IRR И СРОКА ОКУПАЕМОСТИ ПРОЕКТА (в экв. долл. США)</t>
  </si>
  <si>
    <t xml:space="preserve">Денежный поток проекта (до финансирования) = операционный поток (A) - инвестиции; горизонт - срок кредита (7 лет), без остаточной стоимости.</t>
  </si>
  <si>
    <t xml:space="preserve">Период (лет)</t>
  </si>
  <si>
    <t xml:space="preserve">Инвестиции</t>
  </si>
  <si>
    <t xml:space="preserve">Поток наличности проекта (FCFF)</t>
  </si>
  <si>
    <t xml:space="preserve">Ставка дисконта (WACC)</t>
  </si>
  <si>
    <t xml:space="preserve">Коэффициент дисконтирования</t>
  </si>
  <si>
    <t xml:space="preserve">Дисконтированный поток</t>
  </si>
  <si>
    <t xml:space="preserve">Накопленный поток</t>
  </si>
  <si>
    <t xml:space="preserve">Накопленный дисконтированный поток (NPV нарастающим итогом)</t>
  </si>
  <si>
    <t xml:space="preserve">вспом.: окупаемость</t>
  </si>
  <si>
    <t xml:space="preserve">вспом.: дисконтированная окупаемость</t>
  </si>
  <si>
    <t xml:space="preserve">NPV (чистая приведённая стоимость), USD</t>
  </si>
  <si>
    <t xml:space="preserve">IRR (внутренняя норма доходности)</t>
  </si>
  <si>
    <t xml:space="preserve">Простой срок окупаемости, лет (от начала 1-го года)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</si>
</sst>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0.0%;\(0.0%\);\-"/>
    <numFmt numFmtId="167" formatCode="0.00\x;\(0.00&quot;x)&quot;;\-"/>
    <numFmt numFmtId="168" formatCode="0.00"/>
    <numFmt numFmtId="169" formatCode="0.0"/>
    <numFmt numFmtId="170" formatCode="#,##0.00;\(#,##0.00\);\-"/>
    <numFmt numFmtId="171" formatCode="0"/>
    <numFmt numFmtId="172" formatCode="dd\.mm\.yyyy"/>
    <numFmt numFmtId="173" formatCode="0.000"/>
    <numFmt numFmtId="174" formatCode="#,##0.0;\(#,##0.0\);\-"/>
    <numFmt numFmtId="175" formatCode="#,##0.0000"/>
    <numFmt numFmtId="176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11" min="4" style="1" width="1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30" hidden="false" customHeight="true" outlineLevel="0" collapsed="false">
      <c r="B7" s="7" t="s">
        <v>4</v>
      </c>
      <c r="C7" s="8" t="s">
        <v>5</v>
      </c>
      <c r="D7" s="8"/>
      <c r="E7" s="8"/>
      <c r="F7" s="8"/>
      <c r="G7" s="8"/>
      <c r="H7" s="8"/>
      <c r="I7" s="8"/>
      <c r="J7" s="8"/>
      <c r="K7" s="8"/>
    </row>
    <row r="8" customFormat="false" ht="15" hidden="false" customHeight="true" outlineLevel="0" collapsed="false">
      <c r="B8" s="7" t="s">
        <v>6</v>
      </c>
      <c r="C8" s="8" t="s">
        <v>7</v>
      </c>
      <c r="D8" s="8"/>
      <c r="E8" s="8"/>
      <c r="F8" s="8"/>
      <c r="G8" s="8"/>
      <c r="H8" s="8"/>
      <c r="I8" s="8"/>
      <c r="J8" s="8"/>
      <c r="K8" s="8"/>
    </row>
    <row r="9" customFormat="false" ht="15" hidden="false" customHeight="true" outlineLevel="0" collapsed="false">
      <c r="B9" s="7" t="s">
        <v>8</v>
      </c>
      <c r="C9" s="8" t="s">
        <v>9</v>
      </c>
      <c r="D9" s="8"/>
      <c r="E9" s="8"/>
      <c r="F9" s="8"/>
      <c r="G9" s="8"/>
      <c r="H9" s="8"/>
      <c r="I9" s="8"/>
      <c r="J9" s="8"/>
      <c r="K9" s="8"/>
    </row>
    <row r="10" customFormat="false" ht="15" hidden="false" customHeight="true" outlineLevel="0" collapsed="false">
      <c r="B10" s="7" t="s">
        <v>10</v>
      </c>
      <c r="C10" s="8" t="s">
        <v>11</v>
      </c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true" outlineLevel="0" collapsed="false">
      <c r="B11" s="7" t="s">
        <v>12</v>
      </c>
      <c r="C11" s="8" t="s">
        <v>13</v>
      </c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true" outlineLevel="0" collapsed="false">
      <c r="B12" s="7" t="s">
        <v>14</v>
      </c>
      <c r="C12" s="8" t="s">
        <v>15</v>
      </c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true" outlineLevel="0" collapsed="false">
      <c r="B13" s="7" t="s">
        <v>16</v>
      </c>
      <c r="C13" s="8" t="s">
        <v>17</v>
      </c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true" outlineLevel="0" collapsed="false">
      <c r="B14" s="7" t="s">
        <v>18</v>
      </c>
      <c r="C14" s="8" t="s">
        <v>19</v>
      </c>
      <c r="D14" s="8"/>
      <c r="E14" s="8"/>
      <c r="F14" s="8"/>
      <c r="G14" s="8"/>
      <c r="H14" s="8"/>
      <c r="I14" s="8"/>
      <c r="J14" s="8"/>
      <c r="K14" s="8"/>
    </row>
    <row r="16" customFormat="false" ht="15" hidden="false" customHeight="true" outlineLevel="0" collapsed="false">
      <c r="B16" s="5" t="s">
        <v>20</v>
      </c>
      <c r="C16" s="6"/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true" outlineLevel="0" collapsed="false">
      <c r="B17" s="7" t="s">
        <v>21</v>
      </c>
      <c r="C17" s="8" t="s">
        <v>22</v>
      </c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true" outlineLevel="0" collapsed="false">
      <c r="B18" s="7" t="s">
        <v>23</v>
      </c>
      <c r="C18" s="9" t="n">
        <f aca="false">ИНФОРМАЦИЯ!$C$26</f>
        <v>17024289.695302</v>
      </c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true" outlineLevel="0" collapsed="false">
      <c r="B19" s="7" t="s">
        <v>24</v>
      </c>
      <c r="C19" s="10" t="n">
        <f aca="false">ИНФОРМАЦИЯ!$C$27</f>
        <v>0.07</v>
      </c>
      <c r="D19" s="10"/>
      <c r="E19" s="10"/>
      <c r="F19" s="10"/>
      <c r="G19" s="10"/>
      <c r="H19" s="10"/>
      <c r="I19" s="10"/>
      <c r="J19" s="10"/>
      <c r="K19" s="10"/>
    </row>
    <row r="20" customFormat="false" ht="15" hidden="false" customHeight="true" outlineLevel="0" collapsed="false">
      <c r="B20" s="7" t="s">
        <v>25</v>
      </c>
      <c r="C20" s="8" t="s">
        <v>26</v>
      </c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true" outlineLevel="0" collapsed="false">
      <c r="B21" s="7" t="s">
        <v>27</v>
      </c>
      <c r="C21" s="8" t="s">
        <v>28</v>
      </c>
      <c r="D21" s="8"/>
      <c r="E21" s="8"/>
      <c r="F21" s="8"/>
      <c r="G21" s="8"/>
      <c r="H21" s="8"/>
      <c r="I21" s="8"/>
      <c r="J21" s="8"/>
      <c r="K21" s="8"/>
    </row>
    <row r="22" customFormat="false" ht="30" hidden="false" customHeight="true" outlineLevel="0" collapsed="false">
      <c r="B22" s="7" t="s">
        <v>29</v>
      </c>
      <c r="C22" s="8" t="str">
        <f aca="false">TEXT(LOANS!$C$106,"#,##0") &amp; " USD - уплачиваются за счёт собственных средств заемщика (включены в стоимость проекта)"</f>
        <v>1,208,252 USD - уплачиваются за счёт собственных средств заемщика (включены в стоимость проекта)</v>
      </c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true" outlineLevel="0" collapsed="false">
      <c r="B23" s="7" t="s">
        <v>30</v>
      </c>
      <c r="C23" s="8" t="s">
        <v>31</v>
      </c>
      <c r="D23" s="8"/>
      <c r="E23" s="8"/>
      <c r="F23" s="8"/>
      <c r="G23" s="8"/>
      <c r="H23" s="8"/>
      <c r="I23" s="8"/>
      <c r="J23" s="8"/>
      <c r="K23" s="8"/>
    </row>
    <row r="25" customFormat="false" ht="15" hidden="false" customHeight="true" outlineLevel="0" collapsed="false">
      <c r="B25" s="5" t="s">
        <v>32</v>
      </c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5" hidden="false" customHeight="true" outlineLevel="0" collapsed="false">
      <c r="B26" s="11" t="s">
        <v>33</v>
      </c>
      <c r="C26" s="12" t="s">
        <v>34</v>
      </c>
      <c r="D26" s="12" t="s">
        <v>35</v>
      </c>
    </row>
    <row r="27" customFormat="false" ht="15" hidden="false" customHeight="true" outlineLevel="0" collapsed="false">
      <c r="B27" s="13" t="s">
        <v>36</v>
      </c>
      <c r="C27" s="14" t="n">
        <f aca="false">ProjCost!E5</f>
        <v>47761337.7232143</v>
      </c>
      <c r="D27" s="15" t="n">
        <f aca="false">IFERROR(C27/ProjCost!$E$16,0)</f>
        <v>0.611366160812204</v>
      </c>
    </row>
    <row r="28" customFormat="false" ht="15" hidden="false" customHeight="true" outlineLevel="0" collapsed="false">
      <c r="B28" s="13" t="s">
        <v>37</v>
      </c>
      <c r="C28" s="14" t="n">
        <f aca="false">ProjCost!E10</f>
        <v>28280512.0886948</v>
      </c>
      <c r="D28" s="15" t="n">
        <f aca="false">IFERROR(C28/ProjCost!$E$16,0)</f>
        <v>0.362003011759547</v>
      </c>
    </row>
    <row r="29" customFormat="false" ht="15" hidden="false" customHeight="true" outlineLevel="0" collapsed="false">
      <c r="B29" s="13" t="s">
        <v>38</v>
      </c>
      <c r="C29" s="14" t="n">
        <f aca="false">ProjCost!E11</f>
        <v>1910218.90184775</v>
      </c>
      <c r="D29" s="15" t="n">
        <f aca="false">IFERROR(C29/ProjCost!$E$16,0)</f>
        <v>0.0244516433585137</v>
      </c>
    </row>
    <row r="30" customFormat="false" ht="15" hidden="false" customHeight="true" outlineLevel="0" collapsed="false">
      <c r="B30" s="13" t="s">
        <v>39</v>
      </c>
      <c r="C30" s="14" t="n">
        <f aca="false">ProjCost!E14</f>
        <v>170242.89695302</v>
      </c>
      <c r="D30" s="15" t="n">
        <f aca="false">IFERROR(C30/ProjCost!$E$16,0)</f>
        <v>0.00217918406973612</v>
      </c>
    </row>
    <row r="31" customFormat="false" ht="15" hidden="false" customHeight="true" outlineLevel="0" collapsed="false">
      <c r="B31" s="16" t="s">
        <v>40</v>
      </c>
      <c r="C31" s="17" t="n">
        <f aca="false">ProjCost!E16</f>
        <v>78122311.6107099</v>
      </c>
      <c r="D31" s="18" t="n">
        <f aca="false">IFERROR(C31/ProjCost!$E$16,0)</f>
        <v>1</v>
      </c>
    </row>
    <row r="32" customFormat="false" ht="15" hidden="false" customHeight="true" outlineLevel="0" collapsed="false">
      <c r="B32" s="13" t="s">
        <v>41</v>
      </c>
      <c r="C32" s="14" t="n">
        <f aca="false">FinPlan!$E$10</f>
        <v>61098021.9154079</v>
      </c>
      <c r="D32" s="15" t="n">
        <f aca="false">IFERROR(C32/ProjCost!$E$16,0)</f>
        <v>0.782081593026389</v>
      </c>
    </row>
    <row r="33" customFormat="false" ht="15" hidden="false" customHeight="true" outlineLevel="0" collapsed="false">
      <c r="B33" s="13" t="s">
        <v>42</v>
      </c>
      <c r="C33" s="14" t="n">
        <f aca="false">FinPlan!$E$14</f>
        <v>17024289.695302</v>
      </c>
      <c r="D33" s="15" t="n">
        <f aca="false">IFERROR(C33/ProjCost!$E$16,0)</f>
        <v>0.217918406973612</v>
      </c>
    </row>
    <row r="35" customFormat="false" ht="15" hidden="false" customHeight="true" outlineLevel="0" collapsed="false">
      <c r="B35" s="5" t="s">
        <v>43</v>
      </c>
      <c r="C35" s="6"/>
      <c r="D35" s="6"/>
      <c r="E35" s="6"/>
      <c r="F35" s="6"/>
      <c r="G35" s="6"/>
      <c r="H35" s="6"/>
      <c r="I35" s="6"/>
      <c r="J35" s="6"/>
      <c r="K35" s="6"/>
    </row>
    <row r="36" customFormat="false" ht="30" hidden="false" customHeight="true" outlineLevel="0" collapsed="false">
      <c r="B36" s="19" t="s">
        <v>44</v>
      </c>
      <c r="C36" s="19" t="s">
        <v>45</v>
      </c>
      <c r="D36" s="19" t="s">
        <v>46</v>
      </c>
      <c r="E36" s="19" t="s">
        <v>47</v>
      </c>
      <c r="F36" s="19" t="s">
        <v>48</v>
      </c>
      <c r="G36" s="19" t="s">
        <v>49</v>
      </c>
      <c r="H36" s="19" t="s">
        <v>50</v>
      </c>
      <c r="I36" s="19" t="s">
        <v>51</v>
      </c>
      <c r="J36" s="19" t="s">
        <v>52</v>
      </c>
    </row>
    <row r="37" customFormat="false" ht="15" hidden="false" customHeight="true" outlineLevel="0" collapsed="false">
      <c r="B37" s="19"/>
      <c r="C37" s="19"/>
      <c r="D37" s="19"/>
      <c r="E37" s="19"/>
      <c r="F37" s="19"/>
      <c r="G37" s="19"/>
      <c r="H37" s="19"/>
      <c r="I37" s="19"/>
      <c r="J37" s="19"/>
    </row>
    <row r="38" customFormat="false" ht="15" hidden="false" customHeight="true" outlineLevel="0" collapsed="false">
      <c r="B38" s="7" t="s">
        <v>53</v>
      </c>
      <c r="C38" s="20" t="s">
        <v>34</v>
      </c>
      <c r="D38" s="14" t="n">
        <f aca="false">ProfLoss!D10</f>
        <v>28331250</v>
      </c>
      <c r="E38" s="14" t="n">
        <f aca="false">ProfLoss!E10</f>
        <v>247405564.5</v>
      </c>
      <c r="F38" s="14" t="n">
        <f aca="false">ProfLoss!F10</f>
        <v>307919597.08125</v>
      </c>
      <c r="G38" s="14" t="n">
        <f aca="false">ProfLoss!G10</f>
        <v>318676396.5</v>
      </c>
      <c r="H38" s="14" t="n">
        <f aca="false">ProfLoss!H10</f>
        <v>325686900</v>
      </c>
      <c r="I38" s="14" t="n">
        <f aca="false">ProfLoss!I10</f>
        <v>332851480.5</v>
      </c>
      <c r="J38" s="14" t="n">
        <f aca="false">ProfLoss!J10</f>
        <v>340175451</v>
      </c>
    </row>
    <row r="39" customFormat="false" ht="15" hidden="false" customHeight="true" outlineLevel="0" collapsed="false">
      <c r="B39" s="7" t="s">
        <v>54</v>
      </c>
      <c r="C39" s="20" t="s">
        <v>34</v>
      </c>
      <c r="D39" s="14" t="n">
        <f aca="false">ProfLoss!D27</f>
        <v>4067929.80982083</v>
      </c>
      <c r="E39" s="14" t="n">
        <f aca="false">ProfLoss!E27</f>
        <v>22679487.1745815</v>
      </c>
      <c r="F39" s="14" t="n">
        <f aca="false">ProfLoss!F27</f>
        <v>28130752.4520423</v>
      </c>
      <c r="G39" s="14" t="n">
        <f aca="false">ProfLoss!G27</f>
        <v>30221088.804752</v>
      </c>
      <c r="H39" s="14" t="n">
        <f aca="false">ProfLoss!H27</f>
        <v>30902858.1106247</v>
      </c>
      <c r="I39" s="14" t="n">
        <f aca="false">ProfLoss!I27</f>
        <v>31599284.7689385</v>
      </c>
      <c r="J39" s="14" t="n">
        <f aca="false">ProfLoss!J27</f>
        <v>32312605.612667</v>
      </c>
    </row>
    <row r="40" customFormat="false" ht="15" hidden="false" customHeight="true" outlineLevel="0" collapsed="false">
      <c r="B40" s="7" t="s">
        <v>55</v>
      </c>
      <c r="C40" s="20" t="s">
        <v>34</v>
      </c>
      <c r="D40" s="14" t="n">
        <f aca="false">ProfLoss!D22</f>
        <v>2927686.3995105</v>
      </c>
      <c r="E40" s="14" t="n">
        <f aca="false">ProfLoss!E22</f>
        <v>16162512.919018</v>
      </c>
      <c r="F40" s="14" t="n">
        <f aca="false">ProfLoss!F22</f>
        <v>20929536.151416</v>
      </c>
      <c r="G40" s="14" t="n">
        <f aca="false">ProfLoss!G22</f>
        <v>22836995.1406838</v>
      </c>
      <c r="H40" s="14" t="n">
        <f aca="false">ProfLoss!H22</f>
        <v>23547172.1401401</v>
      </c>
      <c r="I40" s="14" t="n">
        <f aca="false">ProfLoss!I22</f>
        <v>24271185.8423067</v>
      </c>
      <c r="J40" s="14" t="n">
        <f aca="false">ProfLoss!J22</f>
        <v>25015910.8386623</v>
      </c>
    </row>
    <row r="41" customFormat="false" ht="15" hidden="false" customHeight="true" outlineLevel="0" collapsed="false">
      <c r="B41" s="7" t="s">
        <v>56</v>
      </c>
      <c r="C41" s="20" t="s">
        <v>34</v>
      </c>
      <c r="D41" s="14" t="n">
        <f aca="false">CashFlow!D18</f>
        <v>-25431200.0503813</v>
      </c>
      <c r="E41" s="14" t="n">
        <f aca="false">CashFlow!E18</f>
        <v>5266470.07422887</v>
      </c>
      <c r="F41" s="14" t="n">
        <f aca="false">CashFlow!F18</f>
        <v>14249199.4959908</v>
      </c>
      <c r="G41" s="14" t="n">
        <f aca="false">CashFlow!G18</f>
        <v>24697202.4468361</v>
      </c>
      <c r="H41" s="14" t="n">
        <f aca="false">CashFlow!H18</f>
        <v>25548304.3217475</v>
      </c>
      <c r="I41" s="14" t="n">
        <f aca="false">CashFlow!I18</f>
        <v>26090594.7696718</v>
      </c>
      <c r="J41" s="14" t="n">
        <f aca="false">CashFlow!J18</f>
        <v>26645386.2688947</v>
      </c>
    </row>
    <row r="42" customFormat="false" ht="15" hidden="false" customHeight="true" outlineLevel="0" collapsed="false">
      <c r="B42" s="7" t="s">
        <v>57</v>
      </c>
      <c r="C42" s="20" t="s">
        <v>34</v>
      </c>
      <c r="D42" s="14" t="n">
        <f aca="false">LOANS!$C$107</f>
        <v>1208251.67143046</v>
      </c>
      <c r="E42" s="14" t="n">
        <f aca="false">LOANS!$D$107</f>
        <v>3956163.81423179</v>
      </c>
      <c r="F42" s="14" t="n">
        <f aca="false">LOANS!$E$107</f>
        <v>3751524.23319918</v>
      </c>
      <c r="G42" s="14" t="n">
        <f aca="false">LOANS!$F$107</f>
        <v>3550148.95462744</v>
      </c>
      <c r="H42" s="14" t="n">
        <f aca="false">LOANS!$G$107</f>
        <v>3348773.67605569</v>
      </c>
      <c r="I42" s="14" t="n">
        <f aca="false">LOANS!$H$107</f>
        <v>3148455.84757691</v>
      </c>
      <c r="J42" s="14" t="n">
        <f aca="false">LOANS!$I$107</f>
        <v>2946023.1189122</v>
      </c>
    </row>
    <row r="43" customFormat="false" ht="15" hidden="false" customHeight="true" outlineLevel="0" collapsed="false">
      <c r="B43" s="7" t="s">
        <v>58</v>
      </c>
      <c r="C43" s="20" t="s">
        <v>34</v>
      </c>
      <c r="D43" s="14" t="n">
        <f aca="false">CashFlow!D26</f>
        <v>3721522.16568379</v>
      </c>
      <c r="E43" s="14" t="n">
        <f aca="false">CashFlow!E26</f>
        <v>833883.93856851</v>
      </c>
      <c r="F43" s="14" t="n">
        <f aca="false">CashFlow!F26</f>
        <v>10021252.9413631</v>
      </c>
      <c r="G43" s="14" t="n">
        <f aca="false">CashFlow!G26</f>
        <v>20670631.1707801</v>
      </c>
      <c r="H43" s="14" t="n">
        <f aca="false">CashFlow!H26</f>
        <v>21723108.3242633</v>
      </c>
      <c r="I43" s="14" t="n">
        <f aca="false">CashFlow!I26</f>
        <v>22465716.6006663</v>
      </c>
      <c r="J43" s="14" t="n">
        <f aca="false">CashFlow!J26</f>
        <v>23222940.828554</v>
      </c>
    </row>
    <row r="44" customFormat="false" ht="15" hidden="false" customHeight="true" outlineLevel="0" collapsed="false">
      <c r="B44" s="7" t="s">
        <v>59</v>
      </c>
      <c r="C44" s="20" t="s">
        <v>34</v>
      </c>
      <c r="D44" s="14" t="n">
        <f aca="false">CashFlow!D27</f>
        <v>3721522.16568379</v>
      </c>
      <c r="E44" s="14" t="n">
        <f aca="false">CashFlow!E27</f>
        <v>4555406.1042523</v>
      </c>
      <c r="F44" s="14" t="n">
        <f aca="false">CashFlow!F27</f>
        <v>14576659.0456154</v>
      </c>
      <c r="G44" s="14" t="n">
        <f aca="false">CashFlow!G27</f>
        <v>35247290.2163954</v>
      </c>
      <c r="H44" s="14" t="n">
        <f aca="false">CashFlow!H27</f>
        <v>56970398.5406587</v>
      </c>
      <c r="I44" s="14" t="n">
        <f aca="false">CashFlow!I27</f>
        <v>79436115.141325</v>
      </c>
      <c r="J44" s="14" t="n">
        <f aca="false">CashFlow!J27</f>
        <v>102659055.969879</v>
      </c>
    </row>
    <row r="45" customFormat="false" ht="15" hidden="false" customHeight="true" outlineLevel="0" collapsed="false">
      <c r="B45" s="7" t="s">
        <v>60</v>
      </c>
      <c r="C45" s="20" t="s">
        <v>61</v>
      </c>
      <c r="D45" s="21" t="str">
        <f aca="false">CashFlow!D30</f>
        <v>-</v>
      </c>
      <c r="E45" s="21" t="n">
        <f aca="false">CashFlow!E30</f>
        <v>1.21078094278319</v>
      </c>
      <c r="F45" s="21" t="n">
        <f aca="false">CashFlow!F30</f>
        <v>3.67124835624939</v>
      </c>
      <c r="G45" s="21" t="n">
        <f aca="false">CashFlow!G30</f>
        <v>6.82246870059831</v>
      </c>
      <c r="H45" s="21" t="n">
        <f aca="false">CashFlow!H30</f>
        <v>7.48688458093995</v>
      </c>
      <c r="I45" s="21" t="n">
        <f aca="false">CashFlow!I30</f>
        <v>8.13547138288638</v>
      </c>
      <c r="J45" s="21" t="n">
        <f aca="false">CashFlow!J30</f>
        <v>8.88281011084832</v>
      </c>
    </row>
    <row r="46" customFormat="false" ht="15" hidden="false" customHeight="true" outlineLevel="0" collapsed="false">
      <c r="B46" s="7" t="s">
        <v>62</v>
      </c>
      <c r="C46" s="20" t="s">
        <v>34</v>
      </c>
      <c r="D46" s="14" t="n">
        <f aca="false">LOANS!$C$108</f>
        <v>17024289.695302</v>
      </c>
      <c r="E46" s="14" t="n">
        <f aca="false">LOANS!$D$108</f>
        <v>14186908.0794183</v>
      </c>
      <c r="F46" s="14" t="n">
        <f aca="false">LOANS!$E$108</f>
        <v>11349526.4635346</v>
      </c>
      <c r="G46" s="14" t="n">
        <f aca="false">LOANS!$F$108</f>
        <v>8512144.84765098</v>
      </c>
      <c r="H46" s="14" t="n">
        <f aca="false">LOANS!$G$108</f>
        <v>5674763.23176732</v>
      </c>
      <c r="I46" s="14" t="n">
        <f aca="false">LOANS!$H$108</f>
        <v>2837381.61588366</v>
      </c>
      <c r="J46" s="14" t="n">
        <f aca="false">LOANS!$I$108</f>
        <v>0</v>
      </c>
    </row>
    <row r="48" customFormat="false" ht="15" hidden="false" customHeight="true" outlineLevel="0" collapsed="false">
      <c r="B48" s="5" t="s">
        <v>63</v>
      </c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5" hidden="false" customHeight="true" outlineLevel="0" collapsed="false">
      <c r="B49" s="13" t="s">
        <v>64</v>
      </c>
      <c r="C49" s="22" t="n">
        <f aca="false">NPV_IRR!D18</f>
        <v>4404865.18239016</v>
      </c>
    </row>
    <row r="50" customFormat="false" ht="15" hidden="false" customHeight="true" outlineLevel="0" collapsed="false">
      <c r="B50" s="13" t="s">
        <v>65</v>
      </c>
      <c r="C50" s="23" t="n">
        <f aca="false">NPV_IRR!D19</f>
        <v>0.131878108331531</v>
      </c>
    </row>
    <row r="51" customFormat="false" ht="15" hidden="false" customHeight="true" outlineLevel="0" collapsed="false">
      <c r="B51" s="13" t="s">
        <v>66</v>
      </c>
      <c r="C51" s="24" t="n">
        <f aca="false">NPV_IRR!D20</f>
        <v>1.06698144381928</v>
      </c>
    </row>
    <row r="52" customFormat="false" ht="15" hidden="false" customHeight="true" outlineLevel="0" collapsed="false">
      <c r="B52" s="13" t="s">
        <v>67</v>
      </c>
      <c r="C52" s="25" t="n">
        <f aca="false">NPV_IRR!D21</f>
        <v>5.20836319156088</v>
      </c>
    </row>
    <row r="53" customFormat="false" ht="15" hidden="false" customHeight="true" outlineLevel="0" collapsed="false">
      <c r="B53" s="13" t="s">
        <v>68</v>
      </c>
      <c r="C53" s="25" t="n">
        <f aca="false">NPV_IRR!D22</f>
        <v>6.64390414474251</v>
      </c>
    </row>
    <row r="54" customFormat="false" ht="15" hidden="false" customHeight="true" outlineLevel="0" collapsed="false">
      <c r="B54" s="13" t="s">
        <v>69</v>
      </c>
      <c r="C54" s="26" t="str">
        <f aca="false">TEXT(CashFlow!D31,"0.00") &amp; "x / " &amp; TEXT(CashFlow!D32,"0.00") &amp; "x"</f>
        <v>1.21x / 6.03x</v>
      </c>
      <c r="D54" s="26"/>
      <c r="E54" s="26"/>
    </row>
    <row r="55" customFormat="false" ht="15" hidden="false" customHeight="true" outlineLevel="0" collapsed="false">
      <c r="B55" s="13" t="s">
        <v>70</v>
      </c>
      <c r="C55" s="23" t="n">
        <f aca="false">BreakPoint!C10</f>
        <v>0.298419434889006</v>
      </c>
    </row>
    <row r="57" customFormat="false" ht="15" hidden="false" customHeight="true" outlineLevel="0" collapsed="false">
      <c r="B57" s="5" t="s">
        <v>71</v>
      </c>
      <c r="C57" s="6"/>
      <c r="D57" s="6"/>
      <c r="E57" s="6"/>
      <c r="F57" s="6"/>
      <c r="G57" s="6"/>
      <c r="H57" s="6"/>
      <c r="I57" s="6"/>
      <c r="J57" s="6"/>
      <c r="K57" s="6"/>
    </row>
    <row r="58" customFormat="false" ht="15" hidden="false" customHeight="true" outlineLevel="0" collapsed="false">
      <c r="B58" s="13" t="s">
        <v>72</v>
      </c>
      <c r="C58" s="27" t="str">
        <f aca="false">IF(MIN(CashFlow!D26:J26)&gt;0,"Да","Нет")</f>
        <v>Да</v>
      </c>
    </row>
    <row r="59" customFormat="false" ht="15" hidden="false" customHeight="true" outlineLevel="0" collapsed="false">
      <c r="B59" s="13" t="s">
        <v>73</v>
      </c>
      <c r="C59" s="27" t="str">
        <f aca="false">IF(MIN(ProfLoss!D22:J22)&gt;0,"Да","Нет")</f>
        <v>Да</v>
      </c>
    </row>
    <row r="60" customFormat="false" ht="15" hidden="false" customHeight="true" outlineLevel="0" collapsed="false">
      <c r="B60" s="13" t="s">
        <v>74</v>
      </c>
      <c r="C60" s="27" t="str">
        <f aca="false">IF(ABS(LOANS!$I$108)&lt;1,"Да","Нет")</f>
        <v>Да</v>
      </c>
    </row>
    <row r="61" customFormat="false" ht="15" hidden="false" customHeight="true" outlineLevel="0" collapsed="false">
      <c r="B61" s="13" t="s">
        <v>75</v>
      </c>
      <c r="C61" s="27" t="str">
        <f aca="false">IF(ProjCost!E12&gt;0,"Да","Нет")</f>
        <v>Да</v>
      </c>
    </row>
    <row r="62" customFormat="false" ht="15" hidden="false" customHeight="true" outlineLevel="0" collapsed="false">
      <c r="B62" s="13" t="s">
        <v>76</v>
      </c>
      <c r="C62" s="27" t="str">
        <f aca="false">IF(AND(ISNUMBER(NPV_IRR!D22),NPV_IRR!D22&lt;=7),"Да","Нет")</f>
        <v>Да</v>
      </c>
    </row>
    <row r="64" customFormat="false" ht="15" hidden="false" customHeight="true" outlineLevel="0" collapsed="false">
      <c r="B64" s="5" t="s">
        <v>77</v>
      </c>
      <c r="C64" s="6"/>
      <c r="D64" s="6"/>
      <c r="E64" s="6"/>
      <c r="F64" s="6"/>
      <c r="G64" s="6"/>
      <c r="H64" s="6"/>
      <c r="I64" s="6"/>
      <c r="J64" s="6"/>
      <c r="K64" s="6"/>
    </row>
    <row r="65" customFormat="false" ht="30" hidden="false" customHeight="true" outlineLevel="0" collapsed="false">
      <c r="B65" s="28" t="s">
        <v>78</v>
      </c>
      <c r="C65" s="28"/>
      <c r="D65" s="28"/>
      <c r="E65" s="28"/>
      <c r="F65" s="28"/>
      <c r="G65" s="28"/>
      <c r="H65" s="28"/>
      <c r="I65" s="28"/>
      <c r="J65" s="28"/>
      <c r="K65" s="28"/>
    </row>
    <row r="66" customFormat="false" ht="30" hidden="false" customHeight="true" outlineLevel="0" collapsed="false">
      <c r="B66" s="28" t="s">
        <v>79</v>
      </c>
      <c r="C66" s="28"/>
      <c r="D66" s="28"/>
      <c r="E66" s="28"/>
      <c r="F66" s="28"/>
      <c r="G66" s="28"/>
      <c r="H66" s="28"/>
      <c r="I66" s="28"/>
      <c r="J66" s="28"/>
      <c r="K66" s="28"/>
    </row>
    <row r="67" customFormat="false" ht="30" hidden="false" customHeight="true" outlineLevel="0" collapsed="false">
      <c r="B67" s="28" t="s">
        <v>80</v>
      </c>
      <c r="C67" s="28"/>
      <c r="D67" s="28"/>
      <c r="E67" s="28"/>
      <c r="F67" s="28"/>
      <c r="G67" s="28"/>
      <c r="H67" s="28"/>
      <c r="I67" s="28"/>
      <c r="J67" s="28"/>
      <c r="K67" s="28"/>
    </row>
    <row r="68" customFormat="false" ht="30" hidden="false" customHeight="true" outlineLevel="0" collapsed="false">
      <c r="B68" s="28" t="s">
        <v>81</v>
      </c>
      <c r="C68" s="28"/>
      <c r="D68" s="28"/>
      <c r="E68" s="28"/>
      <c r="F68" s="28"/>
      <c r="G68" s="28"/>
      <c r="H68" s="28"/>
      <c r="I68" s="28"/>
      <c r="J68" s="28"/>
      <c r="K68" s="28"/>
    </row>
    <row r="69" customFormat="false" ht="30" hidden="false" customHeight="true" outlineLevel="0" collapsed="false">
      <c r="B69" s="28" t="s">
        <v>82</v>
      </c>
      <c r="C69" s="28"/>
      <c r="D69" s="28"/>
      <c r="E69" s="28"/>
      <c r="F69" s="28"/>
      <c r="G69" s="28"/>
      <c r="H69" s="28"/>
      <c r="I69" s="28"/>
      <c r="J69" s="28"/>
      <c r="K69" s="28"/>
    </row>
    <row r="70" customFormat="false" ht="30" hidden="false" customHeight="true" outlineLevel="0" collapsed="false">
      <c r="B70" s="28" t="s">
        <v>83</v>
      </c>
      <c r="C70" s="28"/>
      <c r="D70" s="28"/>
      <c r="E70" s="28"/>
      <c r="F70" s="28"/>
      <c r="G70" s="28"/>
      <c r="H70" s="28"/>
      <c r="I70" s="28"/>
      <c r="J70" s="28"/>
      <c r="K70" s="28"/>
    </row>
    <row r="72" customFormat="false" ht="15" hidden="false" customHeight="true" outlineLevel="0" collapsed="false">
      <c r="B72" s="5" t="s">
        <v>84</v>
      </c>
      <c r="C72" s="6"/>
      <c r="D72" s="6"/>
      <c r="E72" s="6"/>
      <c r="F72" s="6"/>
      <c r="G72" s="6"/>
      <c r="H72" s="6"/>
      <c r="I72" s="6"/>
      <c r="J72" s="6"/>
      <c r="K72" s="6"/>
    </row>
    <row r="73" customFormat="false" ht="30" hidden="false" customHeight="true" outlineLevel="0" collapsed="false">
      <c r="B73" s="29" t="s">
        <v>85</v>
      </c>
      <c r="C73" s="7" t="str">
        <f aca="false">"Точка безубыточности при проектной мощности - " &amp; TEXT(BreakPoint!C10,"0%") &amp; " выручки; цены реализации в плане приняты консервативно. Меры: долгосрочные контракты на реализацию, мониторинг рыночных цен."</f>
        <v>Точка безубыточности при проектной мощности - 30% выручки; цены реализации в плане приняты консервативно. Меры: долгосрочные контракты на реализацию, мониторинг рыночных цен.</v>
      </c>
      <c r="D73" s="7"/>
      <c r="E73" s="7"/>
      <c r="F73" s="7"/>
      <c r="G73" s="7"/>
      <c r="H73" s="7"/>
      <c r="I73" s="7"/>
      <c r="J73" s="7"/>
      <c r="K73" s="7"/>
    </row>
    <row r="74" customFormat="false" ht="30" hidden="false" customHeight="true" outlineLevel="0" collapsed="false">
      <c r="B74" s="29" t="s">
        <v>86</v>
      </c>
      <c r="C74" s="7" t="str">
        <f aca="false">"Доля экспорта в выручке: " &amp; TEXT(SalePlan!F8/SalePlan!F14,"0%") &amp; "; цены продукции установлены в USD; кредит - в USD (естественное хеджирование валютной позиции)."</f>
        <v>Доля экспорта в выручке: 100%; цены продукции установлены в USD; кредит - в USD (естественное хеджирование валютной позиции).</v>
      </c>
      <c r="D74" s="7"/>
      <c r="E74" s="7"/>
      <c r="F74" s="7"/>
      <c r="G74" s="7"/>
      <c r="H74" s="7"/>
      <c r="I74" s="7"/>
      <c r="J74" s="7"/>
      <c r="K74" s="7"/>
    </row>
    <row r="75" customFormat="false" ht="30" hidden="false" customHeight="true" outlineLevel="0" collapsed="false">
      <c r="B75" s="29" t="s">
        <v>87</v>
      </c>
      <c r="C75" s="7" t="str">
        <f aca="false">"Освоение мощности: 1-й год - " &amp; TEXT(ProdPlan!D11,"0%") &amp; ", 2-й год - " &amp; TEXT(ProdPlan!E11,"0%") &amp; ", 3-й год - " &amp; TEXT(ProdPlan!F11,"0%") &amp; "; льготный период 12 мес. и запас DSCR (мин. " &amp; TEXT(CashFlow!D31,"0.00") &amp; "x) покрывают период выхода на мощность."</f>
        <v>Освоение мощности: 1-й год - 10%, 2-й год - 83%, 3-й год - 100%; льготный период 12 мес. и запас DSCR (мин. 1.21x) покрывают период выхода на мощность.</v>
      </c>
      <c r="D75" s="7"/>
      <c r="E75" s="7"/>
      <c r="F75" s="7"/>
      <c r="G75" s="7"/>
      <c r="H75" s="7"/>
      <c r="I75" s="7"/>
      <c r="J75" s="7"/>
      <c r="K75" s="7"/>
    </row>
    <row r="76" customFormat="false" ht="30" hidden="false" customHeight="true" outlineLevel="0" collapsed="false">
      <c r="B76" s="29" t="s">
        <v>88</v>
      </c>
      <c r="C76" s="7" t="str">
        <f aca="false">"Капитальные затраты приняты в фиксированных ценах (EPC-контракт: проектирование, поставка, строительство); превышение сметы финансируется за счёт собственных средств заемщика."</f>
        <v>Капитальные затраты приняты в фиксированных ценах (EPC-контракт: проектирование, поставка, строительство); превышение сметы финансируется за счёт собственных средств заемщика.</v>
      </c>
      <c r="D76" s="7"/>
      <c r="E76" s="7"/>
      <c r="F76" s="7"/>
      <c r="G76" s="7"/>
      <c r="H76" s="7"/>
      <c r="I76" s="7"/>
      <c r="J76" s="7"/>
      <c r="K76" s="7"/>
    </row>
    <row r="77" customFormat="false" ht="30" hidden="false" customHeight="true" outlineLevel="0" collapsed="false">
      <c r="B77" s="29" t="s">
        <v>89</v>
      </c>
      <c r="C77" s="7" t="str">
        <f aca="false">"Основное сырьё - Вольфрамовый концентрат 55%: " &amp; TEXT(RawMat!F24/CostTotal!C22,"0%") &amp; " затрат при проектной мощности (с учётом прочих материалов). Меры: долгосрочные договоры поставки."</f>
        <v>Основное сырьё - Вольфрамовый концентрат 55%: 93% затрат при проектной мощности (с учётом прочих материалов). Меры: долгосрочные договоры поставки.</v>
      </c>
      <c r="D77" s="7"/>
      <c r="E77" s="7"/>
      <c r="F77" s="7"/>
      <c r="G77" s="7"/>
      <c r="H77" s="7"/>
      <c r="I77" s="7"/>
      <c r="J77" s="7"/>
      <c r="K77" s="7"/>
    </row>
  </sheetData>
  <mergeCells count="36">
    <mergeCell ref="C7:K7"/>
    <mergeCell ref="C8:K8"/>
    <mergeCell ref="C9:K9"/>
    <mergeCell ref="C10:K10"/>
    <mergeCell ref="C11:K11"/>
    <mergeCell ref="C12:K12"/>
    <mergeCell ref="C13:K13"/>
    <mergeCell ref="C14:K14"/>
    <mergeCell ref="C17:K17"/>
    <mergeCell ref="C18:K18"/>
    <mergeCell ref="C19:K19"/>
    <mergeCell ref="C20:K20"/>
    <mergeCell ref="C21:K21"/>
    <mergeCell ref="C22:K22"/>
    <mergeCell ref="C23:K23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C54:E54"/>
    <mergeCell ref="B65:K65"/>
    <mergeCell ref="B66:K66"/>
    <mergeCell ref="B67:K67"/>
    <mergeCell ref="B68:K68"/>
    <mergeCell ref="B69:K69"/>
    <mergeCell ref="B70:K70"/>
    <mergeCell ref="C73:K73"/>
    <mergeCell ref="C74:K74"/>
    <mergeCell ref="C75:K75"/>
    <mergeCell ref="C76:K76"/>
    <mergeCell ref="C77:K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52"/>
    <col collapsed="false" customWidth="true" hidden="false" outlineLevel="0" max="15" min="4" style="1" width="16"/>
  </cols>
  <sheetData>
    <row r="2" customFormat="false" ht="15" hidden="false" customHeight="true" outlineLevel="0" collapsed="false">
      <c r="B2" s="3" t="s">
        <v>90</v>
      </c>
    </row>
    <row r="4" customFormat="false" ht="30" hidden="false" customHeight="true" outlineLevel="0" collapsed="false">
      <c r="B4" s="26" t="s">
        <v>91</v>
      </c>
      <c r="C4" s="7" t="s">
        <v>7</v>
      </c>
    </row>
    <row r="5" customFormat="false" ht="15" hidden="false" customHeight="true" outlineLevel="0" collapsed="false">
      <c r="B5" s="26" t="s">
        <v>92</v>
      </c>
      <c r="C5" s="7" t="s">
        <v>93</v>
      </c>
    </row>
    <row r="6" customFormat="false" ht="30" hidden="false" customHeight="true" outlineLevel="0" collapsed="false">
      <c r="B6" s="26" t="s">
        <v>94</v>
      </c>
      <c r="C6" s="7" t="s">
        <v>95</v>
      </c>
    </row>
    <row r="7" customFormat="false" ht="60" hidden="false" customHeight="true" outlineLevel="0" collapsed="false">
      <c r="B7" s="26" t="s">
        <v>96</v>
      </c>
      <c r="C7" s="7" t="s">
        <v>97</v>
      </c>
    </row>
    <row r="8" customFormat="false" ht="15" hidden="false" customHeight="true" outlineLevel="0" collapsed="false">
      <c r="B8" s="26" t="s">
        <v>98</v>
      </c>
      <c r="C8" s="7" t="s">
        <v>9</v>
      </c>
    </row>
    <row r="9" customFormat="false" ht="30" hidden="false" customHeight="true" outlineLevel="0" collapsed="false">
      <c r="B9" s="26" t="s">
        <v>99</v>
      </c>
      <c r="C9" s="7" t="s">
        <v>100</v>
      </c>
    </row>
    <row r="10" customFormat="false" ht="15" hidden="false" customHeight="true" outlineLevel="0" collapsed="false">
      <c r="B10" s="26" t="s">
        <v>101</v>
      </c>
      <c r="C10" s="7" t="s">
        <v>11</v>
      </c>
    </row>
    <row r="11" customFormat="false" ht="15" hidden="false" customHeight="true" outlineLevel="0" collapsed="false">
      <c r="B11" s="26" t="s">
        <v>102</v>
      </c>
      <c r="C11" s="7" t="s">
        <v>103</v>
      </c>
    </row>
    <row r="12" customFormat="false" ht="15" hidden="false" customHeight="true" outlineLevel="0" collapsed="false">
      <c r="B12" s="26" t="s">
        <v>104</v>
      </c>
      <c r="C12" s="7" t="s">
        <v>105</v>
      </c>
    </row>
    <row r="13" customFormat="false" ht="15" hidden="false" customHeight="true" outlineLevel="0" collapsed="false">
      <c r="B13" s="26" t="s">
        <v>106</v>
      </c>
      <c r="C13" s="7" t="s">
        <v>107</v>
      </c>
    </row>
    <row r="14" customFormat="false" ht="15" hidden="false" customHeight="true" outlineLevel="0" collapsed="false">
      <c r="B14" s="26" t="s">
        <v>108</v>
      </c>
      <c r="C14" s="7" t="s">
        <v>109</v>
      </c>
    </row>
    <row r="16" customFormat="false" ht="15" hidden="false" customHeight="true" outlineLevel="0" collapsed="false">
      <c r="B16" s="5" t="s">
        <v>110</v>
      </c>
      <c r="C16" s="6"/>
    </row>
    <row r="17" customFormat="false" ht="30" hidden="false" customHeight="true" outlineLevel="0" collapsed="false">
      <c r="B17" s="13" t="s">
        <v>111</v>
      </c>
      <c r="C17" s="7" t="s">
        <v>7</v>
      </c>
    </row>
    <row r="18" customFormat="false" ht="15" hidden="false" customHeight="true" outlineLevel="0" collapsed="false">
      <c r="B18" s="13" t="s">
        <v>112</v>
      </c>
      <c r="C18" s="7" t="s">
        <v>113</v>
      </c>
    </row>
    <row r="19" customFormat="false" ht="30" hidden="false" customHeight="true" outlineLevel="0" collapsed="false">
      <c r="B19" s="13" t="s">
        <v>114</v>
      </c>
      <c r="C19" s="7" t="s">
        <v>22</v>
      </c>
    </row>
    <row r="20" customFormat="false" ht="15" hidden="false" customHeight="true" outlineLevel="0" collapsed="false">
      <c r="B20" s="13" t="s">
        <v>115</v>
      </c>
      <c r="C20" s="7" t="s">
        <v>116</v>
      </c>
    </row>
    <row r="22" customFormat="false" ht="15" hidden="false" customHeight="true" outlineLevel="0" collapsed="false">
      <c r="B22" s="26" t="s">
        <v>117</v>
      </c>
      <c r="C22" s="13" t="s">
        <v>118</v>
      </c>
    </row>
    <row r="23" customFormat="false" ht="15" hidden="false" customHeight="true" outlineLevel="0" collapsed="false">
      <c r="B23" s="13" t="s">
        <v>119</v>
      </c>
      <c r="C23" s="30" t="n">
        <v>12231.2340841376</v>
      </c>
    </row>
    <row r="25" customFormat="false" ht="15" hidden="false" customHeight="true" outlineLevel="0" collapsed="false">
      <c r="B25" s="5" t="s">
        <v>120</v>
      </c>
      <c r="C25" s="6"/>
    </row>
    <row r="26" customFormat="false" ht="15" hidden="false" customHeight="true" outlineLevel="0" collapsed="false">
      <c r="B26" s="7" t="s">
        <v>23</v>
      </c>
      <c r="C26" s="22" t="n">
        <f aca="false">O41</f>
        <v>17024289.695302</v>
      </c>
    </row>
    <row r="27" customFormat="false" ht="15" hidden="false" customHeight="true" outlineLevel="0" collapsed="false">
      <c r="B27" s="7" t="s">
        <v>121</v>
      </c>
      <c r="C27" s="31" t="n">
        <v>0.07</v>
      </c>
    </row>
    <row r="28" customFormat="false" ht="15" hidden="false" customHeight="true" outlineLevel="0" collapsed="false">
      <c r="B28" s="7" t="s">
        <v>122</v>
      </c>
      <c r="C28" s="32" t="n">
        <v>84</v>
      </c>
    </row>
    <row r="29" customFormat="false" ht="30" hidden="false" customHeight="true" outlineLevel="0" collapsed="false">
      <c r="B29" s="7" t="s">
        <v>123</v>
      </c>
      <c r="C29" s="32" t="n">
        <v>12</v>
      </c>
    </row>
    <row r="30" customFormat="false" ht="15" hidden="false" customHeight="true" outlineLevel="0" collapsed="false">
      <c r="B30" s="7" t="s">
        <v>124</v>
      </c>
      <c r="C30" s="32" t="n">
        <v>12</v>
      </c>
    </row>
    <row r="31" customFormat="false" ht="15" hidden="false" customHeight="true" outlineLevel="0" collapsed="false">
      <c r="B31" s="7" t="s">
        <v>125</v>
      </c>
      <c r="C31" s="33" t="n">
        <v>46388</v>
      </c>
    </row>
    <row r="32" customFormat="false" ht="30" hidden="false" customHeight="true" outlineLevel="0" collapsed="false">
      <c r="B32" s="7" t="s">
        <v>126</v>
      </c>
      <c r="C32" s="32" t="n">
        <v>360</v>
      </c>
    </row>
    <row r="33" customFormat="false" ht="30" hidden="false" customHeight="true" outlineLevel="0" collapsed="false">
      <c r="B33" s="7" t="s">
        <v>127</v>
      </c>
      <c r="C33" s="7" t="s">
        <v>128</v>
      </c>
    </row>
    <row r="34" customFormat="false" ht="45" hidden="false" customHeight="true" outlineLevel="0" collapsed="false">
      <c r="B34" s="7" t="s">
        <v>129</v>
      </c>
      <c r="C34" s="7" t="s">
        <v>130</v>
      </c>
    </row>
    <row r="35" customFormat="false" ht="30" hidden="false" customHeight="true" outlineLevel="0" collapsed="false">
      <c r="B35" s="7" t="s">
        <v>30</v>
      </c>
      <c r="C35" s="7" t="s">
        <v>131</v>
      </c>
    </row>
    <row r="36" customFormat="false" ht="30" hidden="false" customHeight="true" outlineLevel="0" collapsed="false">
      <c r="B36" s="7" t="s">
        <v>132</v>
      </c>
      <c r="C36" s="31" t="n">
        <v>0.01</v>
      </c>
    </row>
    <row r="38" customFormat="false" ht="15" hidden="false" customHeight="true" outlineLevel="0" collapsed="false">
      <c r="B38" s="34" t="s">
        <v>133</v>
      </c>
    </row>
    <row r="39" customFormat="false" ht="45" hidden="false" customHeight="true" outlineLevel="0" collapsed="false">
      <c r="B39" s="19" t="s">
        <v>134</v>
      </c>
      <c r="C39" s="19" t="s">
        <v>135</v>
      </c>
      <c r="D39" s="19" t="s">
        <v>136</v>
      </c>
      <c r="E39" s="19" t="s">
        <v>137</v>
      </c>
      <c r="F39" s="19" t="s">
        <v>138</v>
      </c>
      <c r="G39" s="19" t="s">
        <v>139</v>
      </c>
      <c r="H39" s="19" t="s">
        <v>140</v>
      </c>
      <c r="I39" s="19" t="s">
        <v>141</v>
      </c>
      <c r="J39" s="19" t="s">
        <v>142</v>
      </c>
      <c r="K39" s="19" t="s">
        <v>143</v>
      </c>
      <c r="L39" s="19" t="s">
        <v>144</v>
      </c>
      <c r="M39" s="19" t="s">
        <v>145</v>
      </c>
      <c r="N39" s="19" t="s">
        <v>146</v>
      </c>
      <c r="O39" s="19" t="s">
        <v>147</v>
      </c>
    </row>
    <row r="40" customFormat="false" ht="42" hidden="false" customHeight="true" outlineLevel="0" collapsed="false">
      <c r="B40" s="7" t="s">
        <v>148</v>
      </c>
      <c r="C40" s="7" t="s">
        <v>149</v>
      </c>
      <c r="D40" s="35" t="n">
        <v>158</v>
      </c>
      <c r="E40" s="36" t="n">
        <v>116.0322968</v>
      </c>
      <c r="F40" s="36" t="n">
        <v>532.896</v>
      </c>
      <c r="G40" s="36" t="n">
        <v>1041.567375</v>
      </c>
      <c r="H40" s="30" t="n">
        <f aca="false">E40+F40+G40</f>
        <v>1690.4956718</v>
      </c>
      <c r="I40" s="37" t="n">
        <v>12.2</v>
      </c>
      <c r="J40" s="30" t="n">
        <f aca="false">H40/I40</f>
        <v>138.565219</v>
      </c>
      <c r="K40" s="30" t="n">
        <f aca="false">H40*30%</f>
        <v>507.14870154</v>
      </c>
      <c r="L40" s="38" t="n">
        <v>11.838</v>
      </c>
      <c r="M40" s="30" t="n">
        <f aca="false">K40/L40</f>
        <v>42.8407418094273</v>
      </c>
      <c r="N40" s="15" t="n">
        <f aca="false">M40/$M$43</f>
        <v>0.548511491521257</v>
      </c>
      <c r="O40" s="14" t="n">
        <f aca="false">N40*$O$44</f>
        <v>42783896.3386581</v>
      </c>
    </row>
    <row r="41" customFormat="false" ht="42" hidden="false" customHeight="true" outlineLevel="0" collapsed="false">
      <c r="B41" s="39" t="s">
        <v>1</v>
      </c>
      <c r="C41" s="40" t="s">
        <v>100</v>
      </c>
      <c r="D41" s="41" t="n">
        <v>80</v>
      </c>
      <c r="E41" s="42" t="n">
        <v>25.272</v>
      </c>
      <c r="F41" s="42" t="n">
        <v>293.4</v>
      </c>
      <c r="G41" s="42" t="n">
        <v>353.99904</v>
      </c>
      <c r="H41" s="43" t="n">
        <f aca="false">E41+F41+G41</f>
        <v>672.67104</v>
      </c>
      <c r="I41" s="44" t="n">
        <v>12</v>
      </c>
      <c r="J41" s="43" t="n">
        <f aca="false">H41/I41</f>
        <v>56.05592</v>
      </c>
      <c r="K41" s="43" t="n">
        <f aca="false">H41*30%</f>
        <v>201.801312</v>
      </c>
      <c r="L41" s="45" t="n">
        <v>11.838</v>
      </c>
      <c r="M41" s="43" t="n">
        <f aca="false">K41/L41</f>
        <v>17.0469092752154</v>
      </c>
      <c r="N41" s="46" t="n">
        <f aca="false">M41/$M$43</f>
        <v>0.218260124298743</v>
      </c>
      <c r="O41" s="47" t="n">
        <f aca="false">N41*$O$44</f>
        <v>17024289.695302</v>
      </c>
    </row>
    <row r="42" customFormat="false" ht="42" hidden="false" customHeight="true" outlineLevel="0" collapsed="false">
      <c r="B42" s="7" t="s">
        <v>150</v>
      </c>
      <c r="C42" s="7" t="s">
        <v>151</v>
      </c>
      <c r="D42" s="35" t="n">
        <v>65</v>
      </c>
      <c r="E42" s="36" t="n">
        <v>25.35648</v>
      </c>
      <c r="F42" s="36" t="n">
        <v>251.13528</v>
      </c>
      <c r="G42" s="36" t="n">
        <v>442.311</v>
      </c>
      <c r="H42" s="30" t="n">
        <f aca="false">E42+F42+G42</f>
        <v>718.80276</v>
      </c>
      <c r="I42" s="37" t="n">
        <v>12</v>
      </c>
      <c r="J42" s="30" t="n">
        <f aca="false">H42/I42</f>
        <v>59.90023</v>
      </c>
      <c r="K42" s="30" t="n">
        <f aca="false">H42*30%</f>
        <v>215.640828</v>
      </c>
      <c r="L42" s="38" t="n">
        <v>11.838</v>
      </c>
      <c r="M42" s="30" t="n">
        <f aca="false">K42/L42</f>
        <v>18.2159847947288</v>
      </c>
      <c r="N42" s="15" t="n">
        <f aca="false">M42/$M$43</f>
        <v>0.233228384179999</v>
      </c>
      <c r="O42" s="14" t="n">
        <f aca="false">N42*$O$44</f>
        <v>18191813.9660399</v>
      </c>
    </row>
    <row r="43" customFormat="false" ht="15" hidden="false" customHeight="true" outlineLevel="0" collapsed="false">
      <c r="B43" s="11" t="s">
        <v>152</v>
      </c>
      <c r="C43" s="48"/>
      <c r="D43" s="49" t="n">
        <f aca="false">SUM(D40:D42)</f>
        <v>303</v>
      </c>
      <c r="E43" s="48" t="n">
        <f aca="false">SUM(E40:E42)</f>
        <v>166.6607768</v>
      </c>
      <c r="F43" s="48" t="n">
        <f aca="false">SUM(F40:F42)</f>
        <v>1077.43128</v>
      </c>
      <c r="G43" s="48" t="n">
        <f aca="false">SUM(G40:G42)</f>
        <v>1837.877415</v>
      </c>
      <c r="H43" s="48" t="n">
        <f aca="false">SUM(H40:H42)</f>
        <v>3081.9694718</v>
      </c>
      <c r="I43" s="48"/>
      <c r="J43" s="48" t="n">
        <f aca="false">SUM(J40:J42)</f>
        <v>254.521369</v>
      </c>
      <c r="K43" s="48" t="n">
        <f aca="false">SUM(K40:K42)</f>
        <v>924.59084154</v>
      </c>
      <c r="L43" s="48"/>
      <c r="M43" s="48" t="n">
        <f aca="false">SUM(M40:M42)</f>
        <v>78.1036358793715</v>
      </c>
      <c r="N43" s="50" t="n">
        <f aca="false">SUM(N40:N42)</f>
        <v>1</v>
      </c>
      <c r="O43" s="49" t="n">
        <f aca="false">SUM(O40:O42)</f>
        <v>78000000</v>
      </c>
    </row>
    <row r="44" customFormat="false" ht="15" hidden="false" customHeight="true" outlineLevel="0" collapsed="false">
      <c r="N44" s="26" t="s">
        <v>153</v>
      </c>
      <c r="O44" s="51" t="n">
        <v>78000000</v>
      </c>
    </row>
    <row r="46" customFormat="false" ht="15" hidden="false" customHeight="true" outlineLevel="0" collapsed="false">
      <c r="B46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0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4"/>
    <col collapsed="false" customWidth="true" hidden="false" outlineLevel="0" max="8" min="8" style="1" width="58"/>
  </cols>
  <sheetData>
    <row r="2" customFormat="false" ht="15" hidden="false" customHeight="true" outlineLevel="0" collapsed="false">
      <c r="B2" s="3" t="s">
        <v>155</v>
      </c>
      <c r="F2" s="52" t="s">
        <v>156</v>
      </c>
    </row>
    <row r="3" customFormat="false" ht="15" hidden="false" customHeight="true" outlineLevel="0" collapsed="false">
      <c r="B3" s="53" t="s">
        <v>157</v>
      </c>
    </row>
    <row r="4" customFormat="false" ht="30" hidden="false" customHeight="true" outlineLevel="0" collapsed="false">
      <c r="B4" s="19" t="s">
        <v>158</v>
      </c>
      <c r="C4" s="19" t="s">
        <v>159</v>
      </c>
      <c r="D4" s="19" t="s">
        <v>160</v>
      </c>
      <c r="E4" s="19" t="s">
        <v>161</v>
      </c>
      <c r="F4" s="19" t="s">
        <v>162</v>
      </c>
    </row>
    <row r="5" customFormat="false" ht="15" hidden="false" customHeight="true" outlineLevel="0" collapsed="false">
      <c r="B5" s="11" t="s">
        <v>163</v>
      </c>
      <c r="C5" s="49" t="n">
        <f aca="false">SUM(C6:C9)</f>
        <v>0</v>
      </c>
      <c r="D5" s="49" t="n">
        <f aca="false">SUM(D6:D9)</f>
        <v>47761337.7232143</v>
      </c>
      <c r="E5" s="49" t="n">
        <f aca="false">SUM(E6:E9)</f>
        <v>47761337.7232143</v>
      </c>
      <c r="F5" s="23" t="n">
        <f aca="false">IFERROR(E5/$E$16,0)</f>
        <v>0.611366160812204</v>
      </c>
    </row>
    <row r="6" customFormat="false" ht="15" hidden="false" customHeight="true" outlineLevel="0" collapsed="false">
      <c r="B6" s="13" t="s">
        <v>164</v>
      </c>
      <c r="C6" s="14" t="n">
        <v>0</v>
      </c>
      <c r="D6" s="14" t="n">
        <v>28395000</v>
      </c>
      <c r="E6" s="14" t="n">
        <f aca="false">C6+D6</f>
        <v>28395000</v>
      </c>
      <c r="F6" s="15" t="n">
        <f aca="false">IFERROR(E6/$E$16,0)</f>
        <v>0.363468507453987</v>
      </c>
    </row>
    <row r="7" customFormat="false" ht="15" hidden="false" customHeight="true" outlineLevel="0" collapsed="false">
      <c r="B7" s="13" t="s">
        <v>165</v>
      </c>
      <c r="C7" s="14" t="n">
        <v>0</v>
      </c>
      <c r="D7" s="14" t="n">
        <v>19089552.0089286</v>
      </c>
      <c r="E7" s="14" t="n">
        <f aca="false">C7+D7</f>
        <v>19089552.0089286</v>
      </c>
      <c r="F7" s="15" t="n">
        <f aca="false">IFERROR(E7/$E$16,0)</f>
        <v>0.24435467429655</v>
      </c>
    </row>
    <row r="8" customFormat="false" ht="15" hidden="false" customHeight="true" outlineLevel="0" collapsed="false">
      <c r="B8" s="13" t="s">
        <v>166</v>
      </c>
      <c r="C8" s="14" t="n">
        <v>0</v>
      </c>
      <c r="D8" s="14" t="n">
        <v>223214.285714286</v>
      </c>
      <c r="E8" s="14" t="n">
        <f aca="false">C8+D8</f>
        <v>223214.285714286</v>
      </c>
      <c r="F8" s="15" t="n">
        <f aca="false">IFERROR(E8/$E$16,0)</f>
        <v>0.00285724117876314</v>
      </c>
    </row>
    <row r="9" customFormat="false" ht="15" hidden="false" customHeight="true" outlineLevel="0" collapsed="false">
      <c r="B9" s="13" t="s">
        <v>167</v>
      </c>
      <c r="C9" s="14" t="n">
        <v>0</v>
      </c>
      <c r="D9" s="14" t="n">
        <v>53571.4285714286</v>
      </c>
      <c r="E9" s="14" t="n">
        <f aca="false">C9+D9</f>
        <v>53571.4285714286</v>
      </c>
      <c r="F9" s="15" t="n">
        <f aca="false">IFERROR(E9/$E$16,0)</f>
        <v>0.000685737882903153</v>
      </c>
    </row>
    <row r="10" customFormat="false" ht="15" hidden="false" customHeight="true" outlineLevel="0" collapsed="false">
      <c r="B10" s="11" t="s">
        <v>168</v>
      </c>
      <c r="C10" s="49" t="n">
        <f aca="false">WorkCap!D23-D10</f>
        <v>17296073.1489581</v>
      </c>
      <c r="D10" s="49" t="n">
        <f aca="false">WorkCap!D16</f>
        <v>10984438.9397367</v>
      </c>
      <c r="E10" s="49" t="n">
        <f aca="false">C10+D10</f>
        <v>28280512.0886948</v>
      </c>
      <c r="F10" s="23" t="n">
        <f aca="false">IFERROR(E10/$E$16,0)</f>
        <v>0.362003011759547</v>
      </c>
    </row>
    <row r="11" customFormat="false" ht="15" hidden="false" customHeight="true" outlineLevel="0" collapsed="false">
      <c r="B11" s="11" t="s">
        <v>169</v>
      </c>
      <c r="C11" s="49" t="n">
        <f aca="false">SUM(C12:C13)</f>
        <v>701967.230417292</v>
      </c>
      <c r="D11" s="49" t="n">
        <f aca="false">SUM(D12:D13)</f>
        <v>1208251.67143046</v>
      </c>
      <c r="E11" s="49" t="n">
        <f aca="false">SUM(E12:E13)</f>
        <v>1910218.90184775</v>
      </c>
      <c r="F11" s="23" t="n">
        <f aca="false">IFERROR(E11/$E$16,0)</f>
        <v>0.0244516433585137</v>
      </c>
    </row>
    <row r="12" customFormat="false" ht="15" hidden="false" customHeight="true" outlineLevel="0" collapsed="false">
      <c r="B12" s="13" t="s">
        <v>170</v>
      </c>
      <c r="C12" s="14" t="n">
        <v>0</v>
      </c>
      <c r="D12" s="14" t="n">
        <f aca="false">LOANS!$C$106</f>
        <v>1208251.67143046</v>
      </c>
      <c r="E12" s="14" t="n">
        <f aca="false">C12+D12</f>
        <v>1208251.67143046</v>
      </c>
      <c r="F12" s="15" t="n">
        <f aca="false">IFERROR(E12/$E$16,0)</f>
        <v>0.0154661536060438</v>
      </c>
    </row>
    <row r="13" customFormat="false" ht="15" hidden="false" customHeight="true" outlineLevel="0" collapsed="false">
      <c r="B13" s="13" t="s">
        <v>171</v>
      </c>
      <c r="C13" s="14" t="n">
        <v>701967.230417292</v>
      </c>
      <c r="D13" s="14" t="n">
        <v>0</v>
      </c>
      <c r="E13" s="14" t="n">
        <f aca="false">C13+D13</f>
        <v>701967.230417292</v>
      </c>
      <c r="F13" s="15" t="n">
        <f aca="false">IFERROR(E13/$E$16,0)</f>
        <v>0.00898548975246988</v>
      </c>
    </row>
    <row r="14" customFormat="false" ht="15" hidden="false" customHeight="true" outlineLevel="0" collapsed="false">
      <c r="B14" s="11" t="s">
        <v>172</v>
      </c>
      <c r="C14" s="54" t="n">
        <v>0</v>
      </c>
      <c r="D14" s="49" t="n">
        <f aca="false">ИНФОРМАЦИЯ!$C$26*ИНФОРМАЦИЯ!$C$36</f>
        <v>170242.89695302</v>
      </c>
      <c r="E14" s="49" t="n">
        <f aca="false">C14+D14</f>
        <v>170242.89695302</v>
      </c>
      <c r="F14" s="23" t="n">
        <f aca="false">IFERROR(E14/$E$16,0)</f>
        <v>0.00217918406973612</v>
      </c>
    </row>
    <row r="16" customFormat="false" ht="15" hidden="false" customHeight="true" outlineLevel="0" collapsed="false">
      <c r="B16" s="16" t="s">
        <v>173</v>
      </c>
      <c r="C16" s="17" t="n">
        <f aca="false">C5+C10+C11+C14</f>
        <v>17998040.3793754</v>
      </c>
      <c r="D16" s="17" t="n">
        <f aca="false">D5+D10+D11+D14</f>
        <v>60124271.2313345</v>
      </c>
      <c r="E16" s="17" t="n">
        <f aca="false">E5+E10+E11+E14</f>
        <v>78122311.6107099</v>
      </c>
      <c r="F16" s="23" t="n">
        <f aca="false">IFERROR(E16/$E$16,0)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5" min="3" style="1" width="16"/>
    <col collapsed="false" customWidth="true" hidden="false" outlineLevel="0" max="6" min="6" style="1" width="13"/>
    <col collapsed="false" customWidth="true" hidden="false" outlineLevel="0" max="7" min="7" style="1" width="19"/>
  </cols>
  <sheetData>
    <row r="2" customFormat="false" ht="15" hidden="false" customHeight="true" outlineLevel="0" collapsed="false">
      <c r="B2" s="3" t="s">
        <v>174</v>
      </c>
      <c r="G2" s="52" t="s">
        <v>175</v>
      </c>
    </row>
    <row r="4" customFormat="false" ht="42" hidden="false" customHeight="true" outlineLevel="0" collapsed="false">
      <c r="B4" s="19" t="s">
        <v>44</v>
      </c>
      <c r="C4" s="19" t="s">
        <v>159</v>
      </c>
      <c r="D4" s="19" t="s">
        <v>176</v>
      </c>
      <c r="E4" s="19" t="s">
        <v>161</v>
      </c>
      <c r="F4" s="19" t="s">
        <v>162</v>
      </c>
      <c r="G4" s="19" t="s">
        <v>177</v>
      </c>
    </row>
    <row r="5" customFormat="false" ht="15" hidden="false" customHeight="true" outlineLevel="0" collapsed="false">
      <c r="B5" s="26" t="s">
        <v>178</v>
      </c>
      <c r="C5" s="13"/>
      <c r="D5" s="13"/>
      <c r="E5" s="13"/>
      <c r="F5" s="13"/>
      <c r="G5" s="13"/>
    </row>
    <row r="6" customFormat="false" ht="15" hidden="false" customHeight="true" outlineLevel="0" collapsed="false">
      <c r="B6" s="55" t="s">
        <v>7</v>
      </c>
      <c r="C6" s="55"/>
      <c r="D6" s="55"/>
      <c r="E6" s="55"/>
      <c r="F6" s="55"/>
      <c r="G6" s="55"/>
    </row>
    <row r="7" customFormat="false" ht="15" hidden="false" customHeight="true" outlineLevel="0" collapsed="false">
      <c r="B7" s="7" t="s">
        <v>36</v>
      </c>
      <c r="C7" s="14" t="n">
        <f aca="false">'Share of costs'!C6</f>
        <v>0</v>
      </c>
      <c r="D7" s="14" t="n">
        <f aca="false">'Share of costs'!D6</f>
        <v>30737048.0279124</v>
      </c>
      <c r="E7" s="14" t="n">
        <f aca="false">C7+D7</f>
        <v>30737048.0279124</v>
      </c>
      <c r="F7" s="15" t="n">
        <f aca="false">IFERROR(E7/$E$10,0)</f>
        <v>0.503077629427492</v>
      </c>
      <c r="G7" s="13"/>
    </row>
    <row r="8" customFormat="false" ht="15" hidden="false" customHeight="true" outlineLevel="0" collapsed="false">
      <c r="B8" s="7" t="s">
        <v>37</v>
      </c>
      <c r="C8" s="14" t="n">
        <f aca="false">'Share of costs'!C11</f>
        <v>17296073.1489581</v>
      </c>
      <c r="D8" s="14" t="n">
        <f aca="false">'Share of costs'!D11</f>
        <v>10984438.9397367</v>
      </c>
      <c r="E8" s="14" t="n">
        <f aca="false">C8+D8</f>
        <v>28280512.0886948</v>
      </c>
      <c r="F8" s="15" t="n">
        <f aca="false">IFERROR(E8/$E$10,0)</f>
        <v>0.462871156906684</v>
      </c>
      <c r="G8" s="13"/>
    </row>
    <row r="9" customFormat="false" ht="23.25" hidden="false" customHeight="true" outlineLevel="0" collapsed="false">
      <c r="B9" s="7" t="s">
        <v>179</v>
      </c>
      <c r="C9" s="14" t="n">
        <f aca="false">'Share of costs'!C12+'Share of costs'!C15</f>
        <v>701967.230417292</v>
      </c>
      <c r="D9" s="14" t="n">
        <f aca="false">'Share of costs'!D12+'Share of costs'!D15</f>
        <v>1378494.56838348</v>
      </c>
      <c r="E9" s="14" t="n">
        <f aca="false">C9+D9</f>
        <v>2080461.79880077</v>
      </c>
      <c r="F9" s="15" t="n">
        <f aca="false">IFERROR(E9/$E$10,0)</f>
        <v>0.0340512136658243</v>
      </c>
      <c r="G9" s="13"/>
    </row>
    <row r="10" customFormat="false" ht="15" hidden="false" customHeight="true" outlineLevel="0" collapsed="false">
      <c r="B10" s="11" t="s">
        <v>161</v>
      </c>
      <c r="C10" s="49" t="n">
        <f aca="false">SUM(C7:C9)</f>
        <v>17998040.3793754</v>
      </c>
      <c r="D10" s="49" t="n">
        <f aca="false">SUM(D7:D9)</f>
        <v>43099981.5360325</v>
      </c>
      <c r="E10" s="49" t="n">
        <f aca="false">SUM(E7:E9)</f>
        <v>61098021.9154079</v>
      </c>
      <c r="F10" s="50" t="n">
        <f aca="false">IFERROR(E10/$E$10,0)</f>
        <v>1</v>
      </c>
      <c r="G10" s="50" t="n">
        <f aca="false">IFERROR(E10/$E$15,0)</f>
        <v>0.782081593026389</v>
      </c>
    </row>
    <row r="11" customFormat="false" ht="15" hidden="false" customHeight="true" outlineLevel="0" collapsed="false">
      <c r="B11" s="26" t="s">
        <v>180</v>
      </c>
      <c r="C11" s="13"/>
      <c r="D11" s="13"/>
      <c r="E11" s="13"/>
      <c r="F11" s="13"/>
      <c r="G11" s="13"/>
    </row>
    <row r="12" customFormat="false" ht="42" hidden="false" customHeight="true" outlineLevel="0" collapsed="false">
      <c r="B12" s="7" t="s">
        <v>181</v>
      </c>
      <c r="C12" s="14" t="n">
        <f aca="false">C13</f>
        <v>0</v>
      </c>
      <c r="D12" s="14" t="n">
        <f aca="false">D13</f>
        <v>17024289.695302</v>
      </c>
      <c r="E12" s="14" t="n">
        <f aca="false">C12+D12</f>
        <v>17024289.695302</v>
      </c>
      <c r="F12" s="15" t="n">
        <f aca="false">IFERROR(E12/$E$14,0)</f>
        <v>1</v>
      </c>
      <c r="G12" s="13"/>
    </row>
    <row r="13" customFormat="false" ht="15" hidden="false" customHeight="true" outlineLevel="0" collapsed="false">
      <c r="B13" s="13" t="s">
        <v>182</v>
      </c>
      <c r="C13" s="14" t="n">
        <f aca="false">'Share of costs'!E6</f>
        <v>0</v>
      </c>
      <c r="D13" s="14" t="n">
        <f aca="false">'Share of costs'!F6</f>
        <v>17024289.695302</v>
      </c>
      <c r="E13" s="14" t="n">
        <f aca="false">C13+D13</f>
        <v>17024289.695302</v>
      </c>
      <c r="F13" s="15" t="n">
        <f aca="false">IFERROR(E13/$E$14,0)</f>
        <v>1</v>
      </c>
      <c r="G13" s="13"/>
    </row>
    <row r="14" customFormat="false" ht="15" hidden="false" customHeight="true" outlineLevel="0" collapsed="false">
      <c r="B14" s="11" t="s">
        <v>161</v>
      </c>
      <c r="C14" s="49" t="n">
        <f aca="false">C12</f>
        <v>0</v>
      </c>
      <c r="D14" s="49" t="n">
        <f aca="false">D12</f>
        <v>17024289.695302</v>
      </c>
      <c r="E14" s="49" t="n">
        <f aca="false">E12</f>
        <v>17024289.695302</v>
      </c>
      <c r="F14" s="50" t="n">
        <f aca="false">IFERROR(E14/$E$14,0)</f>
        <v>1</v>
      </c>
      <c r="G14" s="50" t="n">
        <f aca="false">IFERROR(E14/$E$15,0)</f>
        <v>0.217918406973612</v>
      </c>
    </row>
    <row r="15" customFormat="false" ht="15" hidden="false" customHeight="true" outlineLevel="0" collapsed="false">
      <c r="B15" s="16" t="s">
        <v>183</v>
      </c>
      <c r="C15" s="17" t="n">
        <f aca="false">C14+C10</f>
        <v>17998040.3793754</v>
      </c>
      <c r="D15" s="17" t="n">
        <f aca="false">D14+D10</f>
        <v>60124271.2313345</v>
      </c>
      <c r="E15" s="17" t="n">
        <f aca="false">E14+E10</f>
        <v>78122311.6107099</v>
      </c>
      <c r="F15" s="13"/>
      <c r="G15" s="18" t="n">
        <f aca="false">IFERROR(E15/$E$15,0)</f>
        <v>1</v>
      </c>
    </row>
  </sheetData>
  <mergeCells count="1">
    <mergeCell ref="B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9" min="3" style="1" width="15"/>
  </cols>
  <sheetData>
    <row r="2" customFormat="false" ht="15" hidden="false" customHeight="true" outlineLevel="0" collapsed="false">
      <c r="B2" s="3" t="s">
        <v>184</v>
      </c>
      <c r="H2" s="52" t="s">
        <v>185</v>
      </c>
    </row>
    <row r="4" customFormat="false" ht="30" hidden="false" customHeight="true" outlineLevel="0" collapsed="false">
      <c r="B4" s="56" t="s">
        <v>158</v>
      </c>
      <c r="C4" s="57" t="s">
        <v>41</v>
      </c>
      <c r="D4" s="57"/>
      <c r="E4" s="57" t="s">
        <v>42</v>
      </c>
      <c r="F4" s="57"/>
      <c r="G4" s="57" t="s">
        <v>186</v>
      </c>
      <c r="H4" s="57"/>
    </row>
    <row r="5" customFormat="false" ht="27.75" hidden="false" customHeight="true" outlineLevel="0" collapsed="false">
      <c r="B5" s="56"/>
      <c r="C5" s="19" t="s">
        <v>187</v>
      </c>
      <c r="D5" s="19" t="s">
        <v>188</v>
      </c>
      <c r="E5" s="19" t="s">
        <v>187</v>
      </c>
      <c r="F5" s="19" t="s">
        <v>188</v>
      </c>
      <c r="G5" s="19" t="s">
        <v>187</v>
      </c>
      <c r="H5" s="19" t="s">
        <v>188</v>
      </c>
    </row>
    <row r="6" customFormat="false" ht="15" hidden="false" customHeight="true" outlineLevel="0" collapsed="false">
      <c r="B6" s="11" t="s">
        <v>163</v>
      </c>
      <c r="C6" s="49" t="n">
        <f aca="false">SUM(C7:C10)</f>
        <v>0</v>
      </c>
      <c r="D6" s="49" t="n">
        <f aca="false">SUM(D7:D10)</f>
        <v>30737048.0279124</v>
      </c>
      <c r="E6" s="49" t="n">
        <f aca="false">SUM(E7:E10)</f>
        <v>0</v>
      </c>
      <c r="F6" s="49" t="n">
        <f aca="false">SUM(F7:F10)</f>
        <v>17024289.695302</v>
      </c>
      <c r="G6" s="49" t="n">
        <f aca="false">SUM(G7:G10)</f>
        <v>0</v>
      </c>
      <c r="H6" s="49" t="n">
        <f aca="false">SUM(H7:H10)</f>
        <v>47761337.7232143</v>
      </c>
    </row>
    <row r="7" customFormat="false" ht="15" hidden="false" customHeight="true" outlineLevel="0" collapsed="false">
      <c r="B7" s="13" t="s">
        <v>164</v>
      </c>
      <c r="C7" s="14" t="n">
        <f aca="false">ProjCost!$C$6</f>
        <v>0</v>
      </c>
      <c r="D7" s="14" t="n">
        <f aca="false">ProjCost!$D$6-F7</f>
        <v>18796221.8840305</v>
      </c>
      <c r="E7" s="14" t="n">
        <v>0</v>
      </c>
      <c r="F7" s="14" t="n">
        <f aca="false">ИНФОРМАЦИЯ!$C$26*(1-ИНФОРМАЦИЯ!$F$41/ИНФОРМАЦИЯ!$H$41)*ProjCost!$E$6/(ProjCost!$E$6)</f>
        <v>9598778.11596952</v>
      </c>
      <c r="G7" s="14" t="n">
        <f aca="false">C7+E7</f>
        <v>0</v>
      </c>
      <c r="H7" s="14" t="n">
        <f aca="false">D7+F7</f>
        <v>28395000</v>
      </c>
    </row>
    <row r="8" customFormat="false" ht="15" hidden="false" customHeight="true" outlineLevel="0" collapsed="false">
      <c r="B8" s="13" t="s">
        <v>165</v>
      </c>
      <c r="C8" s="14" t="n">
        <f aca="false">ProjCost!$C$7</f>
        <v>0</v>
      </c>
      <c r="D8" s="14" t="n">
        <f aca="false">ProjCost!$D$7-F8</f>
        <v>11770166.6138958</v>
      </c>
      <c r="E8" s="14" t="n">
        <v>0</v>
      </c>
      <c r="F8" s="14" t="n">
        <f aca="false">ИНФОРМАЦИЯ!$C$26*ИНФОРМАЦИЯ!$F$41/ИНФОРМАЦИЯ!$H$41*ProjCost!$E$7/(ProjCost!$E$7+ProjCost!$E$8+ProjCost!$E$9)</f>
        <v>7319385.39503283</v>
      </c>
      <c r="G8" s="14" t="n">
        <f aca="false">C8+E8</f>
        <v>0</v>
      </c>
      <c r="H8" s="14" t="n">
        <f aca="false">D8+F8</f>
        <v>19089552.0089286</v>
      </c>
    </row>
    <row r="9" customFormat="false" ht="15" hidden="false" customHeight="true" outlineLevel="0" collapsed="false">
      <c r="B9" s="13" t="s">
        <v>166</v>
      </c>
      <c r="C9" s="14" t="n">
        <f aca="false">ProjCost!$C$8</f>
        <v>0</v>
      </c>
      <c r="D9" s="14" t="n">
        <f aca="false">ProjCost!$D$8-F9</f>
        <v>137628.653214599</v>
      </c>
      <c r="E9" s="14" t="n">
        <v>0</v>
      </c>
      <c r="F9" s="14" t="n">
        <f aca="false">ИНФОРМАЦИЯ!$C$26*ИНФОРМАЦИЯ!$F$41/ИНФОРМАЦИЯ!$H$41*ProjCost!$E$8/(ProjCost!$E$7+ProjCost!$E$8+ProjCost!$E$9)</f>
        <v>85585.6324996873</v>
      </c>
      <c r="G9" s="14" t="n">
        <f aca="false">C9+E9</f>
        <v>0</v>
      </c>
      <c r="H9" s="14" t="n">
        <f aca="false">D9+F9</f>
        <v>223214.285714286</v>
      </c>
    </row>
    <row r="10" customFormat="false" ht="15" hidden="false" customHeight="true" outlineLevel="0" collapsed="false">
      <c r="B10" s="13" t="s">
        <v>167</v>
      </c>
      <c r="C10" s="14" t="n">
        <f aca="false">ProjCost!$C$9</f>
        <v>0</v>
      </c>
      <c r="D10" s="14" t="n">
        <f aca="false">ProjCost!$D$9-F10</f>
        <v>33030.8767715037</v>
      </c>
      <c r="E10" s="14" t="n">
        <v>0</v>
      </c>
      <c r="F10" s="14" t="n">
        <f aca="false">ИНФОРМАЦИЯ!$C$26*ИНФОРМАЦИЯ!$F$41/ИНФОРМАЦИЯ!$H$41*ProjCost!$E$9/(ProjCost!$E$7+ProjCost!$E$8+ProjCost!$E$9)</f>
        <v>20540.5517999249</v>
      </c>
      <c r="G10" s="14" t="n">
        <f aca="false">C10+E10</f>
        <v>0</v>
      </c>
      <c r="H10" s="14" t="n">
        <f aca="false">D10+F10</f>
        <v>53571.4285714286</v>
      </c>
    </row>
    <row r="11" customFormat="false" ht="15" hidden="false" customHeight="true" outlineLevel="0" collapsed="false">
      <c r="B11" s="11" t="s">
        <v>168</v>
      </c>
      <c r="C11" s="49" t="n">
        <f aca="false">ProjCost!$C$10</f>
        <v>17296073.1489581</v>
      </c>
      <c r="D11" s="49" t="n">
        <f aca="false">ProjCost!$D$10</f>
        <v>10984438.9397367</v>
      </c>
      <c r="E11" s="54" t="n">
        <v>0</v>
      </c>
      <c r="F11" s="54" t="n">
        <v>0</v>
      </c>
      <c r="G11" s="49" t="n">
        <f aca="false">C11+E11</f>
        <v>17296073.1489581</v>
      </c>
      <c r="H11" s="49" t="n">
        <f aca="false">D11+F11</f>
        <v>10984438.9397367</v>
      </c>
    </row>
    <row r="12" customFormat="false" ht="15" hidden="false" customHeight="true" outlineLevel="0" collapsed="false">
      <c r="B12" s="11" t="s">
        <v>189</v>
      </c>
      <c r="C12" s="49" t="n">
        <f aca="false">ProjCost!$C$11</f>
        <v>701967.230417292</v>
      </c>
      <c r="D12" s="49" t="n">
        <f aca="false">ProjCost!$D$11</f>
        <v>1208251.67143046</v>
      </c>
      <c r="E12" s="54" t="n">
        <v>0</v>
      </c>
      <c r="F12" s="54" t="n">
        <v>0</v>
      </c>
      <c r="G12" s="49" t="n">
        <f aca="false">C12+E12</f>
        <v>701967.230417292</v>
      </c>
      <c r="H12" s="49" t="n">
        <f aca="false">D12+F12</f>
        <v>1208251.67143046</v>
      </c>
    </row>
    <row r="13" customFormat="false" ht="15" hidden="false" customHeight="true" outlineLevel="0" collapsed="false">
      <c r="B13" s="13" t="s">
        <v>190</v>
      </c>
      <c r="C13" s="14" t="n">
        <f aca="false">ProjCost!$C$12</f>
        <v>0</v>
      </c>
      <c r="D13" s="14" t="n">
        <f aca="false">ProjCost!$D$12</f>
        <v>1208251.67143046</v>
      </c>
      <c r="E13" s="14" t="n">
        <v>0</v>
      </c>
      <c r="F13" s="14" t="n">
        <v>0</v>
      </c>
      <c r="G13" s="14" t="n">
        <f aca="false">C13+E13</f>
        <v>0</v>
      </c>
      <c r="H13" s="14" t="n">
        <f aca="false">D13+F13</f>
        <v>1208251.67143046</v>
      </c>
    </row>
    <row r="14" customFormat="false" ht="15" hidden="false" customHeight="true" outlineLevel="0" collapsed="false">
      <c r="B14" s="13" t="s">
        <v>191</v>
      </c>
      <c r="C14" s="14" t="n">
        <f aca="false">ProjCost!$C$13</f>
        <v>701967.230417292</v>
      </c>
      <c r="D14" s="14" t="n">
        <f aca="false">ProjCost!$D$13</f>
        <v>0</v>
      </c>
      <c r="E14" s="14" t="n">
        <v>0</v>
      </c>
      <c r="F14" s="14" t="n">
        <v>0</v>
      </c>
      <c r="G14" s="14" t="n">
        <f aca="false">C14+E14</f>
        <v>701967.230417292</v>
      </c>
      <c r="H14" s="14" t="n">
        <f aca="false">D14+F14</f>
        <v>0</v>
      </c>
    </row>
    <row r="15" customFormat="false" ht="15" hidden="false" customHeight="true" outlineLevel="0" collapsed="false">
      <c r="B15" s="11" t="s">
        <v>192</v>
      </c>
      <c r="C15" s="49" t="n">
        <f aca="false">ProjCost!$C$14</f>
        <v>0</v>
      </c>
      <c r="D15" s="49" t="n">
        <f aca="false">ProjCost!$D$14</f>
        <v>170242.89695302</v>
      </c>
      <c r="E15" s="54" t="n">
        <v>0</v>
      </c>
      <c r="F15" s="54" t="n">
        <v>0</v>
      </c>
      <c r="G15" s="49" t="n">
        <f aca="false">C15+E15</f>
        <v>0</v>
      </c>
      <c r="H15" s="49" t="n">
        <f aca="false">D15+F15</f>
        <v>170242.89695302</v>
      </c>
    </row>
    <row r="17" customFormat="false" ht="15" hidden="false" customHeight="true" outlineLevel="0" collapsed="false">
      <c r="B17" s="16" t="s">
        <v>173</v>
      </c>
      <c r="C17" s="17" t="n">
        <f aca="false">C6+C11+C12+C15</f>
        <v>17998040.3793754</v>
      </c>
      <c r="D17" s="17" t="n">
        <f aca="false">D6+D11+D12+D15</f>
        <v>43099981.5360325</v>
      </c>
      <c r="E17" s="17" t="n">
        <f aca="false">E6+E11+E12+E15</f>
        <v>0</v>
      </c>
      <c r="F17" s="17" t="n">
        <f aca="false">F6+F11+F12+F15</f>
        <v>17024289.695302</v>
      </c>
      <c r="G17" s="17" t="n">
        <f aca="false">G6+G11+G12+G15</f>
        <v>17998040.3793754</v>
      </c>
      <c r="H17" s="17" t="n">
        <f aca="false">H6+H11+H12+H15</f>
        <v>60124271.2313345</v>
      </c>
    </row>
    <row r="18" customFormat="false" ht="15" hidden="false" customHeight="true" outlineLevel="0" collapsed="false">
      <c r="B18" s="26" t="s">
        <v>193</v>
      </c>
      <c r="C18" s="22" t="n">
        <f aca="false">C17+D17</f>
        <v>61098021.9154079</v>
      </c>
      <c r="E18" s="22" t="n">
        <f aca="false">E17+F17</f>
        <v>17024289.695302</v>
      </c>
      <c r="G18" s="22" t="n">
        <f aca="false">G17+H17</f>
        <v>78122311.6107099</v>
      </c>
    </row>
    <row r="20" customFormat="false" ht="42" hidden="false" customHeight="true" outlineLevel="0" collapsed="false">
      <c r="B20" s="58" t="s">
        <v>194</v>
      </c>
      <c r="C20" s="58"/>
      <c r="D20" s="58"/>
      <c r="E20" s="58"/>
      <c r="F20" s="58"/>
      <c r="G20" s="58"/>
      <c r="H20" s="58"/>
    </row>
  </sheetData>
  <mergeCells count="5">
    <mergeCell ref="B4:B5"/>
    <mergeCell ref="C4:D4"/>
    <mergeCell ref="E4:F4"/>
    <mergeCell ref="G4:H4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4" min="4" style="1" width="17"/>
    <col collapsed="false" customWidth="true" hidden="false" outlineLevel="0" max="6" min="5" style="1" width="9"/>
    <col collapsed="false" customWidth="true" hidden="false" outlineLevel="0" max="14" min="7" style="1" width="14"/>
  </cols>
  <sheetData>
    <row r="2" customFormat="false" ht="15" hidden="false" customHeight="true" outlineLevel="0" collapsed="false">
      <c r="B2" s="3" t="s">
        <v>195</v>
      </c>
      <c r="N2" s="52" t="s">
        <v>196</v>
      </c>
    </row>
    <row r="3" customFormat="false" ht="15" hidden="false" customHeight="true" outlineLevel="0" collapsed="false">
      <c r="B3" s="53" t="s">
        <v>197</v>
      </c>
    </row>
    <row r="5" customFormat="false" ht="30" hidden="false" customHeight="true" outlineLevel="0" collapsed="false">
      <c r="B5" s="19" t="s">
        <v>198</v>
      </c>
      <c r="C5" s="19" t="s">
        <v>199</v>
      </c>
      <c r="D5" s="19" t="s">
        <v>200</v>
      </c>
      <c r="E5" s="19" t="s">
        <v>201</v>
      </c>
      <c r="F5" s="19" t="s">
        <v>202</v>
      </c>
      <c r="G5" s="56" t="s">
        <v>203</v>
      </c>
      <c r="H5" s="56" t="s">
        <v>47</v>
      </c>
      <c r="I5" s="56" t="s">
        <v>48</v>
      </c>
      <c r="J5" s="56" t="s">
        <v>49</v>
      </c>
      <c r="K5" s="56" t="s">
        <v>50</v>
      </c>
      <c r="L5" s="56" t="s">
        <v>51</v>
      </c>
      <c r="M5" s="56" t="s">
        <v>52</v>
      </c>
    </row>
    <row r="6" customFormat="false" ht="15" hidden="false" customHeight="true" outlineLevel="0" collapsed="false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customFormat="false" ht="23.25" hidden="false" customHeight="true" outlineLevel="0" collapsed="false">
      <c r="B7" s="7" t="s">
        <v>204</v>
      </c>
      <c r="C7" s="7" t="s">
        <v>164</v>
      </c>
      <c r="D7" s="14" t="n">
        <v>147321.428571429</v>
      </c>
      <c r="E7" s="32" t="n">
        <v>50</v>
      </c>
      <c r="F7" s="15" t="n">
        <f aca="false">1/E7</f>
        <v>0.02</v>
      </c>
      <c r="G7" s="14" t="n">
        <v>736.607142857143</v>
      </c>
      <c r="H7" s="14" t="n">
        <v>2946.42857142857</v>
      </c>
      <c r="I7" s="14" t="n">
        <v>2946.42857142857</v>
      </c>
      <c r="J7" s="14" t="n">
        <v>2946.42857142857</v>
      </c>
      <c r="K7" s="14" t="n">
        <v>2946.42857142857</v>
      </c>
      <c r="L7" s="14" t="n">
        <v>2946.42857142857</v>
      </c>
      <c r="M7" s="14" t="n">
        <v>2946.42857142857</v>
      </c>
    </row>
    <row r="8" customFormat="false" ht="23.25" hidden="false" customHeight="true" outlineLevel="0" collapsed="false">
      <c r="B8" s="7" t="s">
        <v>205</v>
      </c>
      <c r="C8" s="7" t="s">
        <v>164</v>
      </c>
      <c r="D8" s="14" t="n">
        <v>321428.571428571</v>
      </c>
      <c r="E8" s="32" t="n">
        <v>50</v>
      </c>
      <c r="F8" s="15" t="n">
        <f aca="false">1/E8</f>
        <v>0.02</v>
      </c>
      <c r="G8" s="14" t="n">
        <v>1607.14285714286</v>
      </c>
      <c r="H8" s="14" t="n">
        <v>6428.57142857143</v>
      </c>
      <c r="I8" s="14" t="n">
        <v>6428.57142857143</v>
      </c>
      <c r="J8" s="14" t="n">
        <v>6428.57142857143</v>
      </c>
      <c r="K8" s="14" t="n">
        <v>6428.57142857143</v>
      </c>
      <c r="L8" s="14" t="n">
        <v>6428.57142857143</v>
      </c>
      <c r="M8" s="14" t="n">
        <v>6428.57142857143</v>
      </c>
    </row>
    <row r="9" customFormat="false" ht="23.25" hidden="false" customHeight="true" outlineLevel="0" collapsed="false">
      <c r="B9" s="7" t="s">
        <v>206</v>
      </c>
      <c r="C9" s="7" t="s">
        <v>164</v>
      </c>
      <c r="D9" s="14" t="n">
        <v>2232142.85714286</v>
      </c>
      <c r="E9" s="32" t="n">
        <v>50</v>
      </c>
      <c r="F9" s="15" t="n">
        <f aca="false">1/E9</f>
        <v>0.02</v>
      </c>
      <c r="G9" s="14" t="n">
        <v>11160.7142857143</v>
      </c>
      <c r="H9" s="14" t="n">
        <v>44642.8571428571</v>
      </c>
      <c r="I9" s="14" t="n">
        <v>44642.8571428571</v>
      </c>
      <c r="J9" s="14" t="n">
        <v>44642.8571428571</v>
      </c>
      <c r="K9" s="14" t="n">
        <v>44642.8571428571</v>
      </c>
      <c r="L9" s="14" t="n">
        <v>44642.8571428571</v>
      </c>
      <c r="M9" s="14" t="n">
        <v>44642.8571428571</v>
      </c>
    </row>
    <row r="10" customFormat="false" ht="15" hidden="false" customHeight="true" outlineLevel="0" collapsed="false">
      <c r="B10" s="7" t="s">
        <v>207</v>
      </c>
      <c r="C10" s="7" t="s">
        <v>165</v>
      </c>
      <c r="D10" s="14" t="n">
        <v>18256160.7142857</v>
      </c>
      <c r="E10" s="32" t="n">
        <v>10</v>
      </c>
      <c r="F10" s="15" t="n">
        <f aca="false">1/E10</f>
        <v>0.1</v>
      </c>
      <c r="G10" s="14" t="n">
        <v>456404.017857143</v>
      </c>
      <c r="H10" s="14" t="n">
        <v>1825616.07142857</v>
      </c>
      <c r="I10" s="14" t="n">
        <v>1825616.07142857</v>
      </c>
      <c r="J10" s="14" t="n">
        <v>1825616.07142857</v>
      </c>
      <c r="K10" s="14" t="n">
        <v>1825616.07142857</v>
      </c>
      <c r="L10" s="14" t="n">
        <v>1825616.07142857</v>
      </c>
      <c r="M10" s="14" t="n">
        <v>1825616.07142857</v>
      </c>
    </row>
    <row r="11" customFormat="false" ht="23.25" hidden="false" customHeight="true" outlineLevel="0" collapsed="false">
      <c r="B11" s="7" t="s">
        <v>208</v>
      </c>
      <c r="C11" s="7" t="s">
        <v>164</v>
      </c>
      <c r="D11" s="14" t="n">
        <v>22238750</v>
      </c>
      <c r="E11" s="32" t="n">
        <v>50</v>
      </c>
      <c r="F11" s="15" t="n">
        <f aca="false">1/E11</f>
        <v>0.02</v>
      </c>
      <c r="G11" s="14" t="n">
        <v>111193.75</v>
      </c>
      <c r="H11" s="14" t="n">
        <v>444775</v>
      </c>
      <c r="I11" s="14" t="n">
        <v>444775</v>
      </c>
      <c r="J11" s="14" t="n">
        <v>444775</v>
      </c>
      <c r="K11" s="14" t="n">
        <v>444775</v>
      </c>
      <c r="L11" s="14" t="n">
        <v>444775</v>
      </c>
      <c r="M11" s="14" t="n">
        <v>444775</v>
      </c>
    </row>
    <row r="12" customFormat="false" ht="23.25" hidden="false" customHeight="true" outlineLevel="0" collapsed="false">
      <c r="B12" s="7" t="s">
        <v>209</v>
      </c>
      <c r="C12" s="7" t="s">
        <v>164</v>
      </c>
      <c r="D12" s="14" t="n">
        <v>178571.428571429</v>
      </c>
      <c r="E12" s="32" t="n">
        <v>50</v>
      </c>
      <c r="F12" s="15" t="n">
        <f aca="false">1/E12</f>
        <v>0.02</v>
      </c>
      <c r="G12" s="14" t="n">
        <v>892.857142857143</v>
      </c>
      <c r="H12" s="14" t="n">
        <v>3571.42857142857</v>
      </c>
      <c r="I12" s="14" t="n">
        <v>3571.42857142857</v>
      </c>
      <c r="J12" s="14" t="n">
        <v>3571.42857142857</v>
      </c>
      <c r="K12" s="14" t="n">
        <v>3571.42857142857</v>
      </c>
      <c r="L12" s="14" t="n">
        <v>3571.42857142857</v>
      </c>
      <c r="M12" s="14" t="n">
        <v>3571.42857142857</v>
      </c>
    </row>
    <row r="13" customFormat="false" ht="23.25" hidden="false" customHeight="true" outlineLevel="0" collapsed="false">
      <c r="B13" s="7" t="s">
        <v>210</v>
      </c>
      <c r="C13" s="7" t="s">
        <v>164</v>
      </c>
      <c r="D13" s="14" t="n">
        <v>89285.7142857143</v>
      </c>
      <c r="E13" s="32" t="n">
        <v>50</v>
      </c>
      <c r="F13" s="15" t="n">
        <f aca="false">1/E13</f>
        <v>0.02</v>
      </c>
      <c r="G13" s="14" t="n">
        <v>446.428571428571</v>
      </c>
      <c r="H13" s="14" t="n">
        <v>1785.71428571429</v>
      </c>
      <c r="I13" s="14" t="n">
        <v>1785.71428571429</v>
      </c>
      <c r="J13" s="14" t="n">
        <v>1785.71428571429</v>
      </c>
      <c r="K13" s="14" t="n">
        <v>1785.71428571429</v>
      </c>
      <c r="L13" s="14" t="n">
        <v>1785.71428571429</v>
      </c>
      <c r="M13" s="14" t="n">
        <v>1785.71428571429</v>
      </c>
    </row>
    <row r="14" customFormat="false" ht="23.25" hidden="false" customHeight="true" outlineLevel="0" collapsed="false">
      <c r="B14" s="7" t="s">
        <v>211</v>
      </c>
      <c r="C14" s="7" t="s">
        <v>164</v>
      </c>
      <c r="D14" s="14" t="n">
        <v>3125000</v>
      </c>
      <c r="E14" s="32" t="n">
        <v>50</v>
      </c>
      <c r="F14" s="15" t="n">
        <f aca="false">1/E14</f>
        <v>0.02</v>
      </c>
      <c r="G14" s="14" t="n">
        <v>15625</v>
      </c>
      <c r="H14" s="14" t="n">
        <v>62500</v>
      </c>
      <c r="I14" s="14" t="n">
        <v>62500</v>
      </c>
      <c r="J14" s="14" t="n">
        <v>62500</v>
      </c>
      <c r="K14" s="14" t="n">
        <v>62500</v>
      </c>
      <c r="L14" s="14" t="n">
        <v>62500</v>
      </c>
      <c r="M14" s="14" t="n">
        <v>62500</v>
      </c>
    </row>
    <row r="15" customFormat="false" ht="15" hidden="false" customHeight="true" outlineLevel="0" collapsed="false">
      <c r="B15" s="7" t="s">
        <v>212</v>
      </c>
      <c r="C15" s="7" t="s">
        <v>166</v>
      </c>
      <c r="D15" s="14" t="n">
        <v>223214.285714286</v>
      </c>
      <c r="E15" s="32" t="n">
        <v>10</v>
      </c>
      <c r="F15" s="15" t="n">
        <f aca="false">1/E15</f>
        <v>0.1</v>
      </c>
      <c r="G15" s="14" t="n">
        <v>5580.35714285714</v>
      </c>
      <c r="H15" s="14" t="n">
        <v>22321.4285714286</v>
      </c>
      <c r="I15" s="14" t="n">
        <v>22321.4285714286</v>
      </c>
      <c r="J15" s="14" t="n">
        <v>22321.4285714286</v>
      </c>
      <c r="K15" s="14" t="n">
        <v>22321.4285714286</v>
      </c>
      <c r="L15" s="14" t="n">
        <v>22321.4285714286</v>
      </c>
      <c r="M15" s="14" t="n">
        <v>22321.4285714286</v>
      </c>
    </row>
    <row r="16" customFormat="false" ht="15" hidden="false" customHeight="true" outlineLevel="0" collapsed="false">
      <c r="B16" s="7" t="s">
        <v>213</v>
      </c>
      <c r="C16" s="7" t="s">
        <v>165</v>
      </c>
      <c r="D16" s="14" t="n">
        <v>714285.714285714</v>
      </c>
      <c r="E16" s="32" t="n">
        <v>20</v>
      </c>
      <c r="F16" s="15" t="n">
        <f aca="false">1/E16</f>
        <v>0.05</v>
      </c>
      <c r="G16" s="14" t="n">
        <v>8928.57142857143</v>
      </c>
      <c r="H16" s="14" t="n">
        <v>35714.2857142857</v>
      </c>
      <c r="I16" s="14" t="n">
        <v>35714.2857142857</v>
      </c>
      <c r="J16" s="14" t="n">
        <v>35714.2857142857</v>
      </c>
      <c r="K16" s="14" t="n">
        <v>35714.2857142857</v>
      </c>
      <c r="L16" s="14" t="n">
        <v>35714.2857142857</v>
      </c>
      <c r="M16" s="14" t="n">
        <v>35714.2857142857</v>
      </c>
    </row>
    <row r="17" customFormat="false" ht="23.25" hidden="false" customHeight="true" outlineLevel="0" collapsed="false">
      <c r="B17" s="7" t="s">
        <v>214</v>
      </c>
      <c r="C17" s="7" t="s">
        <v>167</v>
      </c>
      <c r="D17" s="14" t="n">
        <v>53571.4285714286</v>
      </c>
      <c r="E17" s="32" t="n">
        <v>5</v>
      </c>
      <c r="F17" s="15" t="n">
        <f aca="false">1/E17</f>
        <v>0.2</v>
      </c>
      <c r="G17" s="14" t="n">
        <v>2678.57142857143</v>
      </c>
      <c r="H17" s="14" t="n">
        <v>10714.2857142857</v>
      </c>
      <c r="I17" s="14" t="n">
        <v>10714.2857142857</v>
      </c>
      <c r="J17" s="14" t="n">
        <v>10714.2857142857</v>
      </c>
      <c r="K17" s="14" t="n">
        <v>10714.2857142857</v>
      </c>
      <c r="L17" s="14" t="n">
        <v>8035.71428571429</v>
      </c>
      <c r="M17" s="14" t="n">
        <v>0</v>
      </c>
    </row>
    <row r="18" customFormat="false" ht="23.25" hidden="false" customHeight="true" outlineLevel="0" collapsed="false">
      <c r="B18" s="7" t="s">
        <v>215</v>
      </c>
      <c r="C18" s="7" t="s">
        <v>164</v>
      </c>
      <c r="D18" s="14" t="n">
        <v>62500</v>
      </c>
      <c r="E18" s="32" t="n">
        <v>50</v>
      </c>
      <c r="F18" s="15" t="n">
        <f aca="false">1/E18</f>
        <v>0.02</v>
      </c>
      <c r="G18" s="14" t="n">
        <v>312.5</v>
      </c>
      <c r="H18" s="14" t="n">
        <v>1250</v>
      </c>
      <c r="I18" s="14" t="n">
        <v>1250</v>
      </c>
      <c r="J18" s="14" t="n">
        <v>1250</v>
      </c>
      <c r="K18" s="14" t="n">
        <v>1250</v>
      </c>
      <c r="L18" s="14" t="n">
        <v>1250</v>
      </c>
      <c r="M18" s="14" t="n">
        <v>1250</v>
      </c>
    </row>
    <row r="19" customFormat="false" ht="23.25" hidden="false" customHeight="true" outlineLevel="0" collapsed="false">
      <c r="B19" s="7" t="s">
        <v>216</v>
      </c>
      <c r="C19" s="7" t="s">
        <v>165</v>
      </c>
      <c r="D19" s="14" t="n">
        <v>2977639.50892857</v>
      </c>
      <c r="E19" s="32" t="n">
        <v>10</v>
      </c>
      <c r="F19" s="15" t="n">
        <f aca="false">1/E19</f>
        <v>0.1</v>
      </c>
      <c r="G19" s="14" t="n">
        <v>1985.09300595238</v>
      </c>
      <c r="H19" s="14" t="n">
        <v>59552.7901785714</v>
      </c>
      <c r="I19" s="14" t="n">
        <v>107195.022321429</v>
      </c>
      <c r="J19" s="14" t="n">
        <v>154837.254464286</v>
      </c>
      <c r="K19" s="14" t="n">
        <v>202479.486607143</v>
      </c>
      <c r="L19" s="14" t="n">
        <v>250121.71875</v>
      </c>
      <c r="M19" s="14" t="n">
        <v>297763.950892857</v>
      </c>
    </row>
    <row r="20" customFormat="false" ht="23.25" hidden="false" customHeight="true" outlineLevel="0" collapsed="false">
      <c r="B20" s="7" t="s">
        <v>217</v>
      </c>
      <c r="C20" s="13" t="s">
        <v>218</v>
      </c>
      <c r="D20" s="14" t="n">
        <f aca="false">LOANS!$C$106</f>
        <v>1208251.67143046</v>
      </c>
      <c r="E20" s="59" t="n">
        <v>50</v>
      </c>
      <c r="F20" s="15" t="n">
        <f aca="false">1/E20</f>
        <v>0.02</v>
      </c>
      <c r="G20" s="14" t="n">
        <f aca="false">D20/E20*3/12</f>
        <v>6041.2583571523</v>
      </c>
      <c r="H20" s="14" t="n">
        <f aca="false">D20/E20</f>
        <v>24165.0334286092</v>
      </c>
      <c r="I20" s="14" t="n">
        <f aca="false">D20/E20</f>
        <v>24165.0334286092</v>
      </c>
      <c r="J20" s="14" t="n">
        <f aca="false">D20/E20</f>
        <v>24165.0334286092</v>
      </c>
      <c r="K20" s="14" t="n">
        <f aca="false">D20/E20</f>
        <v>24165.0334286092</v>
      </c>
      <c r="L20" s="14" t="n">
        <f aca="false">D20/E20</f>
        <v>24165.0334286092</v>
      </c>
      <c r="M20" s="14" t="n">
        <f aca="false">D20/E20</f>
        <v>24165.0334286092</v>
      </c>
    </row>
    <row r="21" customFormat="false" ht="15" hidden="false" customHeight="true" outlineLevel="0" collapsed="false">
      <c r="B21" s="11" t="s">
        <v>161</v>
      </c>
      <c r="C21" s="60" t="s">
        <v>219</v>
      </c>
      <c r="D21" s="49" t="n">
        <f aca="false">SUM(D7:D20)</f>
        <v>51828123.3232162</v>
      </c>
      <c r="E21" s="61"/>
      <c r="F21" s="61"/>
      <c r="G21" s="49" t="n">
        <f aca="false">SUM(G7:G20)</f>
        <v>623592.869220248</v>
      </c>
      <c r="H21" s="49" t="n">
        <f aca="false">SUM(H7:H20)</f>
        <v>2545983.89503575</v>
      </c>
      <c r="I21" s="49" t="n">
        <f aca="false">SUM(I7:I20)</f>
        <v>2593626.12717861</v>
      </c>
      <c r="J21" s="49" t="n">
        <f aca="false">SUM(J7:J20)</f>
        <v>2641268.35932147</v>
      </c>
      <c r="K21" s="49" t="n">
        <f aca="false">SUM(K7:K20)</f>
        <v>2688910.59146432</v>
      </c>
      <c r="L21" s="49" t="n">
        <f aca="false">SUM(L7:L20)</f>
        <v>2733874.25217861</v>
      </c>
      <c r="M21" s="49" t="n">
        <f aca="false">SUM(M7:M20)</f>
        <v>2773480.77003575</v>
      </c>
    </row>
    <row r="22" customFormat="false" ht="15" hidden="false" customHeight="true" outlineLevel="0" collapsed="false">
      <c r="B22" s="7" t="s">
        <v>220</v>
      </c>
      <c r="C22" s="13"/>
      <c r="D22" s="13"/>
      <c r="E22" s="13"/>
      <c r="F22" s="13"/>
      <c r="G22" s="14" t="n">
        <f aca="false">G21-G23</f>
        <v>620914.297791676</v>
      </c>
      <c r="H22" s="14" t="n">
        <f aca="false">H21-H23</f>
        <v>2535269.60932147</v>
      </c>
      <c r="I22" s="14" t="n">
        <f aca="false">I21-I23</f>
        <v>2582911.84146432</v>
      </c>
      <c r="J22" s="14" t="n">
        <f aca="false">J21-J23</f>
        <v>2630554.07360718</v>
      </c>
      <c r="K22" s="14" t="n">
        <f aca="false">K21-K23</f>
        <v>2678196.30575004</v>
      </c>
      <c r="L22" s="14" t="n">
        <f aca="false">L21-L23</f>
        <v>2725838.53789289</v>
      </c>
      <c r="M22" s="14" t="n">
        <f aca="false">M21-M23</f>
        <v>2773480.77003575</v>
      </c>
    </row>
    <row r="23" customFormat="false" ht="15" hidden="false" customHeight="true" outlineLevel="0" collapsed="false">
      <c r="B23" s="7" t="s">
        <v>221</v>
      </c>
      <c r="C23" s="13"/>
      <c r="D23" s="13"/>
      <c r="E23" s="13"/>
      <c r="F23" s="13"/>
      <c r="G23" s="14" t="n">
        <v>2678.57142857143</v>
      </c>
      <c r="H23" s="14" t="n">
        <v>10714.2857142857</v>
      </c>
      <c r="I23" s="14" t="n">
        <v>10714.2857142857</v>
      </c>
      <c r="J23" s="14" t="n">
        <v>10714.2857142857</v>
      </c>
      <c r="K23" s="14" t="n">
        <v>10714.2857142857</v>
      </c>
      <c r="L23" s="14" t="n">
        <v>8035.71428571429</v>
      </c>
      <c r="M23" s="14" t="n">
        <v>0</v>
      </c>
    </row>
    <row r="25" customFormat="false" ht="23.25" hidden="false" customHeight="true" outlineLevel="0" collapsed="false">
      <c r="B25" s="7" t="s">
        <v>222</v>
      </c>
      <c r="C25" s="13"/>
      <c r="D25" s="13"/>
      <c r="E25" s="13"/>
      <c r="F25" s="13"/>
      <c r="G25" s="14" t="n">
        <v>47761337.7232143</v>
      </c>
      <c r="H25" s="14" t="n">
        <v>476422.321428571</v>
      </c>
      <c r="I25" s="14" t="n">
        <v>476422.321428571</v>
      </c>
      <c r="J25" s="14" t="n">
        <v>476422.321428571</v>
      </c>
      <c r="K25" s="14" t="n">
        <v>476422.321428571</v>
      </c>
      <c r="L25" s="14" t="n">
        <v>476422.321428571</v>
      </c>
      <c r="M25" s="14" t="n">
        <v>476422.321428571</v>
      </c>
    </row>
    <row r="26" customFormat="false" ht="15" hidden="false" customHeight="true" outlineLevel="0" collapsed="false">
      <c r="B26" s="29" t="s">
        <v>223</v>
      </c>
      <c r="C26" s="13"/>
      <c r="D26" s="13"/>
      <c r="E26" s="13"/>
      <c r="F26" s="13"/>
      <c r="G26" s="14" t="n">
        <f aca="false">SUM($G$21:G21)</f>
        <v>623592.869220248</v>
      </c>
      <c r="H26" s="14" t="n">
        <f aca="false">SUM($G$21:H21)</f>
        <v>3169576.764256</v>
      </c>
      <c r="I26" s="14" t="n">
        <f aca="false">SUM($G$21:I21)</f>
        <v>5763202.89143461</v>
      </c>
      <c r="J26" s="14" t="n">
        <f aca="false">SUM($G$21:J21)</f>
        <v>8404471.25075607</v>
      </c>
      <c r="K26" s="14" t="n">
        <f aca="false">SUM($G$21:K21)</f>
        <v>11093381.8422204</v>
      </c>
      <c r="L26" s="14" t="n">
        <f aca="false">SUM($G$21:L21)</f>
        <v>13827256.094399</v>
      </c>
      <c r="M26" s="14" t="n">
        <f aca="false">SUM($G$21:M21)</f>
        <v>16600736.8644348</v>
      </c>
    </row>
    <row r="27" customFormat="false" ht="23.25" hidden="false" customHeight="true" outlineLevel="0" collapsed="false">
      <c r="B27" s="29" t="s">
        <v>224</v>
      </c>
      <c r="C27" s="13"/>
      <c r="D27" s="13"/>
      <c r="E27" s="13"/>
      <c r="F27" s="13"/>
      <c r="G27" s="14" t="n">
        <f aca="false">G25+$D$20-G21</f>
        <v>48345996.5254245</v>
      </c>
      <c r="H27" s="14" t="n">
        <f aca="false">G27+H25-H21</f>
        <v>46276434.9518173</v>
      </c>
      <c r="I27" s="14" t="n">
        <f aca="false">H27+I25-I21</f>
        <v>44159231.1460673</v>
      </c>
      <c r="J27" s="14" t="n">
        <f aca="false">I27+J25-J21</f>
        <v>41994385.1081744</v>
      </c>
      <c r="K27" s="14" t="n">
        <f aca="false">J27+K25-K21</f>
        <v>39781896.8381387</v>
      </c>
      <c r="L27" s="14" t="n">
        <f aca="false">K27+L25-L21</f>
        <v>37524444.9073886</v>
      </c>
      <c r="M27" s="14" t="n">
        <f aca="false">L27+M25-M21</f>
        <v>35227386.4587814</v>
      </c>
    </row>
  </sheetData>
  <mergeCells count="12"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11" min="4" style="1" width="14"/>
  </cols>
  <sheetData>
    <row r="2" customFormat="false" ht="15" hidden="false" customHeight="true" outlineLevel="0" collapsed="false">
      <c r="B2" s="3" t="s">
        <v>225</v>
      </c>
      <c r="K2" s="52" t="s">
        <v>226</v>
      </c>
    </row>
    <row r="4" customFormat="false" ht="55.5" hidden="false" customHeight="true" outlineLevel="0" collapsed="false">
      <c r="B4" s="19" t="s">
        <v>227</v>
      </c>
      <c r="C4" s="19" t="s">
        <v>45</v>
      </c>
      <c r="D4" s="19" t="s">
        <v>228</v>
      </c>
      <c r="E4" s="19" t="s">
        <v>14</v>
      </c>
      <c r="F4" s="19" t="s">
        <v>229</v>
      </c>
      <c r="G4" s="19" t="s">
        <v>230</v>
      </c>
      <c r="H4" s="19" t="s">
        <v>231</v>
      </c>
    </row>
    <row r="5" customFormat="false" ht="15" hidden="false" customHeight="true" outlineLevel="0" collapsed="false">
      <c r="B5" s="13" t="s">
        <v>11</v>
      </c>
      <c r="C5" s="20" t="s">
        <v>232</v>
      </c>
      <c r="D5" s="62" t="n">
        <v>2656.5</v>
      </c>
      <c r="E5" s="20" t="s">
        <v>233</v>
      </c>
      <c r="F5" s="30" t="n">
        <f aca="false">F20</f>
        <v>117379</v>
      </c>
      <c r="G5" s="14" t="n">
        <f aca="false">D5*F5</f>
        <v>311817313.5</v>
      </c>
      <c r="H5" s="14" t="n">
        <v>0</v>
      </c>
    </row>
    <row r="6" customFormat="false" ht="15" hidden="false" customHeight="true" outlineLevel="0" collapsed="false">
      <c r="B6" s="11" t="s">
        <v>186</v>
      </c>
      <c r="C6" s="49"/>
      <c r="D6" s="49"/>
      <c r="E6" s="49"/>
      <c r="F6" s="49"/>
      <c r="G6" s="49" t="n">
        <f aca="false">SUM(G5:G5)</f>
        <v>311817313.5</v>
      </c>
      <c r="H6" s="49" t="n">
        <f aca="false">SUM(H5:H5)</f>
        <v>0</v>
      </c>
    </row>
    <row r="8" customFormat="false" ht="30" hidden="false" customHeight="true" outlineLevel="0" collapsed="false">
      <c r="B8" s="19" t="s">
        <v>44</v>
      </c>
      <c r="C8" s="19" t="s">
        <v>45</v>
      </c>
      <c r="D8" s="19" t="s">
        <v>46</v>
      </c>
      <c r="E8" s="19" t="s">
        <v>47</v>
      </c>
      <c r="F8" s="19" t="s">
        <v>48</v>
      </c>
      <c r="G8" s="19" t="s">
        <v>49</v>
      </c>
      <c r="H8" s="19" t="s">
        <v>50</v>
      </c>
      <c r="I8" s="19" t="s">
        <v>51</v>
      </c>
      <c r="J8" s="19" t="s">
        <v>52</v>
      </c>
    </row>
    <row r="9" customFormat="false" ht="15" hidden="false" customHeight="true" outlineLevel="0" collapsed="false">
      <c r="B9" s="19"/>
      <c r="C9" s="19"/>
      <c r="D9" s="19"/>
      <c r="E9" s="19"/>
      <c r="F9" s="19"/>
      <c r="G9" s="19"/>
      <c r="H9" s="19"/>
      <c r="I9" s="19"/>
      <c r="J9" s="19"/>
    </row>
    <row r="10" customFormat="false" ht="15" hidden="false" customHeight="true" outlineLevel="0" collapsed="false">
      <c r="B10" s="11" t="s">
        <v>234</v>
      </c>
      <c r="C10" s="61"/>
      <c r="D10" s="61"/>
      <c r="E10" s="61"/>
      <c r="F10" s="61"/>
      <c r="G10" s="61"/>
      <c r="H10" s="61"/>
      <c r="I10" s="61"/>
      <c r="J10" s="61"/>
    </row>
    <row r="11" customFormat="false" ht="15" hidden="false" customHeight="true" outlineLevel="0" collapsed="false">
      <c r="B11" s="7" t="s">
        <v>11</v>
      </c>
      <c r="C11" s="20" t="s">
        <v>235</v>
      </c>
      <c r="D11" s="15" t="n">
        <v>0.101637492941841</v>
      </c>
      <c r="E11" s="15" t="n">
        <v>0.829710144927536</v>
      </c>
      <c r="F11" s="15" t="n">
        <v>1</v>
      </c>
      <c r="G11" s="15" t="n">
        <v>1</v>
      </c>
      <c r="H11" s="15" t="n">
        <v>1</v>
      </c>
      <c r="I11" s="15" t="n">
        <v>1</v>
      </c>
      <c r="J11" s="15" t="n">
        <v>1</v>
      </c>
    </row>
    <row r="12" customFormat="false" ht="15" hidden="false" customHeight="true" outlineLevel="0" collapsed="false">
      <c r="B12" s="11" t="s">
        <v>236</v>
      </c>
      <c r="C12" s="61"/>
      <c r="D12" s="61"/>
      <c r="E12" s="61"/>
      <c r="F12" s="61"/>
      <c r="G12" s="61"/>
      <c r="H12" s="61"/>
      <c r="I12" s="61"/>
      <c r="J12" s="61"/>
    </row>
    <row r="13" customFormat="false" ht="15" hidden="false" customHeight="true" outlineLevel="0" collapsed="false">
      <c r="B13" s="7" t="s">
        <v>11</v>
      </c>
      <c r="C13" s="20" t="s">
        <v>232</v>
      </c>
      <c r="D13" s="62" t="n">
        <f aca="false">$D$5*D11</f>
        <v>270.000000000001</v>
      </c>
      <c r="E13" s="62" t="n">
        <f aca="false">$D$5*E11</f>
        <v>2204.125</v>
      </c>
      <c r="F13" s="62" t="n">
        <f aca="false">$D$5*F11</f>
        <v>2656.5</v>
      </c>
      <c r="G13" s="62" t="n">
        <f aca="false">$D$5*G11</f>
        <v>2656.5</v>
      </c>
      <c r="H13" s="62" t="n">
        <f aca="false">$D$5*H11</f>
        <v>2656.5</v>
      </c>
      <c r="I13" s="62" t="n">
        <f aca="false">$D$5*I11</f>
        <v>2656.5</v>
      </c>
      <c r="J13" s="62" t="n">
        <f aca="false">$D$5*J11</f>
        <v>2656.5</v>
      </c>
    </row>
    <row r="14" customFormat="false" ht="15" hidden="false" customHeight="true" outlineLevel="0" collapsed="false">
      <c r="B14" s="11" t="s">
        <v>237</v>
      </c>
      <c r="C14" s="61"/>
      <c r="D14" s="61"/>
      <c r="E14" s="61"/>
      <c r="F14" s="61"/>
      <c r="G14" s="61"/>
      <c r="H14" s="61"/>
      <c r="I14" s="61"/>
      <c r="J14" s="61"/>
    </row>
    <row r="15" customFormat="false" ht="15" hidden="false" customHeight="true" outlineLevel="0" collapsed="false">
      <c r="B15" s="7" t="s">
        <v>238</v>
      </c>
      <c r="C15" s="20" t="s">
        <v>232</v>
      </c>
      <c r="D15" s="62" t="n">
        <v>250</v>
      </c>
      <c r="E15" s="62" t="n">
        <v>2154.125</v>
      </c>
      <c r="F15" s="62" t="n">
        <v>2623.29375</v>
      </c>
      <c r="G15" s="62" t="n">
        <v>2656.5</v>
      </c>
      <c r="H15" s="62" t="n">
        <v>2656.5</v>
      </c>
      <c r="I15" s="62" t="n">
        <v>2656.5</v>
      </c>
      <c r="J15" s="62" t="n">
        <v>2656.5</v>
      </c>
    </row>
    <row r="16" customFormat="false" ht="15" hidden="false" customHeight="true" outlineLevel="0" collapsed="false">
      <c r="B16" s="7" t="s">
        <v>239</v>
      </c>
      <c r="C16" s="20" t="s">
        <v>232</v>
      </c>
      <c r="D16" s="62" t="n">
        <v>0</v>
      </c>
      <c r="E16" s="62" t="n">
        <v>0</v>
      </c>
      <c r="F16" s="62" t="n">
        <v>0</v>
      </c>
      <c r="G16" s="62" t="n">
        <v>0</v>
      </c>
      <c r="H16" s="62" t="n">
        <v>0</v>
      </c>
      <c r="I16" s="62" t="n">
        <v>0</v>
      </c>
      <c r="J16" s="62" t="n">
        <v>0</v>
      </c>
    </row>
    <row r="17" customFormat="false" ht="15" hidden="false" customHeight="true" outlineLevel="0" collapsed="false">
      <c r="B17" s="11" t="s">
        <v>240</v>
      </c>
      <c r="C17" s="61"/>
      <c r="D17" s="61"/>
      <c r="E17" s="61"/>
      <c r="F17" s="61"/>
      <c r="G17" s="61"/>
      <c r="H17" s="61"/>
      <c r="I17" s="61"/>
      <c r="J17" s="61"/>
    </row>
    <row r="18" customFormat="false" ht="15" hidden="false" customHeight="true" outlineLevel="0" collapsed="false">
      <c r="B18" s="7" t="s">
        <v>11</v>
      </c>
      <c r="C18" s="20" t="s">
        <v>232</v>
      </c>
      <c r="D18" s="62" t="n">
        <f aca="false">0+D13-D15-D16</f>
        <v>20.0000000000006</v>
      </c>
      <c r="E18" s="62" t="n">
        <f aca="false">D18+E13-E15-E16</f>
        <v>70</v>
      </c>
      <c r="F18" s="62" t="n">
        <f aca="false">E18+F13-F15-F16</f>
        <v>103.20625</v>
      </c>
      <c r="G18" s="62" t="n">
        <f aca="false">F18+G13-G15-G16</f>
        <v>103.20625</v>
      </c>
      <c r="H18" s="62" t="n">
        <f aca="false">G18+H13-H15-H16</f>
        <v>103.20625</v>
      </c>
      <c r="I18" s="62" t="n">
        <f aca="false">H18+I13-I15-I16</f>
        <v>103.20625</v>
      </c>
      <c r="J18" s="62" t="n">
        <f aca="false">I18+J13-J15-J16</f>
        <v>103.20625</v>
      </c>
    </row>
    <row r="19" customFormat="false" ht="15" hidden="false" customHeight="true" outlineLevel="0" collapsed="false">
      <c r="B19" s="11" t="s">
        <v>241</v>
      </c>
      <c r="C19" s="61"/>
      <c r="D19" s="61"/>
      <c r="E19" s="61"/>
      <c r="F19" s="61"/>
      <c r="G19" s="61"/>
      <c r="H19" s="61"/>
      <c r="I19" s="61"/>
      <c r="J19" s="61"/>
    </row>
    <row r="20" customFormat="false" ht="15" hidden="false" customHeight="true" outlineLevel="0" collapsed="false">
      <c r="B20" s="7" t="s">
        <v>11</v>
      </c>
      <c r="C20" s="20" t="s">
        <v>242</v>
      </c>
      <c r="D20" s="30" t="n">
        <v>113325</v>
      </c>
      <c r="E20" s="30" t="n">
        <v>114852</v>
      </c>
      <c r="F20" s="30" t="n">
        <v>117379</v>
      </c>
      <c r="G20" s="30" t="n">
        <v>119961</v>
      </c>
      <c r="H20" s="30" t="n">
        <v>122600</v>
      </c>
      <c r="I20" s="30" t="n">
        <v>125297</v>
      </c>
      <c r="J20" s="30" t="n">
        <v>128054</v>
      </c>
    </row>
  </sheetData>
  <mergeCells count="9"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243</v>
      </c>
      <c r="K2" s="52" t="s">
        <v>244</v>
      </c>
    </row>
    <row r="4" customFormat="false" ht="30" hidden="false" customHeight="true" outlineLevel="0" collapsed="false">
      <c r="B4" s="19" t="s">
        <v>44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true" outlineLevel="0" collapsed="false">
      <c r="B6" s="11" t="s">
        <v>245</v>
      </c>
      <c r="C6" s="61"/>
      <c r="D6" s="61"/>
      <c r="E6" s="61"/>
      <c r="F6" s="61"/>
      <c r="G6" s="61"/>
      <c r="H6" s="61"/>
      <c r="I6" s="61"/>
      <c r="J6" s="61"/>
    </row>
    <row r="7" customFormat="false" ht="15" hidden="false" customHeight="true" outlineLevel="0" collapsed="false">
      <c r="B7" s="7" t="s">
        <v>246</v>
      </c>
      <c r="C7" s="20" t="s">
        <v>34</v>
      </c>
      <c r="D7" s="14" t="n">
        <f aca="false">ProdPlan!D15*ProdPlan!D20</f>
        <v>28331250</v>
      </c>
      <c r="E7" s="14" t="n">
        <f aca="false">ProdPlan!E15*ProdPlan!E20</f>
        <v>247405564.5</v>
      </c>
      <c r="F7" s="14" t="n">
        <f aca="false">ProdPlan!F15*ProdPlan!F20</f>
        <v>307919597.08125</v>
      </c>
      <c r="G7" s="14" t="n">
        <f aca="false">ProdPlan!G15*ProdPlan!G20</f>
        <v>318676396.5</v>
      </c>
      <c r="H7" s="14" t="n">
        <f aca="false">ProdPlan!H15*ProdPlan!H20</f>
        <v>325686900</v>
      </c>
      <c r="I7" s="14" t="n">
        <f aca="false">ProdPlan!I15*ProdPlan!I20</f>
        <v>332851480.5</v>
      </c>
      <c r="J7" s="14" t="n">
        <f aca="false">ProdPlan!J15*ProdPlan!J20</f>
        <v>340175451</v>
      </c>
    </row>
    <row r="8" customFormat="false" ht="15" hidden="false" customHeight="true" outlineLevel="0" collapsed="false">
      <c r="B8" s="29" t="s">
        <v>186</v>
      </c>
      <c r="C8" s="20" t="s">
        <v>34</v>
      </c>
      <c r="D8" s="22" t="n">
        <f aca="false">SUM(D7:D7)</f>
        <v>28331250</v>
      </c>
      <c r="E8" s="22" t="n">
        <f aca="false">SUM(E7:E7)</f>
        <v>247405564.5</v>
      </c>
      <c r="F8" s="22" t="n">
        <f aca="false">SUM(F7:F7)</f>
        <v>307919597.08125</v>
      </c>
      <c r="G8" s="22" t="n">
        <f aca="false">SUM(G7:G7)</f>
        <v>318676396.5</v>
      </c>
      <c r="H8" s="22" t="n">
        <f aca="false">SUM(H7:H7)</f>
        <v>325686900</v>
      </c>
      <c r="I8" s="22" t="n">
        <f aca="false">SUM(I7:I7)</f>
        <v>332851480.5</v>
      </c>
      <c r="J8" s="22" t="n">
        <f aca="false">SUM(J7:J7)</f>
        <v>340175451</v>
      </c>
    </row>
    <row r="10" customFormat="false" ht="15" hidden="false" customHeight="true" outlineLevel="0" collapsed="false">
      <c r="B10" s="11" t="s">
        <v>247</v>
      </c>
      <c r="C10" s="61"/>
      <c r="D10" s="61"/>
      <c r="E10" s="61"/>
      <c r="F10" s="61"/>
      <c r="G10" s="61"/>
      <c r="H10" s="61"/>
      <c r="I10" s="61"/>
      <c r="J10" s="61"/>
    </row>
    <row r="11" customFormat="false" ht="15" hidden="false" customHeight="true" outlineLevel="0" collapsed="false">
      <c r="B11" s="7" t="s">
        <v>246</v>
      </c>
      <c r="C11" s="20" t="s">
        <v>34</v>
      </c>
      <c r="D11" s="14" t="n">
        <f aca="false">ProdPlan!D16*ProdPlan!D20</f>
        <v>0</v>
      </c>
      <c r="E11" s="14" t="n">
        <f aca="false">ProdPlan!E16*ProdPlan!E20</f>
        <v>0</v>
      </c>
      <c r="F11" s="14" t="n">
        <f aca="false">ProdPlan!F16*ProdPlan!F20</f>
        <v>0</v>
      </c>
      <c r="G11" s="14" t="n">
        <f aca="false">ProdPlan!G16*ProdPlan!G20</f>
        <v>0</v>
      </c>
      <c r="H11" s="14" t="n">
        <f aca="false">ProdPlan!H16*ProdPlan!H20</f>
        <v>0</v>
      </c>
      <c r="I11" s="14" t="n">
        <f aca="false">ProdPlan!I16*ProdPlan!I20</f>
        <v>0</v>
      </c>
      <c r="J11" s="14" t="n">
        <f aca="false">ProdPlan!J16*ProdPlan!J20</f>
        <v>0</v>
      </c>
    </row>
    <row r="12" customFormat="false" ht="15" hidden="false" customHeight="true" outlineLevel="0" collapsed="false">
      <c r="B12" s="29" t="s">
        <v>186</v>
      </c>
      <c r="C12" s="20" t="s">
        <v>34</v>
      </c>
      <c r="D12" s="22" t="n">
        <f aca="false">SUM(D11:D11)</f>
        <v>0</v>
      </c>
      <c r="E12" s="22" t="n">
        <f aca="false">SUM(E11:E11)</f>
        <v>0</v>
      </c>
      <c r="F12" s="22" t="n">
        <f aca="false">SUM(F11:F11)</f>
        <v>0</v>
      </c>
      <c r="G12" s="22" t="n">
        <f aca="false">SUM(G11:G11)</f>
        <v>0</v>
      </c>
      <c r="H12" s="22" t="n">
        <f aca="false">SUM(H11:H11)</f>
        <v>0</v>
      </c>
      <c r="I12" s="22" t="n">
        <f aca="false">SUM(I11:I11)</f>
        <v>0</v>
      </c>
      <c r="J12" s="22" t="n">
        <f aca="false">SUM(J11:J11)</f>
        <v>0</v>
      </c>
    </row>
    <row r="14" customFormat="false" ht="15" hidden="false" customHeight="true" outlineLevel="0" collapsed="false">
      <c r="B14" s="39" t="s">
        <v>248</v>
      </c>
      <c r="C14" s="63" t="s">
        <v>34</v>
      </c>
      <c r="D14" s="17" t="n">
        <f aca="false">D8+D12</f>
        <v>28331250</v>
      </c>
      <c r="E14" s="17" t="n">
        <f aca="false">E8+E12</f>
        <v>247405564.5</v>
      </c>
      <c r="F14" s="17" t="n">
        <f aca="false">F8+F12</f>
        <v>307919597.08125</v>
      </c>
      <c r="G14" s="17" t="n">
        <f aca="false">G8+G12</f>
        <v>318676396.5</v>
      </c>
      <c r="H14" s="17" t="n">
        <f aca="false">H8+H12</f>
        <v>325686900</v>
      </c>
      <c r="I14" s="17" t="n">
        <f aca="false">I8+I12</f>
        <v>332851480.5</v>
      </c>
      <c r="J14" s="17" t="n">
        <f aca="false">J8+J12</f>
        <v>340175451</v>
      </c>
    </row>
    <row r="15" customFormat="false" ht="15" hidden="false" customHeight="true" outlineLevel="0" collapsed="false">
      <c r="B15" s="7" t="s">
        <v>249</v>
      </c>
      <c r="C15" s="20" t="s">
        <v>235</v>
      </c>
      <c r="D15" s="15" t="n">
        <f aca="false">IFERROR(D8/D14,0)</f>
        <v>1</v>
      </c>
      <c r="E15" s="15" t="n">
        <f aca="false">IFERROR(E8/E14,0)</f>
        <v>1</v>
      </c>
      <c r="F15" s="15" t="n">
        <f aca="false">IFERROR(F8/F14,0)</f>
        <v>1</v>
      </c>
      <c r="G15" s="15" t="n">
        <f aca="false">IFERROR(G8/G14,0)</f>
        <v>1</v>
      </c>
      <c r="H15" s="15" t="n">
        <f aca="false">IFERROR(H8/H14,0)</f>
        <v>1</v>
      </c>
      <c r="I15" s="15" t="n">
        <f aca="false">IFERROR(I8/I14,0)</f>
        <v>1</v>
      </c>
      <c r="J15" s="15" t="n">
        <f aca="false">IFERROR(J8/J14,0)</f>
        <v>1</v>
      </c>
    </row>
  </sheetData>
  <mergeCells count="9"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5" min="4" style="1" width="15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42"/>
  </cols>
  <sheetData>
    <row r="2" customFormat="false" ht="15" hidden="false" customHeight="true" outlineLevel="0" collapsed="false">
      <c r="B2" s="3" t="s">
        <v>250</v>
      </c>
      <c r="G2" s="52" t="s">
        <v>251</v>
      </c>
    </row>
    <row r="3" customFormat="false" ht="15" hidden="false" customHeight="true" outlineLevel="0" collapsed="false">
      <c r="B3" s="53" t="s">
        <v>252</v>
      </c>
    </row>
    <row r="5" customFormat="false" ht="30" hidden="false" customHeight="true" outlineLevel="0" collapsed="false">
      <c r="B5" s="19" t="s">
        <v>253</v>
      </c>
      <c r="C5" s="19" t="s">
        <v>45</v>
      </c>
      <c r="D5" s="19" t="s">
        <v>254</v>
      </c>
      <c r="E5" s="19" t="s">
        <v>255</v>
      </c>
      <c r="F5" s="19" t="s">
        <v>256</v>
      </c>
      <c r="G5" s="19" t="s">
        <v>257</v>
      </c>
      <c r="H5" s="19" t="s">
        <v>258</v>
      </c>
    </row>
    <row r="6" customFormat="false" ht="15" hidden="false" customHeight="true" outlineLevel="0" collapsed="false">
      <c r="B6" s="11" t="s">
        <v>259</v>
      </c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B7" s="7" t="s">
        <v>260</v>
      </c>
      <c r="C7" s="20" t="s">
        <v>232</v>
      </c>
      <c r="D7" s="30" t="n">
        <f aca="false">IFERROR(F7/E7,0)</f>
        <v>51900.12854645</v>
      </c>
      <c r="E7" s="62" t="n">
        <v>5000</v>
      </c>
      <c r="F7" s="14" t="n">
        <v>259500642.73225</v>
      </c>
      <c r="G7" s="15" t="n">
        <f aca="false">IFERROR(F7/$F$24,0)</f>
        <v>0.978119226650116</v>
      </c>
      <c r="H7" s="64" t="s">
        <v>261</v>
      </c>
    </row>
    <row r="8" customFormat="false" ht="15" hidden="false" customHeight="true" outlineLevel="0" collapsed="false">
      <c r="B8" s="26" t="s">
        <v>262</v>
      </c>
      <c r="C8" s="13"/>
      <c r="D8" s="13"/>
      <c r="E8" s="13"/>
      <c r="F8" s="22" t="n">
        <f aca="false">SUM(F7:F7)</f>
        <v>259500642.73225</v>
      </c>
      <c r="G8" s="15" t="n">
        <f aca="false">IFERROR(F8/$F$24,0)</f>
        <v>0.978119226650116</v>
      </c>
      <c r="H8" s="13"/>
    </row>
    <row r="10" customFormat="false" ht="15" hidden="false" customHeight="true" outlineLevel="0" collapsed="false">
      <c r="B10" s="11" t="s">
        <v>263</v>
      </c>
      <c r="C10" s="11"/>
      <c r="D10" s="11"/>
      <c r="E10" s="11"/>
      <c r="F10" s="11"/>
      <c r="G10" s="11"/>
      <c r="H10" s="11"/>
    </row>
    <row r="11" customFormat="false" ht="15" hidden="false" customHeight="true" outlineLevel="0" collapsed="false">
      <c r="B11" s="7" t="s">
        <v>264</v>
      </c>
      <c r="C11" s="20" t="s">
        <v>232</v>
      </c>
      <c r="D11" s="30" t="n">
        <f aca="false">IFERROR(F11/E11,0)</f>
        <v>211.573495816644</v>
      </c>
      <c r="E11" s="62" t="n">
        <v>449.61</v>
      </c>
      <c r="F11" s="14" t="n">
        <v>95125.5594541212</v>
      </c>
      <c r="G11" s="15" t="n">
        <f aca="false">IFERROR(F11/$F$24,0)</f>
        <v>0.000358550705956928</v>
      </c>
      <c r="H11" s="64" t="s">
        <v>265</v>
      </c>
    </row>
    <row r="12" customFormat="false" ht="15" hidden="false" customHeight="true" outlineLevel="0" collapsed="false">
      <c r="B12" s="7" t="s">
        <v>266</v>
      </c>
      <c r="C12" s="20" t="s">
        <v>232</v>
      </c>
      <c r="D12" s="30" t="n">
        <f aca="false">IFERROR(F12/E12,0)</f>
        <v>65.6444551752533</v>
      </c>
      <c r="E12" s="62" t="n">
        <v>9800</v>
      </c>
      <c r="F12" s="14" t="n">
        <v>643315.660717482</v>
      </c>
      <c r="G12" s="15" t="n">
        <f aca="false">IFERROR(F12/$F$24,0)</f>
        <v>0.00242480870154196</v>
      </c>
      <c r="H12" s="64" t="s">
        <v>265</v>
      </c>
    </row>
    <row r="13" customFormat="false" ht="15" hidden="false" customHeight="true" outlineLevel="0" collapsed="false">
      <c r="B13" s="7" t="s">
        <v>267</v>
      </c>
      <c r="C13" s="20" t="s">
        <v>232</v>
      </c>
      <c r="D13" s="30" t="n">
        <f aca="false">IFERROR(F13/E13,0)</f>
        <v>998.834695652235</v>
      </c>
      <c r="E13" s="62" t="n">
        <v>2000</v>
      </c>
      <c r="F13" s="14" t="n">
        <v>1997669.39130447</v>
      </c>
      <c r="G13" s="15" t="n">
        <f aca="false">IFERROR(F13/$F$24,0)</f>
        <v>0.00752968786339928</v>
      </c>
      <c r="H13" s="64" t="s">
        <v>265</v>
      </c>
    </row>
    <row r="14" customFormat="false" ht="15" hidden="false" customHeight="true" outlineLevel="0" collapsed="false">
      <c r="B14" s="7" t="s">
        <v>268</v>
      </c>
      <c r="C14" s="20" t="s">
        <v>232</v>
      </c>
      <c r="D14" s="30" t="n">
        <f aca="false">IFERROR(F14/E14,0)</f>
        <v>493.614850250894</v>
      </c>
      <c r="E14" s="62" t="n">
        <v>3769.4</v>
      </c>
      <c r="F14" s="14" t="n">
        <v>1860631.81653572</v>
      </c>
      <c r="G14" s="15" t="n">
        <f aca="false">IFERROR(F14/$F$24,0)</f>
        <v>0.00701316087046572</v>
      </c>
      <c r="H14" s="64" t="s">
        <v>265</v>
      </c>
    </row>
    <row r="15" customFormat="false" ht="15" hidden="false" customHeight="true" outlineLevel="0" collapsed="false">
      <c r="B15" s="7" t="s">
        <v>269</v>
      </c>
      <c r="C15" s="20" t="s">
        <v>232</v>
      </c>
      <c r="D15" s="30" t="n">
        <f aca="false">IFERROR(F15/E15,0)</f>
        <v>947.522077959676</v>
      </c>
      <c r="E15" s="62" t="n">
        <v>163.5</v>
      </c>
      <c r="F15" s="14" t="n">
        <v>154919.859746407</v>
      </c>
      <c r="G15" s="15" t="n">
        <f aca="false">IFERROR(F15/$F$24,0)</f>
        <v>0.000583929549508851</v>
      </c>
      <c r="H15" s="64" t="s">
        <v>265</v>
      </c>
    </row>
    <row r="16" customFormat="false" ht="15" hidden="false" customHeight="true" outlineLevel="0" collapsed="false">
      <c r="B16" s="7" t="s">
        <v>270</v>
      </c>
      <c r="C16" s="20" t="s">
        <v>232</v>
      </c>
      <c r="D16" s="30" t="n">
        <f aca="false">IFERROR(F16/E16,0)</f>
        <v>451.48272768016</v>
      </c>
      <c r="E16" s="62" t="n">
        <v>2098.19</v>
      </c>
      <c r="F16" s="14" t="n">
        <v>947296.544391234</v>
      </c>
      <c r="G16" s="15" t="n">
        <f aca="false">IFERROR(F16/$F$24,0)</f>
        <v>0.00357058446427166</v>
      </c>
      <c r="H16" s="64" t="s">
        <v>265</v>
      </c>
    </row>
    <row r="17" customFormat="false" ht="15" hidden="false" customHeight="true" outlineLevel="0" collapsed="false">
      <c r="B17" s="7" t="s">
        <v>271</v>
      </c>
      <c r="C17" s="20" t="s">
        <v>232</v>
      </c>
      <c r="D17" s="30" t="n">
        <f aca="false">IFERROR(F17/E17,0)</f>
        <v>381.587912097875</v>
      </c>
      <c r="E17" s="62" t="n">
        <v>5.99</v>
      </c>
      <c r="F17" s="14" t="n">
        <v>2285.71159346627</v>
      </c>
      <c r="G17" s="15" t="n">
        <f aca="false">IFERROR(F17/$F$24,0)</f>
        <v>8.61538697017103E-006</v>
      </c>
      <c r="H17" s="64" t="s">
        <v>265</v>
      </c>
    </row>
    <row r="18" customFormat="false" ht="15" hidden="false" customHeight="true" outlineLevel="0" collapsed="false">
      <c r="B18" s="7" t="s">
        <v>272</v>
      </c>
      <c r="C18" s="20" t="s">
        <v>232</v>
      </c>
      <c r="D18" s="30" t="n">
        <f aca="false">IFERROR(F18/E18,0)</f>
        <v>213.462544886436</v>
      </c>
      <c r="E18" s="62" t="n">
        <v>6.79</v>
      </c>
      <c r="F18" s="14" t="n">
        <v>1449.4106797789</v>
      </c>
      <c r="G18" s="15" t="n">
        <f aca="false">IFERROR(F18/$F$24,0)</f>
        <v>5.46317125952756E-006</v>
      </c>
      <c r="H18" s="64" t="s">
        <v>265</v>
      </c>
    </row>
    <row r="19" customFormat="false" ht="15" hidden="false" customHeight="true" outlineLevel="0" collapsed="false">
      <c r="B19" s="7" t="s">
        <v>273</v>
      </c>
      <c r="C19" s="20" t="s">
        <v>232</v>
      </c>
      <c r="D19" s="30" t="n">
        <f aca="false">IFERROR(F19/E19,0)</f>
        <v>965.304074663435</v>
      </c>
      <c r="E19" s="62" t="n">
        <v>19.33</v>
      </c>
      <c r="F19" s="14" t="n">
        <v>18659.3277632442</v>
      </c>
      <c r="G19" s="15" t="n">
        <f aca="false">IFERROR(F19/$F$24,0)</f>
        <v>7.03314144020317E-005</v>
      </c>
      <c r="H19" s="64" t="s">
        <v>265</v>
      </c>
    </row>
    <row r="20" customFormat="false" ht="15" hidden="false" customHeight="true" outlineLevel="0" collapsed="false">
      <c r="B20" s="7" t="s">
        <v>274</v>
      </c>
      <c r="C20" s="20" t="s">
        <v>275</v>
      </c>
      <c r="D20" s="30" t="n">
        <f aca="false">IFERROR(F20/E20,0)</f>
        <v>14.6401302908838</v>
      </c>
      <c r="E20" s="62" t="n">
        <v>4000</v>
      </c>
      <c r="F20" s="14" t="n">
        <v>58560.5211635353</v>
      </c>
      <c r="G20" s="15" t="n">
        <f aca="false">IFERROR(F20/$F$24,0)</f>
        <v>0.000220728438548821</v>
      </c>
      <c r="H20" s="64" t="s">
        <v>265</v>
      </c>
    </row>
    <row r="21" customFormat="false" ht="15" hidden="false" customHeight="true" outlineLevel="0" collapsed="false">
      <c r="B21" s="7" t="s">
        <v>276</v>
      </c>
      <c r="C21" s="20" t="s">
        <v>277</v>
      </c>
      <c r="D21" s="30" t="n">
        <f aca="false">IFERROR(F21/E21,0)</f>
        <v>0.236974459201518</v>
      </c>
      <c r="E21" s="62" t="n">
        <v>106260</v>
      </c>
      <c r="F21" s="14" t="n">
        <v>25180.9060347533</v>
      </c>
      <c r="G21" s="15" t="n">
        <f aca="false">IFERROR(F21/$F$24,0)</f>
        <v>9.49127835589796E-005</v>
      </c>
      <c r="H21" s="64" t="s">
        <v>265</v>
      </c>
    </row>
    <row r="22" customFormat="false" ht="15" hidden="false" customHeight="true" outlineLevel="0" collapsed="false">
      <c r="B22" s="26" t="s">
        <v>278</v>
      </c>
      <c r="C22" s="13"/>
      <c r="D22" s="13"/>
      <c r="E22" s="13"/>
      <c r="F22" s="22" t="n">
        <f aca="false">SUM(F11:F21)</f>
        <v>5805094.70938421</v>
      </c>
      <c r="G22" s="15" t="n">
        <f aca="false">IFERROR(F22/$F$24,0)</f>
        <v>0.0218807733498839</v>
      </c>
      <c r="H22" s="13"/>
    </row>
    <row r="24" customFormat="false" ht="15" hidden="false" customHeight="true" outlineLevel="0" collapsed="false">
      <c r="B24" s="16" t="s">
        <v>279</v>
      </c>
      <c r="C24" s="65"/>
      <c r="D24" s="65"/>
      <c r="E24" s="65"/>
      <c r="F24" s="17" t="n">
        <f aca="false">F8+F22</f>
        <v>265305737.441634</v>
      </c>
      <c r="G24" s="15" t="n">
        <f aca="false">IFERROR(F24/$F$24,0)</f>
        <v>1</v>
      </c>
      <c r="H24" s="65"/>
    </row>
    <row r="26" customFormat="false" ht="15" hidden="false" customHeight="true" outlineLevel="0" collapsed="false">
      <c r="B26" s="11" t="s">
        <v>280</v>
      </c>
      <c r="C26" s="11"/>
      <c r="D26" s="11"/>
      <c r="E26" s="11"/>
      <c r="F26" s="11"/>
      <c r="G26" s="11"/>
      <c r="H26" s="11"/>
    </row>
    <row r="27" customFormat="false" ht="30" hidden="false" customHeight="true" outlineLevel="0" collapsed="false">
      <c r="B27" s="19" t="s">
        <v>281</v>
      </c>
      <c r="C27" s="19"/>
      <c r="D27" s="19"/>
      <c r="E27" s="19"/>
      <c r="F27" s="19" t="s">
        <v>256</v>
      </c>
      <c r="G27" s="19"/>
      <c r="H27" s="19" t="s">
        <v>282</v>
      </c>
    </row>
    <row r="28" customFormat="false" ht="15" hidden="false" customHeight="true" outlineLevel="0" collapsed="false">
      <c r="B28" s="13" t="s">
        <v>283</v>
      </c>
      <c r="C28" s="13"/>
      <c r="D28" s="13"/>
      <c r="E28" s="13"/>
      <c r="F28" s="14" t="n">
        <v>945456.722527941</v>
      </c>
      <c r="G28" s="13"/>
      <c r="H28" s="66" t="s">
        <v>284</v>
      </c>
    </row>
    <row r="29" customFormat="false" ht="23.25" hidden="false" customHeight="true" outlineLevel="0" collapsed="false">
      <c r="B29" s="13" t="s">
        <v>285</v>
      </c>
      <c r="C29" s="13"/>
      <c r="D29" s="13"/>
      <c r="E29" s="13"/>
      <c r="F29" s="14" t="n">
        <v>617586.499460136</v>
      </c>
      <c r="G29" s="13"/>
      <c r="H29" s="66" t="s">
        <v>286</v>
      </c>
    </row>
    <row r="30" customFormat="false" ht="15" hidden="false" customHeight="true" outlineLevel="0" collapsed="false">
      <c r="B30" s="13" t="s">
        <v>287</v>
      </c>
      <c r="C30" s="13"/>
      <c r="D30" s="13"/>
      <c r="E30" s="13"/>
      <c r="F30" s="14" t="n">
        <f aca="false">CostSold!F19</f>
        <v>0</v>
      </c>
      <c r="G30" s="13"/>
      <c r="H30" s="13"/>
    </row>
    <row r="31" customFormat="false" ht="15" hidden="false" customHeight="true" outlineLevel="0" collapsed="false">
      <c r="B31" s="26" t="s">
        <v>288</v>
      </c>
      <c r="C31" s="13"/>
      <c r="D31" s="13"/>
      <c r="E31" s="13"/>
      <c r="F31" s="22" t="n">
        <f aca="false">SUM(F28:F30)</f>
        <v>1563043.22198808</v>
      </c>
      <c r="G31" s="13"/>
      <c r="H31" s="13"/>
    </row>
  </sheetData>
  <mergeCells count="3">
    <mergeCell ref="B6:H6"/>
    <mergeCell ref="B10:H10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3" min="3" style="1" width="13"/>
    <col collapsed="false" customWidth="true" hidden="false" outlineLevel="0" max="7" min="4" style="1" width="16"/>
    <col collapsed="false" customWidth="true" hidden="false" outlineLevel="0" max="8" min="8" style="1" width="30"/>
  </cols>
  <sheetData>
    <row r="2" customFormat="false" ht="15" hidden="false" customHeight="true" outlineLevel="0" collapsed="false">
      <c r="B2" s="3" t="s">
        <v>289</v>
      </c>
      <c r="G2" s="52" t="s">
        <v>290</v>
      </c>
    </row>
    <row r="3" customFormat="false" ht="15" hidden="false" customHeight="true" outlineLevel="0" collapsed="false">
      <c r="B3" s="53" t="s">
        <v>291</v>
      </c>
    </row>
    <row r="5" customFormat="false" ht="30" hidden="false" customHeight="true" outlineLevel="0" collapsed="false">
      <c r="B5" s="19" t="s">
        <v>292</v>
      </c>
      <c r="C5" s="19" t="s">
        <v>45</v>
      </c>
      <c r="D5" s="19" t="s">
        <v>255</v>
      </c>
      <c r="E5" s="19" t="s">
        <v>254</v>
      </c>
      <c r="F5" s="19" t="s">
        <v>256</v>
      </c>
    </row>
    <row r="6" customFormat="false" ht="15" hidden="false" customHeight="true" outlineLevel="0" collapsed="false">
      <c r="B6" s="7" t="s">
        <v>293</v>
      </c>
      <c r="C6" s="20" t="s">
        <v>294</v>
      </c>
      <c r="D6" s="62" t="n">
        <v>8388.832</v>
      </c>
      <c r="E6" s="67" t="n">
        <f aca="false">IFERROR(F6/D6,0)</f>
        <v>112.587324559571</v>
      </c>
      <c r="F6" s="14" t="n">
        <v>944476.151059716</v>
      </c>
    </row>
    <row r="7" customFormat="false" ht="15" hidden="false" customHeight="true" outlineLevel="0" collapsed="false">
      <c r="B7" s="7" t="s">
        <v>295</v>
      </c>
      <c r="C7" s="20" t="s">
        <v>296</v>
      </c>
      <c r="D7" s="62" t="n">
        <v>172529.28</v>
      </c>
      <c r="E7" s="67" t="n">
        <f aca="false">IFERROR(F7/D7,0)</f>
        <v>0.63283143838014</v>
      </c>
      <c r="F7" s="14" t="n">
        <v>109181.95242509</v>
      </c>
    </row>
    <row r="8" customFormat="false" ht="15" hidden="false" customHeight="true" outlineLevel="0" collapsed="false">
      <c r="B8" s="7" t="s">
        <v>297</v>
      </c>
      <c r="C8" s="20" t="s">
        <v>296</v>
      </c>
      <c r="D8" s="62" t="n">
        <v>4675367.2</v>
      </c>
      <c r="E8" s="67" t="n">
        <f aca="false">IFERROR(F8/D8,0)</f>
        <v>0.188904906979146</v>
      </c>
      <c r="F8" s="14" t="n">
        <v>883199.806009351</v>
      </c>
    </row>
    <row r="9" customFormat="false" ht="15" hidden="false" customHeight="true" outlineLevel="0" collapsed="false">
      <c r="B9" s="7" t="s">
        <v>298</v>
      </c>
      <c r="C9" s="20" t="s">
        <v>296</v>
      </c>
      <c r="D9" s="62" t="n">
        <v>18463.47195</v>
      </c>
      <c r="E9" s="67" t="n">
        <f aca="false">IFERROR(F9/D9,0)</f>
        <v>0.480292439590273</v>
      </c>
      <c r="F9" s="14" t="n">
        <v>8867.86598617208</v>
      </c>
    </row>
    <row r="10" customFormat="false" ht="15" hidden="false" customHeight="true" outlineLevel="0" collapsed="false">
      <c r="B10" s="13" t="s">
        <v>299</v>
      </c>
      <c r="C10" s="13"/>
      <c r="D10" s="13"/>
      <c r="E10" s="13"/>
      <c r="F10" s="14" t="n">
        <v>236119.037764929</v>
      </c>
    </row>
    <row r="11" customFormat="false" ht="15" hidden="false" customHeight="true" outlineLevel="0" collapsed="false">
      <c r="B11" s="13" t="s">
        <v>300</v>
      </c>
      <c r="C11" s="13"/>
      <c r="D11" s="13"/>
      <c r="E11" s="13"/>
      <c r="F11" s="14" t="n">
        <v>220799.951502338</v>
      </c>
    </row>
    <row r="12" customFormat="false" ht="15" hidden="false" customHeight="true" outlineLevel="0" collapsed="false">
      <c r="B12" s="13" t="s">
        <v>301</v>
      </c>
      <c r="C12" s="13"/>
      <c r="D12" s="13"/>
      <c r="E12" s="13"/>
      <c r="F12" s="14" t="n">
        <v>27295.4881062724</v>
      </c>
    </row>
    <row r="13" customFormat="false" ht="15" hidden="false" customHeight="true" outlineLevel="0" collapsed="false">
      <c r="B13" s="11" t="s">
        <v>302</v>
      </c>
      <c r="C13" s="61"/>
      <c r="D13" s="61"/>
      <c r="E13" s="61"/>
      <c r="F13" s="49" t="n">
        <f aca="false">SUM(F6:F12)</f>
        <v>2429940.25285387</v>
      </c>
    </row>
    <row r="15" customFormat="false" ht="15" hidden="false" customHeight="true" outlineLevel="0" collapsed="false">
      <c r="B15" s="34" t="s">
        <v>303</v>
      </c>
      <c r="F15" s="68" t="s">
        <v>304</v>
      </c>
      <c r="G15" s="15" t="n">
        <v>0.12</v>
      </c>
    </row>
    <row r="16" customFormat="false" ht="42" hidden="false" customHeight="true" outlineLevel="0" collapsed="false">
      <c r="B16" s="19" t="s">
        <v>44</v>
      </c>
      <c r="C16" s="19" t="s">
        <v>305</v>
      </c>
      <c r="D16" s="19" t="s">
        <v>306</v>
      </c>
      <c r="E16" s="19" t="s">
        <v>307</v>
      </c>
      <c r="F16" s="19" t="s">
        <v>308</v>
      </c>
      <c r="G16" s="19" t="s">
        <v>309</v>
      </c>
    </row>
    <row r="17" customFormat="false" ht="15" hidden="false" customHeight="true" outlineLevel="0" collapsed="false">
      <c r="B17" s="11" t="s">
        <v>310</v>
      </c>
      <c r="C17" s="61"/>
      <c r="D17" s="61"/>
      <c r="E17" s="61"/>
      <c r="F17" s="61"/>
      <c r="G17" s="61"/>
    </row>
    <row r="18" customFormat="false" ht="15" hidden="false" customHeight="true" outlineLevel="0" collapsed="false">
      <c r="B18" s="7" t="s">
        <v>311</v>
      </c>
      <c r="C18" s="62" t="n">
        <v>1</v>
      </c>
      <c r="D18" s="14" t="n">
        <v>17835000</v>
      </c>
      <c r="E18" s="14" t="n">
        <f aca="false">IFERROR(F18/C18/12,0)</f>
        <v>1609.00755262678</v>
      </c>
      <c r="F18" s="14" t="n">
        <v>19308.0906315214</v>
      </c>
      <c r="G18" s="14" t="n">
        <f aca="false">F18*$G$15</f>
        <v>2316.97087578257</v>
      </c>
    </row>
    <row r="19" customFormat="false" ht="15" hidden="false" customHeight="true" outlineLevel="0" collapsed="false">
      <c r="B19" s="7" t="s">
        <v>312</v>
      </c>
      <c r="C19" s="62" t="n">
        <v>16</v>
      </c>
      <c r="D19" s="14" t="n">
        <v>15457000</v>
      </c>
      <c r="E19" s="14" t="n">
        <f aca="false">IFERROR(F19/C19/12,0)</f>
        <v>1394.47321227655</v>
      </c>
      <c r="F19" s="14" t="n">
        <v>267738.856757097</v>
      </c>
      <c r="G19" s="14" t="n">
        <f aca="false">F19*$G$15</f>
        <v>32128.6628108516</v>
      </c>
    </row>
    <row r="20" customFormat="false" ht="15" hidden="false" customHeight="true" outlineLevel="0" collapsed="false">
      <c r="B20" s="7" t="s">
        <v>313</v>
      </c>
      <c r="C20" s="62" t="n">
        <v>1</v>
      </c>
      <c r="D20" s="14" t="n">
        <v>17835000</v>
      </c>
      <c r="E20" s="14" t="n">
        <f aca="false">IFERROR(F20/C20/12,0)</f>
        <v>1609.00755262678</v>
      </c>
      <c r="F20" s="14" t="n">
        <v>19308.0906315214</v>
      </c>
      <c r="G20" s="14" t="n">
        <f aca="false">F20*$G$15</f>
        <v>2316.97087578257</v>
      </c>
    </row>
    <row r="21" customFormat="false" ht="15" hidden="false" customHeight="true" outlineLevel="0" collapsed="false">
      <c r="B21" s="7" t="s">
        <v>314</v>
      </c>
      <c r="C21" s="62" t="n">
        <v>4</v>
      </c>
      <c r="D21" s="14" t="n">
        <v>15457000</v>
      </c>
      <c r="E21" s="14" t="n">
        <f aca="false">IFERROR(F21/C21/12,0)</f>
        <v>1394.47321227655</v>
      </c>
      <c r="F21" s="14" t="n">
        <v>66934.7141892743</v>
      </c>
      <c r="G21" s="14" t="n">
        <f aca="false">F21*$G$15</f>
        <v>8032.16570271292</v>
      </c>
    </row>
    <row r="22" customFormat="false" ht="15" hidden="false" customHeight="true" outlineLevel="0" collapsed="false">
      <c r="B22" s="7" t="s">
        <v>315</v>
      </c>
      <c r="C22" s="62" t="n">
        <v>8</v>
      </c>
      <c r="D22" s="14" t="n">
        <v>15457000</v>
      </c>
      <c r="E22" s="14" t="n">
        <f aca="false">IFERROR(F22/C22/12,0)</f>
        <v>1394.47321227655</v>
      </c>
      <c r="F22" s="14" t="n">
        <v>133869.428378549</v>
      </c>
      <c r="G22" s="14" t="n">
        <f aca="false">F22*$G$15</f>
        <v>16064.3314054259</v>
      </c>
    </row>
    <row r="23" customFormat="false" ht="15" hidden="false" customHeight="true" outlineLevel="0" collapsed="false">
      <c r="B23" s="7" t="s">
        <v>316</v>
      </c>
      <c r="C23" s="62" t="n">
        <v>4</v>
      </c>
      <c r="D23" s="14" t="n">
        <v>15457000</v>
      </c>
      <c r="E23" s="14" t="n">
        <f aca="false">IFERROR(F23/C23/12,0)</f>
        <v>1394.47321227655</v>
      </c>
      <c r="F23" s="14" t="n">
        <v>66934.7141892743</v>
      </c>
      <c r="G23" s="14" t="n">
        <f aca="false">F23*$G$15</f>
        <v>8032.16570271292</v>
      </c>
    </row>
    <row r="24" customFormat="false" ht="15" hidden="false" customHeight="true" outlineLevel="0" collapsed="false">
      <c r="B24" s="7" t="s">
        <v>317</v>
      </c>
      <c r="C24" s="62" t="n">
        <v>1</v>
      </c>
      <c r="D24" s="14" t="n">
        <v>17835000</v>
      </c>
      <c r="E24" s="14" t="n">
        <f aca="false">IFERROR(F24/C24/12,0)</f>
        <v>1609.00755262678</v>
      </c>
      <c r="F24" s="14" t="n">
        <v>19308.0906315214</v>
      </c>
      <c r="G24" s="14" t="n">
        <f aca="false">F24*$G$15</f>
        <v>2316.97087578257</v>
      </c>
    </row>
    <row r="25" customFormat="false" ht="15" hidden="false" customHeight="true" outlineLevel="0" collapsed="false">
      <c r="B25" s="7" t="s">
        <v>318</v>
      </c>
      <c r="C25" s="62" t="n">
        <v>4</v>
      </c>
      <c r="D25" s="14" t="n">
        <v>15457000</v>
      </c>
      <c r="E25" s="14" t="n">
        <f aca="false">IFERROR(F25/C25/12,0)</f>
        <v>1394.47321227655</v>
      </c>
      <c r="F25" s="14" t="n">
        <v>66934.7141892743</v>
      </c>
      <c r="G25" s="14" t="n">
        <f aca="false">F25*$G$15</f>
        <v>8032.16570271292</v>
      </c>
    </row>
    <row r="26" customFormat="false" ht="15" hidden="false" customHeight="true" outlineLevel="0" collapsed="false">
      <c r="B26" s="7" t="s">
        <v>319</v>
      </c>
      <c r="C26" s="62" t="n">
        <v>4</v>
      </c>
      <c r="D26" s="14" t="n">
        <v>15457000</v>
      </c>
      <c r="E26" s="14" t="n">
        <f aca="false">IFERROR(F26/C26/12,0)</f>
        <v>1394.47321227655</v>
      </c>
      <c r="F26" s="14" t="n">
        <v>66934.7141892743</v>
      </c>
      <c r="G26" s="14" t="n">
        <f aca="false">F26*$G$15</f>
        <v>8032.16570271292</v>
      </c>
    </row>
    <row r="27" customFormat="false" ht="15" hidden="false" customHeight="true" outlineLevel="0" collapsed="false">
      <c r="B27" s="7" t="s">
        <v>320</v>
      </c>
      <c r="C27" s="62" t="n">
        <v>8</v>
      </c>
      <c r="D27" s="14" t="n">
        <v>15457000</v>
      </c>
      <c r="E27" s="14" t="n">
        <f aca="false">IFERROR(F27/C27/12,0)</f>
        <v>1394.47321227655</v>
      </c>
      <c r="F27" s="14" t="n">
        <v>133869.428378549</v>
      </c>
      <c r="G27" s="14" t="n">
        <f aca="false">F27*$G$15</f>
        <v>16064.3314054259</v>
      </c>
    </row>
    <row r="28" customFormat="false" ht="15" hidden="false" customHeight="true" outlineLevel="0" collapsed="false">
      <c r="B28" s="7" t="s">
        <v>321</v>
      </c>
      <c r="C28" s="62" t="n">
        <v>1</v>
      </c>
      <c r="D28" s="14" t="n">
        <v>9512000</v>
      </c>
      <c r="E28" s="14" t="n">
        <f aca="false">IFERROR(F28/C28/12,0)</f>
        <v>858.13736140095</v>
      </c>
      <c r="F28" s="14" t="n">
        <v>10297.6483368114</v>
      </c>
      <c r="G28" s="14" t="n">
        <f aca="false">F28*$G$15</f>
        <v>1235.71780041737</v>
      </c>
    </row>
    <row r="29" customFormat="false" ht="15" hidden="false" customHeight="true" outlineLevel="0" collapsed="false">
      <c r="B29" s="7" t="s">
        <v>322</v>
      </c>
      <c r="C29" s="62" t="n">
        <v>8</v>
      </c>
      <c r="D29" s="14" t="n">
        <v>11592750</v>
      </c>
      <c r="E29" s="14" t="n">
        <f aca="false">IFERROR(F29/C29/12,0)</f>
        <v>1045.85490920742</v>
      </c>
      <c r="F29" s="14" t="n">
        <v>100402.071283912</v>
      </c>
      <c r="G29" s="14" t="n">
        <f aca="false">F29*$G$15</f>
        <v>12048.2485540694</v>
      </c>
    </row>
    <row r="30" customFormat="false" ht="15" hidden="false" customHeight="true" outlineLevel="0" collapsed="false">
      <c r="B30" s="7" t="s">
        <v>323</v>
      </c>
      <c r="C30" s="62" t="n">
        <v>2</v>
      </c>
      <c r="D30" s="14" t="n">
        <v>7134000</v>
      </c>
      <c r="E30" s="14" t="n">
        <f aca="false">IFERROR(F30/C30/12,0)</f>
        <v>643.603021050717</v>
      </c>
      <c r="F30" s="14" t="n">
        <v>15446.4725052172</v>
      </c>
      <c r="G30" s="14" t="n">
        <f aca="false">F30*$G$15</f>
        <v>1853.57670062606</v>
      </c>
    </row>
    <row r="31" customFormat="false" ht="15" hidden="false" customHeight="true" outlineLevel="0" collapsed="false">
      <c r="B31" s="7" t="s">
        <v>324</v>
      </c>
      <c r="C31" s="62" t="n">
        <v>8</v>
      </c>
      <c r="D31" s="14" t="n">
        <v>11592750</v>
      </c>
      <c r="E31" s="14" t="n">
        <f aca="false">IFERROR(F31/C31/12,0)</f>
        <v>1045.85490920742</v>
      </c>
      <c r="F31" s="14" t="n">
        <v>100402.071283912</v>
      </c>
      <c r="G31" s="14" t="n">
        <f aca="false">F31*$G$15</f>
        <v>12048.2485540694</v>
      </c>
    </row>
    <row r="32" customFormat="false" ht="15" hidden="false" customHeight="true" outlineLevel="0" collapsed="false">
      <c r="B32" s="7" t="s">
        <v>325</v>
      </c>
      <c r="C32" s="62" t="n">
        <v>8</v>
      </c>
      <c r="D32" s="14" t="n">
        <v>7134000</v>
      </c>
      <c r="E32" s="14" t="n">
        <f aca="false">IFERROR(F32/C32/12,0)</f>
        <v>643.603021050715</v>
      </c>
      <c r="F32" s="14" t="n">
        <v>61785.8900208686</v>
      </c>
      <c r="G32" s="14" t="n">
        <f aca="false">F32*$G$15</f>
        <v>7414.30680250423</v>
      </c>
    </row>
    <row r="33" customFormat="false" ht="15" hidden="false" customHeight="true" outlineLevel="0" collapsed="false">
      <c r="B33" s="7" t="s">
        <v>326</v>
      </c>
      <c r="C33" s="62" t="n">
        <v>4</v>
      </c>
      <c r="D33" s="14" t="n">
        <v>11592750</v>
      </c>
      <c r="E33" s="14" t="n">
        <f aca="false">IFERROR(F33/C33/12,0)</f>
        <v>1045.85490920741</v>
      </c>
      <c r="F33" s="14" t="n">
        <v>50201.0356419558</v>
      </c>
      <c r="G33" s="14" t="n">
        <f aca="false">F33*$G$15</f>
        <v>6024.1242770347</v>
      </c>
    </row>
    <row r="34" customFormat="false" ht="15" hidden="false" customHeight="true" outlineLevel="0" collapsed="false">
      <c r="B34" s="7" t="s">
        <v>327</v>
      </c>
      <c r="C34" s="62" t="n">
        <v>12</v>
      </c>
      <c r="D34" s="14" t="n">
        <v>11592750</v>
      </c>
      <c r="E34" s="14" t="n">
        <f aca="false">IFERROR(F34/C34/12,0)</f>
        <v>1045.85490920741</v>
      </c>
      <c r="F34" s="14" t="n">
        <v>150603.106925867</v>
      </c>
      <c r="G34" s="14" t="n">
        <f aca="false">F34*$G$15</f>
        <v>18072.372831104</v>
      </c>
    </row>
    <row r="35" customFormat="false" ht="15" hidden="false" customHeight="true" outlineLevel="0" collapsed="false">
      <c r="B35" s="7" t="s">
        <v>328</v>
      </c>
      <c r="C35" s="62" t="n">
        <v>10</v>
      </c>
      <c r="D35" s="14" t="n">
        <v>7134000</v>
      </c>
      <c r="E35" s="14" t="n">
        <f aca="false">IFERROR(F35/C35/12,0)</f>
        <v>643.603021050715</v>
      </c>
      <c r="F35" s="14" t="n">
        <v>77232.3625260858</v>
      </c>
      <c r="G35" s="14" t="n">
        <f aca="false">F35*$G$15</f>
        <v>9267.8835031303</v>
      </c>
    </row>
    <row r="36" customFormat="false" ht="15" hidden="false" customHeight="true" outlineLevel="0" collapsed="false">
      <c r="B36" s="7" t="s">
        <v>329</v>
      </c>
      <c r="C36" s="62" t="n">
        <v>4</v>
      </c>
      <c r="D36" s="14" t="n">
        <v>8917500</v>
      </c>
      <c r="E36" s="14" t="n">
        <f aca="false">IFERROR(F36/C36/12,0)</f>
        <v>804.503776313394</v>
      </c>
      <c r="F36" s="14" t="n">
        <v>38616.1812630429</v>
      </c>
      <c r="G36" s="14" t="n">
        <f aca="false">F36*$G$15</f>
        <v>4633.94175156515</v>
      </c>
    </row>
    <row r="37" customFormat="false" ht="15" hidden="false" customHeight="true" outlineLevel="0" collapsed="false">
      <c r="B37" s="7" t="s">
        <v>330</v>
      </c>
      <c r="C37" s="62" t="n">
        <v>6</v>
      </c>
      <c r="D37" s="14" t="n">
        <v>8917500</v>
      </c>
      <c r="E37" s="14" t="n">
        <f aca="false">IFERROR(F37/C37/12,0)</f>
        <v>804.503776313393</v>
      </c>
      <c r="F37" s="14" t="n">
        <v>57924.2718945643</v>
      </c>
      <c r="G37" s="14" t="n">
        <f aca="false">F37*$G$15</f>
        <v>6950.91262734772</v>
      </c>
    </row>
    <row r="38" customFormat="false" ht="15" hidden="false" customHeight="true" outlineLevel="0" collapsed="false">
      <c r="B38" s="26" t="s">
        <v>161</v>
      </c>
      <c r="C38" s="69" t="n">
        <f aca="false">SUM(C18:C37)</f>
        <v>114</v>
      </c>
      <c r="D38" s="13"/>
      <c r="E38" s="13"/>
      <c r="F38" s="22" t="n">
        <f aca="false">SUM(F18:F37)</f>
        <v>1524051.95384809</v>
      </c>
      <c r="G38" s="22" t="n">
        <f aca="false">SUM(G18:G37)</f>
        <v>182886.234461771</v>
      </c>
    </row>
    <row r="39" customFormat="false" ht="15" hidden="false" customHeight="true" outlineLevel="0" collapsed="false">
      <c r="B39" s="11" t="s">
        <v>331</v>
      </c>
      <c r="C39" s="61"/>
      <c r="D39" s="61"/>
      <c r="E39" s="61"/>
      <c r="F39" s="49" t="n">
        <f aca="false">F38+G38</f>
        <v>1706938.18830986</v>
      </c>
      <c r="G39" s="61"/>
    </row>
    <row r="41" customFormat="false" ht="15" hidden="false" customHeight="true" outlineLevel="0" collapsed="false">
      <c r="B41" s="11" t="s">
        <v>332</v>
      </c>
      <c r="C41" s="61"/>
      <c r="D41" s="61"/>
      <c r="E41" s="61"/>
      <c r="F41" s="61"/>
      <c r="G41" s="61"/>
    </row>
    <row r="42" customFormat="false" ht="15" hidden="false" customHeight="true" outlineLevel="0" collapsed="false">
      <c r="B42" s="7" t="s">
        <v>333</v>
      </c>
      <c r="C42" s="62" t="n">
        <v>1</v>
      </c>
      <c r="D42" s="14" t="n">
        <v>35670000</v>
      </c>
      <c r="E42" s="14" t="n">
        <f aca="false">IFERROR(F42/C42/12,0)</f>
        <v>3218.01510525358</v>
      </c>
      <c r="F42" s="14" t="n">
        <v>38616.1812630429</v>
      </c>
      <c r="G42" s="14" t="n">
        <f aca="false">F42*$G$15</f>
        <v>4633.94175156515</v>
      </c>
    </row>
    <row r="43" customFormat="false" ht="15" hidden="false" customHeight="true" outlineLevel="0" collapsed="false">
      <c r="B43" s="7" t="s">
        <v>334</v>
      </c>
      <c r="C43" s="62" t="n">
        <v>1</v>
      </c>
      <c r="D43" s="14" t="n">
        <v>23780000</v>
      </c>
      <c r="E43" s="14" t="n">
        <f aca="false">IFERROR(F43/C43/12,0)</f>
        <v>2145.34340350238</v>
      </c>
      <c r="F43" s="14" t="n">
        <v>25744.1208420286</v>
      </c>
      <c r="G43" s="14" t="n">
        <f aca="false">F43*$G$15</f>
        <v>3089.29450104343</v>
      </c>
    </row>
    <row r="44" customFormat="false" ht="15" hidden="false" customHeight="true" outlineLevel="0" collapsed="false">
      <c r="B44" s="7" t="s">
        <v>335</v>
      </c>
      <c r="C44" s="62" t="n">
        <v>2</v>
      </c>
      <c r="D44" s="14" t="n">
        <v>8323000</v>
      </c>
      <c r="E44" s="14" t="n">
        <f aca="false">IFERROR(F44/C44/12,0)</f>
        <v>750.870191225833</v>
      </c>
      <c r="F44" s="14" t="n">
        <v>18020.88458942</v>
      </c>
      <c r="G44" s="14" t="n">
        <f aca="false">F44*$G$15</f>
        <v>2162.5061507304</v>
      </c>
    </row>
    <row r="45" customFormat="false" ht="15" hidden="false" customHeight="true" outlineLevel="0" collapsed="false">
      <c r="B45" s="7" t="s">
        <v>336</v>
      </c>
      <c r="C45" s="62" t="n">
        <v>1</v>
      </c>
      <c r="D45" s="14" t="n">
        <v>14268000</v>
      </c>
      <c r="E45" s="14" t="n">
        <f aca="false">IFERROR(F45/C45/12,0)</f>
        <v>1287.20604210143</v>
      </c>
      <c r="F45" s="14" t="n">
        <v>15446.4725052172</v>
      </c>
      <c r="G45" s="14" t="n">
        <f aca="false">F45*$G$15</f>
        <v>1853.57670062606</v>
      </c>
    </row>
    <row r="46" customFormat="false" ht="15" hidden="false" customHeight="true" outlineLevel="0" collapsed="false">
      <c r="B46" s="7" t="s">
        <v>337</v>
      </c>
      <c r="C46" s="62" t="n">
        <v>1</v>
      </c>
      <c r="D46" s="14" t="n">
        <v>11890000</v>
      </c>
      <c r="E46" s="14" t="n">
        <f aca="false">IFERROR(F46/C46/12,0)</f>
        <v>1072.67170175119</v>
      </c>
      <c r="F46" s="14" t="n">
        <v>12872.0604210143</v>
      </c>
      <c r="G46" s="14" t="n">
        <f aca="false">F46*$G$15</f>
        <v>1544.64725052172</v>
      </c>
    </row>
    <row r="47" customFormat="false" ht="15" hidden="false" customHeight="true" outlineLevel="0" collapsed="false">
      <c r="B47" s="7" t="s">
        <v>338</v>
      </c>
      <c r="C47" s="62" t="n">
        <v>1</v>
      </c>
      <c r="D47" s="14" t="n">
        <v>8323000</v>
      </c>
      <c r="E47" s="14" t="n">
        <f aca="false">IFERROR(F47/C47/12,0)</f>
        <v>750.870191225834</v>
      </c>
      <c r="F47" s="14" t="n">
        <v>9010.44229471001</v>
      </c>
      <c r="G47" s="14" t="n">
        <f aca="false">F47*$G$15</f>
        <v>1081.2530753652</v>
      </c>
    </row>
    <row r="48" customFormat="false" ht="15" hidden="false" customHeight="true" outlineLevel="0" collapsed="false">
      <c r="B48" s="7" t="s">
        <v>339</v>
      </c>
      <c r="C48" s="62" t="n">
        <v>1</v>
      </c>
      <c r="D48" s="14" t="n">
        <v>14268000</v>
      </c>
      <c r="E48" s="14" t="n">
        <f aca="false">IFERROR(F48/C48/12,0)</f>
        <v>1287.20604210143</v>
      </c>
      <c r="F48" s="14" t="n">
        <v>15446.4725052172</v>
      </c>
      <c r="G48" s="14" t="n">
        <f aca="false">F48*$G$15</f>
        <v>1853.57670062606</v>
      </c>
    </row>
    <row r="49" customFormat="false" ht="15" hidden="false" customHeight="true" outlineLevel="0" collapsed="false">
      <c r="B49" s="7" t="s">
        <v>340</v>
      </c>
      <c r="C49" s="62" t="n">
        <v>1</v>
      </c>
      <c r="D49" s="14" t="n">
        <v>9512000</v>
      </c>
      <c r="E49" s="14" t="n">
        <f aca="false">IFERROR(F49/C49/12,0)</f>
        <v>858.13736140095</v>
      </c>
      <c r="F49" s="14" t="n">
        <v>10297.6483368114</v>
      </c>
      <c r="G49" s="14" t="n">
        <f aca="false">F49*$G$15</f>
        <v>1235.71780041737</v>
      </c>
    </row>
    <row r="50" customFormat="false" ht="15" hidden="false" customHeight="true" outlineLevel="0" collapsed="false">
      <c r="B50" s="7" t="s">
        <v>341</v>
      </c>
      <c r="C50" s="62" t="n">
        <v>1</v>
      </c>
      <c r="D50" s="14" t="n">
        <v>9512000</v>
      </c>
      <c r="E50" s="14" t="n">
        <f aca="false">IFERROR(F50/C50/12,0)</f>
        <v>858.13736140095</v>
      </c>
      <c r="F50" s="14" t="n">
        <v>10297.6483368114</v>
      </c>
      <c r="G50" s="14" t="n">
        <f aca="false">F50*$G$15</f>
        <v>1235.71780041737</v>
      </c>
    </row>
    <row r="51" customFormat="false" ht="15" hidden="false" customHeight="true" outlineLevel="0" collapsed="false">
      <c r="B51" s="7" t="s">
        <v>342</v>
      </c>
      <c r="C51" s="62" t="n">
        <v>1</v>
      </c>
      <c r="D51" s="14" t="n">
        <v>14268000</v>
      </c>
      <c r="E51" s="14" t="n">
        <f aca="false">IFERROR(F51/C51/12,0)</f>
        <v>1287.20604210143</v>
      </c>
      <c r="F51" s="14" t="n">
        <v>15446.4725052172</v>
      </c>
      <c r="G51" s="14" t="n">
        <f aca="false">F51*$G$15</f>
        <v>1853.57670062606</v>
      </c>
    </row>
    <row r="52" customFormat="false" ht="15" hidden="false" customHeight="true" outlineLevel="0" collapsed="false">
      <c r="B52" s="7" t="s">
        <v>343</v>
      </c>
      <c r="C52" s="62" t="n">
        <v>1</v>
      </c>
      <c r="D52" s="14" t="n">
        <v>9512000</v>
      </c>
      <c r="E52" s="14" t="n">
        <f aca="false">IFERROR(F52/C52/12,0)</f>
        <v>858.13736140095</v>
      </c>
      <c r="F52" s="14" t="n">
        <v>10297.6483368114</v>
      </c>
      <c r="G52" s="14" t="n">
        <f aca="false">F52*$G$15</f>
        <v>1235.71780041737</v>
      </c>
    </row>
    <row r="53" customFormat="false" ht="15" hidden="false" customHeight="true" outlineLevel="0" collapsed="false">
      <c r="B53" s="7" t="s">
        <v>344</v>
      </c>
      <c r="C53" s="62" t="n">
        <v>1</v>
      </c>
      <c r="D53" s="14" t="n">
        <v>9512000</v>
      </c>
      <c r="E53" s="14" t="n">
        <f aca="false">IFERROR(F53/C53/12,0)</f>
        <v>858.13736140095</v>
      </c>
      <c r="F53" s="14" t="n">
        <v>10297.6483368114</v>
      </c>
      <c r="G53" s="14" t="n">
        <f aca="false">F53*$G$15</f>
        <v>1235.71780041737</v>
      </c>
    </row>
    <row r="54" customFormat="false" ht="15" hidden="false" customHeight="true" outlineLevel="0" collapsed="false">
      <c r="B54" s="7" t="s">
        <v>345</v>
      </c>
      <c r="C54" s="62" t="n">
        <v>1</v>
      </c>
      <c r="D54" s="14" t="n">
        <v>17835000</v>
      </c>
      <c r="E54" s="14" t="n">
        <f aca="false">IFERROR(F54/C54/12,0)</f>
        <v>1609.00755262678</v>
      </c>
      <c r="F54" s="14" t="n">
        <v>19308.0906315214</v>
      </c>
      <c r="G54" s="14" t="n">
        <f aca="false">F54*$G$15</f>
        <v>2316.97087578257</v>
      </c>
    </row>
    <row r="55" customFormat="false" ht="15" hidden="false" customHeight="true" outlineLevel="0" collapsed="false">
      <c r="B55" s="7" t="s">
        <v>346</v>
      </c>
      <c r="C55" s="62" t="n">
        <v>2</v>
      </c>
      <c r="D55" s="14" t="n">
        <v>14268000</v>
      </c>
      <c r="E55" s="14" t="n">
        <f aca="false">IFERROR(F55/C55/12,0)</f>
        <v>1287.20604210143</v>
      </c>
      <c r="F55" s="14" t="n">
        <v>30892.9450104343</v>
      </c>
      <c r="G55" s="14" t="n">
        <f aca="false">F55*$G$15</f>
        <v>3707.15340125212</v>
      </c>
    </row>
    <row r="56" customFormat="false" ht="15" hidden="false" customHeight="true" outlineLevel="0" collapsed="false">
      <c r="B56" s="7" t="s">
        <v>347</v>
      </c>
      <c r="C56" s="62" t="n">
        <v>1</v>
      </c>
      <c r="D56" s="14" t="n">
        <v>14268000</v>
      </c>
      <c r="E56" s="14" t="n">
        <f aca="false">IFERROR(F56/C56/12,0)</f>
        <v>1287.20604210143</v>
      </c>
      <c r="F56" s="14" t="n">
        <v>15446.4725052172</v>
      </c>
      <c r="G56" s="14" t="n">
        <f aca="false">F56*$G$15</f>
        <v>1853.57670062606</v>
      </c>
    </row>
    <row r="57" customFormat="false" ht="15" hidden="false" customHeight="true" outlineLevel="0" collapsed="false">
      <c r="B57" s="7" t="s">
        <v>348</v>
      </c>
      <c r="C57" s="62" t="n">
        <v>2</v>
      </c>
      <c r="D57" s="14" t="n">
        <v>7134000</v>
      </c>
      <c r="E57" s="14" t="n">
        <f aca="false">IFERROR(F57/C57/12,0)</f>
        <v>643.603021050717</v>
      </c>
      <c r="F57" s="14" t="n">
        <v>15446.4725052172</v>
      </c>
      <c r="G57" s="14" t="n">
        <f aca="false">F57*$G$15</f>
        <v>1853.57670062606</v>
      </c>
    </row>
    <row r="58" customFormat="false" ht="15" hidden="false" customHeight="true" outlineLevel="0" collapsed="false">
      <c r="B58" s="7" t="s">
        <v>349</v>
      </c>
      <c r="C58" s="62" t="n">
        <v>5</v>
      </c>
      <c r="D58" s="14" t="n">
        <v>7134000</v>
      </c>
      <c r="E58" s="14" t="n">
        <f aca="false">IFERROR(F58/C58/12,0)</f>
        <v>643.603021050715</v>
      </c>
      <c r="F58" s="14" t="n">
        <v>38616.1812630429</v>
      </c>
      <c r="G58" s="14" t="n">
        <f aca="false">F58*$G$15</f>
        <v>4633.94175156515</v>
      </c>
    </row>
    <row r="59" customFormat="false" ht="15" hidden="false" customHeight="true" outlineLevel="0" collapsed="false">
      <c r="B59" s="7" t="s">
        <v>350</v>
      </c>
      <c r="C59" s="62" t="n">
        <v>2</v>
      </c>
      <c r="D59" s="14" t="n">
        <v>7134000</v>
      </c>
      <c r="E59" s="14" t="n">
        <f aca="false">IFERROR(F59/C59/12,0)</f>
        <v>643.603021050717</v>
      </c>
      <c r="F59" s="14" t="n">
        <v>15446.4725052172</v>
      </c>
      <c r="G59" s="14" t="n">
        <f aca="false">F59*$G$15</f>
        <v>1853.57670062606</v>
      </c>
    </row>
    <row r="60" customFormat="false" ht="15" hidden="false" customHeight="true" outlineLevel="0" collapsed="false">
      <c r="B60" s="26" t="s">
        <v>161</v>
      </c>
      <c r="C60" s="69" t="n">
        <f aca="false">SUM(C42:C59)</f>
        <v>26</v>
      </c>
      <c r="D60" s="13"/>
      <c r="E60" s="13"/>
      <c r="F60" s="22" t="n">
        <f aca="false">SUM(F42:F59)</f>
        <v>326950.334693763</v>
      </c>
      <c r="G60" s="22" t="n">
        <f aca="false">SUM(G42:G59)</f>
        <v>39234.0401632516</v>
      </c>
    </row>
    <row r="61" customFormat="false" ht="15" hidden="false" customHeight="true" outlineLevel="0" collapsed="false">
      <c r="B61" s="11" t="s">
        <v>331</v>
      </c>
      <c r="C61" s="61"/>
      <c r="D61" s="61"/>
      <c r="E61" s="61"/>
      <c r="F61" s="49" t="n">
        <f aca="false">F60+G60</f>
        <v>366184.374857015</v>
      </c>
      <c r="G61" s="61"/>
    </row>
    <row r="63" customFormat="false" ht="15" hidden="false" customHeight="true" outlineLevel="0" collapsed="false">
      <c r="B63" s="16" t="s">
        <v>351</v>
      </c>
      <c r="C63" s="70" t="n">
        <f aca="false">C38+C60</f>
        <v>140</v>
      </c>
      <c r="D63" s="65"/>
      <c r="E63" s="65"/>
      <c r="F63" s="17" t="n">
        <f aca="false">F39+F61</f>
        <v>2073122.56316688</v>
      </c>
      <c r="G63" s="65"/>
    </row>
    <row r="64" customFormat="false" ht="15" hidden="false" customHeight="true" outlineLevel="0" collapsed="false">
      <c r="B64" s="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1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353</v>
      </c>
      <c r="K2" s="52" t="s">
        <v>354</v>
      </c>
    </row>
    <row r="4" customFormat="false" ht="30" hidden="false" customHeight="true" outlineLevel="0" collapsed="false">
      <c r="B4" s="19" t="s">
        <v>44</v>
      </c>
      <c r="C4" s="19" t="s">
        <v>355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true" outlineLevel="0" collapsed="false">
      <c r="B6" s="11" t="s">
        <v>356</v>
      </c>
      <c r="C6" s="61"/>
      <c r="D6" s="49" t="n">
        <f aca="false">SUM(D7:D11)</f>
        <v>187328.591638295</v>
      </c>
      <c r="E6" s="49" t="n">
        <f aca="false">SUM(E7:E11)</f>
        <v>632638.683793203</v>
      </c>
      <c r="F6" s="49" t="n">
        <f aca="false">SUM(F7:F11)</f>
        <v>628878.649625023</v>
      </c>
      <c r="G6" s="49" t="n">
        <f aca="false">SUM(G7:G11)</f>
        <v>625244.719870279</v>
      </c>
      <c r="H6" s="49" t="n">
        <f aca="false">SUM(H7:H11)</f>
        <v>621720.326457425</v>
      </c>
      <c r="I6" s="49" t="n">
        <f aca="false">SUM(I7:I11)</f>
        <v>618305.803389489</v>
      </c>
      <c r="J6" s="49" t="n">
        <f aca="false">SUM(J7:J11)</f>
        <v>615003.567814058</v>
      </c>
    </row>
    <row r="7" customFormat="false" ht="15" hidden="false" customHeight="true" outlineLevel="0" collapsed="false">
      <c r="B7" s="7" t="s">
        <v>357</v>
      </c>
      <c r="C7" s="20" t="s">
        <v>358</v>
      </c>
      <c r="D7" s="14" t="n">
        <f aca="false">CostSold!D35</f>
        <v>106126.3125</v>
      </c>
      <c r="E7" s="14" t="n">
        <f aca="false">CostSold!E35</f>
        <v>415276.875</v>
      </c>
      <c r="F7" s="14" t="n">
        <f aca="false">CostSold!F35</f>
        <v>406758.375</v>
      </c>
      <c r="G7" s="14" t="n">
        <f aca="false">CostSold!G35</f>
        <v>398239.875</v>
      </c>
      <c r="H7" s="14" t="n">
        <f aca="false">CostSold!H35</f>
        <v>389721.375</v>
      </c>
      <c r="I7" s="14" t="n">
        <f aca="false">CostSold!I35</f>
        <v>381202.875</v>
      </c>
      <c r="J7" s="14" t="n">
        <f aca="false">CostSold!J35</f>
        <v>372684.375</v>
      </c>
    </row>
    <row r="8" customFormat="false" ht="15" hidden="false" customHeight="true" outlineLevel="0" collapsed="false">
      <c r="B8" s="7" t="s">
        <v>359</v>
      </c>
      <c r="C8" s="20"/>
      <c r="D8" s="14" t="n">
        <f aca="false">CostSold!D36</f>
        <v>0</v>
      </c>
      <c r="E8" s="14" t="n">
        <f aca="false">CostSold!E36</f>
        <v>0</v>
      </c>
      <c r="F8" s="14" t="n">
        <f aca="false">CostSold!F36</f>
        <v>0</v>
      </c>
      <c r="G8" s="14" t="n">
        <f aca="false">CostSold!G36</f>
        <v>0</v>
      </c>
      <c r="H8" s="14" t="n">
        <f aca="false">CostSold!H36</f>
        <v>0</v>
      </c>
      <c r="I8" s="14" t="n">
        <f aca="false">CostSold!I36</f>
        <v>0</v>
      </c>
      <c r="J8" s="14" t="n">
        <f aca="false">CostSold!J36</f>
        <v>0</v>
      </c>
    </row>
    <row r="9" customFormat="false" ht="15" hidden="false" customHeight="true" outlineLevel="0" collapsed="false">
      <c r="B9" s="7" t="s">
        <v>360</v>
      </c>
      <c r="C9" s="20"/>
      <c r="D9" s="14" t="n">
        <f aca="false">CostSold!D37</f>
        <v>0</v>
      </c>
      <c r="E9" s="14" t="n">
        <f aca="false">CostSold!E37</f>
        <v>0</v>
      </c>
      <c r="F9" s="14" t="n">
        <f aca="false">CostSold!F37</f>
        <v>0</v>
      </c>
      <c r="G9" s="14" t="n">
        <f aca="false">CostSold!G37</f>
        <v>0</v>
      </c>
      <c r="H9" s="14" t="n">
        <f aca="false">CostSold!H37</f>
        <v>0</v>
      </c>
      <c r="I9" s="14" t="n">
        <f aca="false">CostSold!I37</f>
        <v>0</v>
      </c>
      <c r="J9" s="14" t="n">
        <f aca="false">CostSold!J37</f>
        <v>0</v>
      </c>
    </row>
    <row r="10" customFormat="false" ht="15" hidden="false" customHeight="true" outlineLevel="0" collapsed="false">
      <c r="B10" s="7" t="s">
        <v>361</v>
      </c>
      <c r="C10" s="20"/>
      <c r="D10" s="14" t="n">
        <f aca="false">CostSold!D19</f>
        <v>0</v>
      </c>
      <c r="E10" s="14" t="n">
        <f aca="false">CostSold!E19</f>
        <v>0</v>
      </c>
      <c r="F10" s="14" t="n">
        <f aca="false">CostSold!F19</f>
        <v>0</v>
      </c>
      <c r="G10" s="14" t="n">
        <f aca="false">CostSold!G19</f>
        <v>0</v>
      </c>
      <c r="H10" s="14" t="n">
        <f aca="false">CostSold!H19</f>
        <v>0</v>
      </c>
      <c r="I10" s="14" t="n">
        <f aca="false">CostSold!I19</f>
        <v>0</v>
      </c>
      <c r="J10" s="14" t="n">
        <f aca="false">CostSold!J19</f>
        <v>0</v>
      </c>
    </row>
    <row r="11" customFormat="false" ht="23.25" hidden="false" customHeight="true" outlineLevel="0" collapsed="false">
      <c r="B11" s="7" t="s">
        <v>362</v>
      </c>
      <c r="C11" s="20" t="s">
        <v>363</v>
      </c>
      <c r="D11" s="14" t="n">
        <v>81202.2791382946</v>
      </c>
      <c r="E11" s="14" t="n">
        <v>217361.808793203</v>
      </c>
      <c r="F11" s="14" t="n">
        <v>222120.274625023</v>
      </c>
      <c r="G11" s="14" t="n">
        <v>227004.844870279</v>
      </c>
      <c r="H11" s="14" t="n">
        <v>231998.951457425</v>
      </c>
      <c r="I11" s="14" t="n">
        <v>237102.928389489</v>
      </c>
      <c r="J11" s="14" t="n">
        <v>242319.192814058</v>
      </c>
    </row>
    <row r="13" customFormat="false" ht="15" hidden="false" customHeight="true" outlineLevel="0" collapsed="false">
      <c r="B13" s="11" t="s">
        <v>364</v>
      </c>
      <c r="C13" s="61"/>
      <c r="D13" s="49" t="n">
        <f aca="false">D14+D15</f>
        <v>516650.541090088</v>
      </c>
      <c r="E13" s="49" t="n">
        <f aca="false">E14+E15</f>
        <v>2852208.16217965</v>
      </c>
      <c r="F13" s="49" t="n">
        <f aca="false">F14+F15</f>
        <v>3693447.55613223</v>
      </c>
      <c r="G13" s="49" t="n">
        <f aca="false">G14+G15</f>
        <v>4030057.96600302</v>
      </c>
      <c r="H13" s="49" t="n">
        <f aca="false">H14+H15</f>
        <v>4155383.31884825</v>
      </c>
      <c r="I13" s="49" t="n">
        <f aca="false">I14+I15</f>
        <v>4283150.44276</v>
      </c>
      <c r="J13" s="49" t="n">
        <f aca="false">J14+J15</f>
        <v>4414572.50094041</v>
      </c>
    </row>
    <row r="14" customFormat="false" ht="15" hidden="false" customHeight="true" outlineLevel="0" collapsed="false">
      <c r="B14" s="7" t="s">
        <v>365</v>
      </c>
      <c r="C14" s="20"/>
      <c r="D14" s="14" t="n">
        <f aca="false">ProfLoss!D21</f>
        <v>516650.541090088</v>
      </c>
      <c r="E14" s="14" t="n">
        <f aca="false">ProfLoss!E21</f>
        <v>2852208.16217965</v>
      </c>
      <c r="F14" s="14" t="n">
        <f aca="false">ProfLoss!F21</f>
        <v>3693447.55613223</v>
      </c>
      <c r="G14" s="14" t="n">
        <f aca="false">ProfLoss!G21</f>
        <v>4030057.96600302</v>
      </c>
      <c r="H14" s="14" t="n">
        <f aca="false">ProfLoss!H21</f>
        <v>4155383.31884825</v>
      </c>
      <c r="I14" s="14" t="n">
        <f aca="false">ProfLoss!I21</f>
        <v>4283150.44276</v>
      </c>
      <c r="J14" s="14" t="n">
        <f aca="false">ProfLoss!J21</f>
        <v>4414572.50094041</v>
      </c>
    </row>
    <row r="15" customFormat="false" ht="23.25" hidden="false" customHeight="true" outlineLevel="0" collapsed="false">
      <c r="B15" s="7" t="s">
        <v>366</v>
      </c>
      <c r="C15" s="20" t="s">
        <v>363</v>
      </c>
      <c r="D15" s="14" t="n">
        <f aca="false">MAX(0,D22)</f>
        <v>0</v>
      </c>
      <c r="E15" s="14" t="n">
        <f aca="false">MAX(0,E22)</f>
        <v>0</v>
      </c>
      <c r="F15" s="14" t="n">
        <f aca="false">MAX(0,F22)</f>
        <v>0</v>
      </c>
      <c r="G15" s="14" t="n">
        <f aca="false">MAX(0,G22)</f>
        <v>0</v>
      </c>
      <c r="H15" s="14" t="n">
        <f aca="false">MAX(0,H22)</f>
        <v>0</v>
      </c>
      <c r="I15" s="14" t="n">
        <f aca="false">MAX(0,I22)</f>
        <v>0</v>
      </c>
      <c r="J15" s="14" t="n">
        <f aca="false">MAX(0,J22)</f>
        <v>0</v>
      </c>
    </row>
    <row r="16" customFormat="false" ht="15" hidden="false" customHeight="true" outlineLevel="0" collapsed="false">
      <c r="B16" s="39" t="s">
        <v>367</v>
      </c>
      <c r="C16" s="63"/>
      <c r="D16" s="17" t="n">
        <f aca="false">D6+D13</f>
        <v>703979.132728382</v>
      </c>
      <c r="E16" s="17" t="n">
        <f aca="false">E6+E13</f>
        <v>3484846.84597285</v>
      </c>
      <c r="F16" s="17" t="n">
        <f aca="false">F6+F13</f>
        <v>4322326.20575725</v>
      </c>
      <c r="G16" s="17" t="n">
        <f aca="false">G6+G13</f>
        <v>4655302.6858733</v>
      </c>
      <c r="H16" s="17" t="n">
        <f aca="false">H6+H13</f>
        <v>4777103.64530568</v>
      </c>
      <c r="I16" s="17" t="n">
        <f aca="false">I6+I13</f>
        <v>4901456.24614949</v>
      </c>
      <c r="J16" s="17" t="n">
        <f aca="false">J6+J13</f>
        <v>5029576.06875447</v>
      </c>
    </row>
    <row r="18" customFormat="false" ht="15" hidden="false" customHeight="true" outlineLevel="0" collapsed="false">
      <c r="B18" s="34" t="s">
        <v>368</v>
      </c>
    </row>
    <row r="19" customFormat="false" ht="15" hidden="false" customHeight="true" outlineLevel="0" collapsed="false">
      <c r="B19" s="7" t="s">
        <v>369</v>
      </c>
      <c r="C19" s="20"/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</row>
    <row r="20" customFormat="false" ht="15" hidden="false" customHeight="true" outlineLevel="0" collapsed="false">
      <c r="B20" s="7" t="s">
        <v>370</v>
      </c>
      <c r="C20" s="20"/>
      <c r="D20" s="14" t="n">
        <v>3507350.65348618</v>
      </c>
      <c r="E20" s="14" t="n">
        <v>26814175.4597839</v>
      </c>
      <c r="F20" s="14" t="n">
        <v>32950208.451616</v>
      </c>
      <c r="G20" s="14" t="n">
        <v>33677556.6826697</v>
      </c>
      <c r="H20" s="14" t="n">
        <v>34418462.9296884</v>
      </c>
      <c r="I20" s="14" t="n">
        <v>35175669.1141416</v>
      </c>
      <c r="J20" s="14" t="n">
        <v>35949533.8346527</v>
      </c>
    </row>
    <row r="21" customFormat="false" ht="23.25" hidden="false" customHeight="true" outlineLevel="0" collapsed="false">
      <c r="B21" s="7" t="s">
        <v>371</v>
      </c>
      <c r="C21" s="20"/>
      <c r="D21" s="14" t="n">
        <v>5731360.52678572</v>
      </c>
      <c r="E21" s="14" t="n">
        <v>57170.6785714286</v>
      </c>
      <c r="F21" s="14" t="n">
        <v>57170.6785714286</v>
      </c>
      <c r="G21" s="14" t="n">
        <v>57170.6785714286</v>
      </c>
      <c r="H21" s="14" t="n">
        <v>57170.6785714286</v>
      </c>
      <c r="I21" s="14" t="n">
        <v>57170.6785714286</v>
      </c>
      <c r="J21" s="14" t="n">
        <v>57170.6785714286</v>
      </c>
    </row>
    <row r="22" customFormat="false" ht="15" hidden="false" customHeight="true" outlineLevel="0" collapsed="false">
      <c r="B22" s="29" t="s">
        <v>372</v>
      </c>
      <c r="C22" s="20"/>
      <c r="D22" s="22" t="n">
        <f aca="false">D19-D20-D21</f>
        <v>-9238711.1802719</v>
      </c>
      <c r="E22" s="22" t="n">
        <f aca="false">E19-E20-E21</f>
        <v>-26871346.1383553</v>
      </c>
      <c r="F22" s="22" t="n">
        <f aca="false">F19-F20-F21</f>
        <v>-33007379.1301874</v>
      </c>
      <c r="G22" s="22" t="n">
        <f aca="false">G19-G20-G21</f>
        <v>-33734727.3612411</v>
      </c>
      <c r="H22" s="22" t="n">
        <f aca="false">H19-H20-H21</f>
        <v>-34475633.6082598</v>
      </c>
      <c r="I22" s="22" t="n">
        <f aca="false">I19-I20-I21</f>
        <v>-35232839.792713</v>
      </c>
      <c r="J22" s="22" t="n">
        <f aca="false">J19-J20-J21</f>
        <v>-36006704.5132241</v>
      </c>
    </row>
    <row r="24" customFormat="false" ht="15" hidden="false" customHeight="true" outlineLevel="0" collapsed="false">
      <c r="B24" s="34" t="s">
        <v>373</v>
      </c>
    </row>
    <row r="25" customFormat="false" ht="15" hidden="false" customHeight="true" outlineLevel="0" collapsed="false">
      <c r="B25" s="7" t="s">
        <v>374</v>
      </c>
      <c r="C25" s="20"/>
      <c r="D25" s="14" t="n">
        <f aca="false">ProfLoss!D20</f>
        <v>3444336.94060058</v>
      </c>
      <c r="E25" s="14" t="n">
        <f aca="false">ProfLoss!E20</f>
        <v>19014721.0811977</v>
      </c>
      <c r="F25" s="14" t="n">
        <f aca="false">ProfLoss!F20</f>
        <v>24622983.7075482</v>
      </c>
      <c r="G25" s="14" t="n">
        <f aca="false">ProfLoss!G20</f>
        <v>26867053.1066868</v>
      </c>
      <c r="H25" s="14" t="n">
        <f aca="false">ProfLoss!H20</f>
        <v>27702555.4589884</v>
      </c>
      <c r="I25" s="14" t="n">
        <f aca="false">ProfLoss!I20</f>
        <v>28554336.2850667</v>
      </c>
      <c r="J25" s="14" t="n">
        <f aca="false">ProfLoss!J20</f>
        <v>29430483.3396027</v>
      </c>
    </row>
    <row r="26" customFormat="false" ht="15" hidden="false" customHeight="true" outlineLevel="0" collapsed="false">
      <c r="B26" s="7" t="s">
        <v>375</v>
      </c>
      <c r="C26" s="20"/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</row>
    <row r="27" customFormat="false" ht="15" hidden="false" customHeight="true" outlineLevel="0" collapsed="false">
      <c r="B27" s="7" t="s">
        <v>376</v>
      </c>
      <c r="C27" s="20"/>
      <c r="D27" s="14" t="n">
        <f aca="false">D25+D26</f>
        <v>3444336.94060058</v>
      </c>
      <c r="E27" s="14" t="n">
        <f aca="false">E25+E26</f>
        <v>19014721.0811977</v>
      </c>
      <c r="F27" s="14" t="n">
        <f aca="false">F25+F26</f>
        <v>24622983.7075482</v>
      </c>
      <c r="G27" s="14" t="n">
        <f aca="false">G25+G26</f>
        <v>26867053.1066868</v>
      </c>
      <c r="H27" s="14" t="n">
        <f aca="false">H25+H26</f>
        <v>27702555.4589884</v>
      </c>
      <c r="I27" s="14" t="n">
        <f aca="false">I25+I26</f>
        <v>28554336.2850667</v>
      </c>
      <c r="J27" s="14" t="n">
        <f aca="false">J25+J26</f>
        <v>29430483.3396027</v>
      </c>
    </row>
    <row r="28" customFormat="false" ht="15" hidden="false" customHeight="true" outlineLevel="0" collapsed="false">
      <c r="B28" s="7" t="s">
        <v>377</v>
      </c>
      <c r="C28" s="20" t="s">
        <v>235</v>
      </c>
      <c r="D28" s="15" t="n">
        <v>0.15</v>
      </c>
      <c r="E28" s="15" t="n">
        <v>0.15</v>
      </c>
      <c r="F28" s="15" t="n">
        <v>0.15</v>
      </c>
      <c r="G28" s="15" t="n">
        <v>0.15</v>
      </c>
      <c r="H28" s="15" t="n">
        <v>0.15</v>
      </c>
      <c r="I28" s="15" t="n">
        <v>0.15</v>
      </c>
      <c r="J28" s="15" t="n">
        <v>0.15</v>
      </c>
    </row>
    <row r="29" customFormat="false" ht="15" hidden="false" customHeight="true" outlineLevel="0" collapsed="false">
      <c r="B29" s="29" t="s">
        <v>378</v>
      </c>
      <c r="C29" s="20"/>
      <c r="D29" s="22" t="n">
        <f aca="false">D27*D28</f>
        <v>516650.541090088</v>
      </c>
      <c r="E29" s="22" t="n">
        <f aca="false">E27*E28</f>
        <v>2852208.16217965</v>
      </c>
      <c r="F29" s="22" t="n">
        <f aca="false">F27*F28</f>
        <v>3693447.55613223</v>
      </c>
      <c r="G29" s="22" t="n">
        <f aca="false">G27*G28</f>
        <v>4030057.96600302</v>
      </c>
      <c r="H29" s="22" t="n">
        <f aca="false">H27*H28</f>
        <v>4155383.31884825</v>
      </c>
      <c r="I29" s="22" t="n">
        <f aca="false">I27*I28</f>
        <v>4283150.44276</v>
      </c>
      <c r="J29" s="22" t="n">
        <f aca="false">J27*J28</f>
        <v>4414572.50094041</v>
      </c>
    </row>
  </sheetData>
  <mergeCells count="9"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7" min="6" style="1" width="16"/>
    <col collapsed="false" customWidth="true" hidden="false" outlineLevel="0" max="8" min="8" style="1" width="12"/>
  </cols>
  <sheetData>
    <row r="2" customFormat="false" ht="15" hidden="false" customHeight="true" outlineLevel="0" collapsed="false">
      <c r="B2" s="3" t="s">
        <v>379</v>
      </c>
      <c r="H2" s="52" t="s">
        <v>380</v>
      </c>
    </row>
    <row r="3" customFormat="false" ht="15" hidden="false" customHeight="true" outlineLevel="0" collapsed="false">
      <c r="B3" s="53" t="s">
        <v>381</v>
      </c>
    </row>
    <row r="5" customFormat="false" ht="42" hidden="false" customHeight="true" outlineLevel="0" collapsed="false">
      <c r="B5" s="19" t="s">
        <v>382</v>
      </c>
      <c r="C5" s="19" t="s">
        <v>383</v>
      </c>
      <c r="D5" s="19" t="s">
        <v>384</v>
      </c>
      <c r="E5" s="19" t="s">
        <v>385</v>
      </c>
      <c r="F5" s="19" t="s">
        <v>386</v>
      </c>
      <c r="G5" s="19" t="s">
        <v>387</v>
      </c>
    </row>
    <row r="6" customFormat="false" ht="15" hidden="false" customHeight="true" outlineLevel="0" collapsed="false">
      <c r="B6" s="26" t="s">
        <v>388</v>
      </c>
      <c r="C6" s="22" t="n">
        <f aca="false">C7+C8</f>
        <v>265305737.441634</v>
      </c>
      <c r="D6" s="23" t="n">
        <f aca="false">IFERROR(F6/C6,0)</f>
        <v>0</v>
      </c>
      <c r="E6" s="23" t="n">
        <f aca="false">IFERROR(G6/C6,0)</f>
        <v>1</v>
      </c>
      <c r="F6" s="22" t="n">
        <f aca="false">F7+F8</f>
        <v>0</v>
      </c>
      <c r="G6" s="22" t="n">
        <f aca="false">G7+G8</f>
        <v>265305737.441634</v>
      </c>
    </row>
    <row r="7" customFormat="false" ht="15" hidden="false" customHeight="true" outlineLevel="0" collapsed="false">
      <c r="B7" s="13" t="s">
        <v>389</v>
      </c>
      <c r="C7" s="14" t="n">
        <f aca="false">F7+G7</f>
        <v>259500642.73225</v>
      </c>
      <c r="D7" s="15" t="n">
        <f aca="false">IFERROR(F7/C7,0)</f>
        <v>0</v>
      </c>
      <c r="E7" s="15" t="n">
        <f aca="false">IFERROR(G7/C7,0)</f>
        <v>1</v>
      </c>
      <c r="F7" s="14" t="n">
        <v>0</v>
      </c>
      <c r="G7" s="14" t="n">
        <f aca="false">RawMat!F8</f>
        <v>259500642.73225</v>
      </c>
    </row>
    <row r="8" customFormat="false" ht="15" hidden="false" customHeight="true" outlineLevel="0" collapsed="false">
      <c r="B8" s="13" t="s">
        <v>390</v>
      </c>
      <c r="C8" s="14" t="n">
        <f aca="false">F8+G8</f>
        <v>5805094.70938421</v>
      </c>
      <c r="D8" s="15" t="n">
        <f aca="false">IFERROR(F8/C8,0)</f>
        <v>0</v>
      </c>
      <c r="E8" s="15" t="n">
        <f aca="false">IFERROR(G8/C8,0)</f>
        <v>1</v>
      </c>
      <c r="F8" s="14" t="n">
        <v>0</v>
      </c>
      <c r="G8" s="14" t="n">
        <f aca="false">RawMat!F22</f>
        <v>5805094.70938421</v>
      </c>
    </row>
    <row r="9" customFormat="false" ht="15" hidden="false" customHeight="true" outlineLevel="0" collapsed="false">
      <c r="B9" s="13" t="s">
        <v>391</v>
      </c>
      <c r="C9" s="14" t="n">
        <f aca="false">F9+G9</f>
        <v>2429940.25285387</v>
      </c>
      <c r="D9" s="15" t="n">
        <f aca="false">IFERROR(F9/C9,0)</f>
        <v>0.199270116540869</v>
      </c>
      <c r="E9" s="15" t="n">
        <f aca="false">IFERROR(G9/C9,0)</f>
        <v>0.800729883459131</v>
      </c>
      <c r="F9" s="14" t="n">
        <f aca="false">SUM(Labour!F10:F12)</f>
        <v>484214.477373539</v>
      </c>
      <c r="G9" s="14" t="n">
        <f aca="false">SUM(Labour!F6:F9)</f>
        <v>1945725.77548033</v>
      </c>
    </row>
    <row r="10" customFormat="false" ht="15" hidden="false" customHeight="true" outlineLevel="0" collapsed="false">
      <c r="B10" s="13" t="s">
        <v>392</v>
      </c>
      <c r="C10" s="14" t="n">
        <f aca="false">F10+G10</f>
        <v>1706938.18830986</v>
      </c>
      <c r="D10" s="15" t="n">
        <f aca="false">IFERROR(F10/C10,0)</f>
        <v>1</v>
      </c>
      <c r="E10" s="15" t="n">
        <f aca="false">IFERROR(G10/C10,0)</f>
        <v>0</v>
      </c>
      <c r="F10" s="14" t="n">
        <f aca="false">Labour!F39</f>
        <v>1706938.18830986</v>
      </c>
      <c r="G10" s="14" t="n">
        <v>0</v>
      </c>
    </row>
    <row r="11" customFormat="false" ht="15" hidden="false" customHeight="true" outlineLevel="0" collapsed="false">
      <c r="B11" s="13" t="s">
        <v>393</v>
      </c>
      <c r="C11" s="14" t="n">
        <f aca="false">F11+G11</f>
        <v>366184.374857015</v>
      </c>
      <c r="D11" s="15" t="n">
        <f aca="false">IFERROR(F11/C11,0)</f>
        <v>1</v>
      </c>
      <c r="E11" s="15" t="n">
        <f aca="false">IFERROR(G11/C11,0)</f>
        <v>0</v>
      </c>
      <c r="F11" s="14" t="n">
        <f aca="false">Labour!F61</f>
        <v>366184.374857015</v>
      </c>
      <c r="G11" s="14" t="n">
        <v>0</v>
      </c>
    </row>
    <row r="12" customFormat="false" ht="15" hidden="false" customHeight="true" outlineLevel="0" collapsed="false">
      <c r="B12" s="13" t="s">
        <v>394</v>
      </c>
      <c r="C12" s="14" t="n">
        <f aca="false">F12+G12</f>
        <v>945456.722527941</v>
      </c>
      <c r="D12" s="15" t="n">
        <f aca="false">IFERROR(F12/C12,0)</f>
        <v>1</v>
      </c>
      <c r="E12" s="15" t="n">
        <f aca="false">IFERROR(G12/C12,0)</f>
        <v>0</v>
      </c>
      <c r="F12" s="14" t="n">
        <f aca="false">RawMat!F28</f>
        <v>945456.722527941</v>
      </c>
      <c r="G12" s="14" t="n">
        <v>0</v>
      </c>
    </row>
    <row r="13" customFormat="false" ht="15" hidden="false" customHeight="true" outlineLevel="0" collapsed="false">
      <c r="B13" s="13" t="s">
        <v>395</v>
      </c>
      <c r="C13" s="14" t="n">
        <f aca="false">F13+G13</f>
        <v>617586.499460136</v>
      </c>
      <c r="D13" s="15" t="n">
        <f aca="false">IFERROR(F13/C13,0)</f>
        <v>1</v>
      </c>
      <c r="E13" s="15" t="n">
        <f aca="false">IFERROR(G13/C13,0)</f>
        <v>0</v>
      </c>
      <c r="F13" s="14" t="n">
        <f aca="false">RawMat!F29</f>
        <v>617586.499460136</v>
      </c>
      <c r="G13" s="14" t="n">
        <v>0</v>
      </c>
    </row>
    <row r="14" customFormat="false" ht="15" hidden="false" customHeight="true" outlineLevel="0" collapsed="false">
      <c r="B14" s="13" t="s">
        <v>287</v>
      </c>
      <c r="C14" s="14" t="n">
        <f aca="false">F14+G14</f>
        <v>0</v>
      </c>
      <c r="D14" s="15" t="n">
        <f aca="false">IFERROR(F14/C14,0)</f>
        <v>0</v>
      </c>
      <c r="E14" s="15" t="n">
        <f aca="false">IFERROR(G14/C14,0)</f>
        <v>0</v>
      </c>
      <c r="F14" s="14" t="n">
        <v>0</v>
      </c>
      <c r="G14" s="14" t="n">
        <f aca="false">RawMat!F30</f>
        <v>0</v>
      </c>
    </row>
    <row r="15" customFormat="false" ht="15" hidden="false" customHeight="true" outlineLevel="0" collapsed="false">
      <c r="B15" s="13" t="s">
        <v>396</v>
      </c>
      <c r="C15" s="14" t="n">
        <f aca="false">F15+G15</f>
        <v>3712123.43081877</v>
      </c>
      <c r="D15" s="15" t="n">
        <f aca="false">IFERROR(F15/C15,0)</f>
        <v>0.690069131941597</v>
      </c>
      <c r="E15" s="15" t="n">
        <f aca="false">IFERROR(G15/C15,0)</f>
        <v>0.309930868058403</v>
      </c>
      <c r="F15" s="14" t="n">
        <v>2561621.79356517</v>
      </c>
      <c r="G15" s="14" t="n">
        <v>1150501.6372536</v>
      </c>
    </row>
    <row r="16" customFormat="false" ht="15" hidden="false" customHeight="true" outlineLevel="0" collapsed="false">
      <c r="B16" s="13" t="s">
        <v>397</v>
      </c>
      <c r="C16" s="14" t="n">
        <f aca="false">F16+G16</f>
        <v>1539597.98540625</v>
      </c>
      <c r="D16" s="15" t="n">
        <f aca="false">IFERROR(F16/C16,0)</f>
        <v>0</v>
      </c>
      <c r="E16" s="15" t="n">
        <f aca="false">IFERROR(G16/C16,0)</f>
        <v>1</v>
      </c>
      <c r="F16" s="14" t="n">
        <v>0</v>
      </c>
      <c r="G16" s="14" t="n">
        <f aca="false">CostSold!F31</f>
        <v>1539597.98540625</v>
      </c>
    </row>
    <row r="17" customFormat="false" ht="15" hidden="false" customHeight="true" outlineLevel="0" collapsed="false">
      <c r="B17" s="13" t="s">
        <v>398</v>
      </c>
      <c r="C17" s="14" t="n">
        <f aca="false">F17+G17</f>
        <v>406758.375</v>
      </c>
      <c r="D17" s="15" t="n">
        <f aca="false">IFERROR(F17/C17,0)</f>
        <v>1</v>
      </c>
      <c r="E17" s="15" t="n">
        <f aca="false">IFERROR(G17/C17,0)</f>
        <v>0</v>
      </c>
      <c r="F17" s="14" t="n">
        <f aca="false">CostSold!F35+CostSold!F36</f>
        <v>406758.375</v>
      </c>
      <c r="G17" s="14" t="n">
        <v>0</v>
      </c>
    </row>
    <row r="18" customFormat="false" ht="15" hidden="false" customHeight="true" outlineLevel="0" collapsed="false">
      <c r="B18" s="13" t="s">
        <v>399</v>
      </c>
      <c r="C18" s="14" t="n">
        <f aca="false">F18+G18</f>
        <v>0</v>
      </c>
      <c r="D18" s="15" t="n">
        <f aca="false">IFERROR(F18/C18,0)</f>
        <v>0</v>
      </c>
      <c r="E18" s="15" t="n">
        <f aca="false">IFERROR(G18/C18,0)</f>
        <v>0</v>
      </c>
      <c r="F18" s="14" t="n">
        <v>0</v>
      </c>
      <c r="G18" s="14" t="n">
        <f aca="false">CostSold!F37</f>
        <v>0</v>
      </c>
    </row>
    <row r="19" customFormat="false" ht="15" hidden="false" customHeight="true" outlineLevel="0" collapsed="false">
      <c r="B19" s="13" t="s">
        <v>400</v>
      </c>
      <c r="C19" s="14" t="n">
        <f aca="false">F19+G19</f>
        <v>5532471.29791737</v>
      </c>
      <c r="D19" s="15" t="n">
        <f aca="false">IFERROR(F19/C19,0)</f>
        <v>0</v>
      </c>
      <c r="E19" s="15" t="n">
        <f aca="false">IFERROR(G19/C19,0)</f>
        <v>1</v>
      </c>
      <c r="F19" s="14" t="n">
        <v>0</v>
      </c>
      <c r="G19" s="14" t="n">
        <f aca="false">CostSold!F38</f>
        <v>5532471.29791737</v>
      </c>
    </row>
    <row r="20" customFormat="false" ht="15" hidden="false" customHeight="true" outlineLevel="0" collapsed="false">
      <c r="B20" s="13" t="s">
        <v>401</v>
      </c>
      <c r="C20" s="14" t="n">
        <f aca="false">F20+G20</f>
        <v>0</v>
      </c>
      <c r="D20" s="15" t="n">
        <f aca="false">IFERROR(F20/C20,0)</f>
        <v>0</v>
      </c>
      <c r="E20" s="15" t="n">
        <f aca="false">IFERROR(G20/C20,0)</f>
        <v>0</v>
      </c>
      <c r="F20" s="14" t="n">
        <f aca="false">CostSold!F39</f>
        <v>0</v>
      </c>
      <c r="G20" s="14" t="n">
        <v>0</v>
      </c>
    </row>
    <row r="21" customFormat="false" ht="15" hidden="false" customHeight="true" outlineLevel="0" collapsed="false">
      <c r="B21" s="13" t="s">
        <v>402</v>
      </c>
      <c r="C21" s="14" t="n">
        <f aca="false">F21+G21</f>
        <v>2593626.12717861</v>
      </c>
      <c r="D21" s="15" t="n">
        <f aca="false">IFERROR(F21/C21,0)</f>
        <v>1</v>
      </c>
      <c r="E21" s="15" t="n">
        <f aca="false">IFERROR(G21/C21,0)</f>
        <v>0</v>
      </c>
      <c r="F21" s="14" t="n">
        <f aca="false">Depreciate!I21</f>
        <v>2593626.12717861</v>
      </c>
      <c r="G21" s="14" t="n">
        <v>0</v>
      </c>
    </row>
    <row r="22" customFormat="false" ht="15" hidden="false" customHeight="true" outlineLevel="0" collapsed="false">
      <c r="B22" s="16" t="s">
        <v>152</v>
      </c>
      <c r="C22" s="17" t="n">
        <f aca="false">SUM(C6:C21)-C6</f>
        <v>285156420.695964</v>
      </c>
      <c r="D22" s="18" t="n">
        <f aca="false">IFERROR(F22/C22,0)</f>
        <v>0.0339546503446812</v>
      </c>
      <c r="E22" s="18" t="n">
        <f aca="false">IFERROR(G22/C22,0)</f>
        <v>0.966045349655319</v>
      </c>
      <c r="F22" s="17" t="n">
        <f aca="false">SUM(F6:F21)-F6</f>
        <v>9682386.55827227</v>
      </c>
      <c r="G22" s="17" t="n">
        <f aca="false">SUM(G6:G21)-G6</f>
        <v>275474034.137692</v>
      </c>
    </row>
    <row r="23" customFormat="false" ht="15" hidden="false" customHeight="true" outlineLevel="0" collapsed="false">
      <c r="B23" s="13" t="s">
        <v>403</v>
      </c>
      <c r="C23" s="14" t="n">
        <f aca="false">C22-C24</f>
        <v>24201324.571128</v>
      </c>
    </row>
    <row r="24" customFormat="false" ht="15" hidden="false" customHeight="true" outlineLevel="0" collapsed="false">
      <c r="B24" s="13" t="s">
        <v>404</v>
      </c>
      <c r="C24" s="14" t="n">
        <v>260955096.124836</v>
      </c>
    </row>
    <row r="26" customFormat="false" ht="15" hidden="false" customHeight="true" outlineLevel="0" collapsed="false">
      <c r="B26" s="13" t="s">
        <v>405</v>
      </c>
      <c r="C26" s="14" t="n">
        <f aca="false">SalePlan!F14</f>
        <v>307919597.08125</v>
      </c>
    </row>
    <row r="27" customFormat="false" ht="15" hidden="false" customHeight="true" outlineLevel="0" collapsed="false">
      <c r="B27" s="13" t="s">
        <v>406</v>
      </c>
      <c r="C27" s="71" t="n">
        <f aca="false">IFERROR(C22/C26,0)</f>
        <v>0.926074284972257</v>
      </c>
    </row>
    <row r="28" customFormat="false" ht="15" hidden="false" customHeight="true" outlineLevel="0" collapsed="false">
      <c r="B28" s="13" t="s">
        <v>407</v>
      </c>
      <c r="C28" s="14" t="n">
        <f aca="false">IFERROR(C22/ProdPlan!F13,0)</f>
        <v>107342.902577062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408</v>
      </c>
      <c r="K2" s="52" t="s">
        <v>409</v>
      </c>
    </row>
    <row r="4" customFormat="false" ht="30" hidden="false" customHeight="true" outlineLevel="0" collapsed="false">
      <c r="B4" s="19" t="s">
        <v>44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true" outlineLevel="0" collapsed="false">
      <c r="B6" s="7" t="s">
        <v>410</v>
      </c>
      <c r="C6" s="20" t="s">
        <v>235</v>
      </c>
      <c r="D6" s="15" t="n">
        <f aca="false">ProdPlan!D11</f>
        <v>0.101637492941841</v>
      </c>
      <c r="E6" s="15" t="n">
        <f aca="false">ProdPlan!E11</f>
        <v>0.829710144927536</v>
      </c>
      <c r="F6" s="15" t="n">
        <f aca="false">ProdPlan!F11</f>
        <v>1</v>
      </c>
      <c r="G6" s="15" t="n">
        <f aca="false">ProdPlan!G11</f>
        <v>1</v>
      </c>
      <c r="H6" s="15" t="n">
        <f aca="false">ProdPlan!H11</f>
        <v>1</v>
      </c>
      <c r="I6" s="15" t="n">
        <f aca="false">ProdPlan!I11</f>
        <v>1</v>
      </c>
      <c r="J6" s="15" t="n">
        <f aca="false">ProdPlan!J11</f>
        <v>1</v>
      </c>
    </row>
    <row r="8" customFormat="false" ht="15" hidden="false" customHeight="true" outlineLevel="0" collapsed="false">
      <c r="B8" s="34" t="s">
        <v>411</v>
      </c>
    </row>
    <row r="9" customFormat="false" ht="15" hidden="false" customHeight="true" outlineLevel="0" collapsed="false">
      <c r="B9" s="7" t="s">
        <v>412</v>
      </c>
      <c r="C9" s="20" t="s">
        <v>34</v>
      </c>
      <c r="D9" s="14" t="n">
        <v>25462057.0615867</v>
      </c>
      <c r="E9" s="14" t="n">
        <v>210675455.861217</v>
      </c>
      <c r="F9" s="14" t="n">
        <v>259500642.73225</v>
      </c>
      <c r="G9" s="14" t="n">
        <v>265209656.87236</v>
      </c>
      <c r="H9" s="14" t="n">
        <v>271044269.323552</v>
      </c>
      <c r="I9" s="14" t="n">
        <v>277007243.24867</v>
      </c>
      <c r="J9" s="14" t="n">
        <v>283101402.600141</v>
      </c>
    </row>
    <row r="10" customFormat="false" ht="15" hidden="false" customHeight="true" outlineLevel="0" collapsed="false">
      <c r="B10" s="7" t="s">
        <v>413</v>
      </c>
      <c r="C10" s="20" t="s">
        <v>34</v>
      </c>
      <c r="D10" s="14" t="n">
        <v>569592.626754162</v>
      </c>
      <c r="E10" s="14" t="n">
        <v>4712862.98692881</v>
      </c>
      <c r="F10" s="14" t="n">
        <v>5805094.70938421</v>
      </c>
      <c r="G10" s="14" t="n">
        <v>5932806.79299066</v>
      </c>
      <c r="H10" s="14" t="n">
        <v>6063328.54243646</v>
      </c>
      <c r="I10" s="14" t="n">
        <v>6196721.77037006</v>
      </c>
      <c r="J10" s="14" t="n">
        <v>6333049.6493182</v>
      </c>
    </row>
    <row r="11" customFormat="false" ht="15" hidden="false" customHeight="true" outlineLevel="0" collapsed="false">
      <c r="B11" s="7" t="s">
        <v>414</v>
      </c>
      <c r="C11" s="20" t="s">
        <v>34</v>
      </c>
      <c r="D11" s="14" t="n">
        <v>149650.332211388</v>
      </c>
      <c r="E11" s="14" t="n">
        <v>997808.6907449</v>
      </c>
      <c r="F11" s="14" t="n">
        <v>1180595.18882465</v>
      </c>
      <c r="G11" s="14" t="n">
        <v>1206568.28297879</v>
      </c>
      <c r="H11" s="14" t="n">
        <v>1233112.78520432</v>
      </c>
      <c r="I11" s="14" t="n">
        <v>1260241.26647882</v>
      </c>
      <c r="J11" s="14" t="n">
        <v>1287966.57434135</v>
      </c>
    </row>
    <row r="12" customFormat="false" ht="15" hidden="false" customHeight="true" outlineLevel="0" collapsed="false">
      <c r="B12" s="7" t="s">
        <v>415</v>
      </c>
      <c r="C12" s="20" t="s">
        <v>34</v>
      </c>
      <c r="D12" s="14" t="n">
        <v>139941.219510979</v>
      </c>
      <c r="E12" s="14" t="n">
        <v>933072.202100125</v>
      </c>
      <c r="F12" s="14" t="n">
        <v>1103999.75751169</v>
      </c>
      <c r="G12" s="14" t="n">
        <v>1128287.75217695</v>
      </c>
      <c r="H12" s="14" t="n">
        <v>1153110.08272484</v>
      </c>
      <c r="I12" s="14" t="n">
        <v>1178478.50454479</v>
      </c>
      <c r="J12" s="14" t="n">
        <v>1204405.03164477</v>
      </c>
    </row>
    <row r="13" customFormat="false" ht="15" hidden="false" customHeight="true" outlineLevel="0" collapsed="false">
      <c r="B13" s="7" t="s">
        <v>416</v>
      </c>
      <c r="C13" s="20" t="s">
        <v>34</v>
      </c>
      <c r="D13" s="14" t="n">
        <v>18169.7691323263</v>
      </c>
      <c r="E13" s="14" t="n">
        <v>122546.594959834</v>
      </c>
      <c r="F13" s="14" t="n">
        <v>145345.306517534</v>
      </c>
      <c r="G13" s="14" t="n">
        <v>148542.90326092</v>
      </c>
      <c r="H13" s="14" t="n">
        <v>151810.84713266</v>
      </c>
      <c r="I13" s="14" t="n">
        <v>155150.685769579</v>
      </c>
      <c r="J13" s="14" t="n">
        <v>158564.00085651</v>
      </c>
    </row>
    <row r="14" customFormat="false" ht="15" hidden="false" customHeight="true" outlineLevel="0" collapsed="false">
      <c r="B14" s="7" t="s">
        <v>417</v>
      </c>
      <c r="C14" s="20" t="s">
        <v>34</v>
      </c>
      <c r="D14" s="14" t="n">
        <v>361689.029259401</v>
      </c>
      <c r="E14" s="14" t="n">
        <v>1491402.30419073</v>
      </c>
      <c r="F14" s="14" t="n">
        <v>1524051.95384809</v>
      </c>
      <c r="G14" s="14" t="n">
        <v>1557566.85400099</v>
      </c>
      <c r="H14" s="14" t="n">
        <v>1591833.32478901</v>
      </c>
      <c r="I14" s="14" t="n">
        <v>1626853.65793437</v>
      </c>
      <c r="J14" s="14" t="n">
        <v>1662644.43840893</v>
      </c>
    </row>
    <row r="15" customFormat="false" ht="15" hidden="false" customHeight="true" outlineLevel="0" collapsed="false">
      <c r="B15" s="7" t="s">
        <v>418</v>
      </c>
      <c r="C15" s="20" t="s">
        <v>34</v>
      </c>
      <c r="D15" s="14" t="n">
        <v>43402.6835111281</v>
      </c>
      <c r="E15" s="14" t="n">
        <v>178968.276502888</v>
      </c>
      <c r="F15" s="14" t="n">
        <v>182886.234461771</v>
      </c>
      <c r="G15" s="14" t="n">
        <v>186908.022480119</v>
      </c>
      <c r="H15" s="14" t="n">
        <v>191019.998974681</v>
      </c>
      <c r="I15" s="14" t="n">
        <v>195222.438952124</v>
      </c>
      <c r="J15" s="14" t="n">
        <v>199517.332609071</v>
      </c>
    </row>
    <row r="16" customFormat="false" ht="15" hidden="false" customHeight="true" outlineLevel="0" collapsed="false">
      <c r="B16" s="7" t="s">
        <v>419</v>
      </c>
      <c r="C16" s="20" t="s">
        <v>34</v>
      </c>
      <c r="D16" s="14" t="n">
        <f aca="false">Depreciate!$G$22</f>
        <v>620914.297791676</v>
      </c>
      <c r="E16" s="14" t="n">
        <f aca="false">Depreciate!$H$22</f>
        <v>2535269.60932147</v>
      </c>
      <c r="F16" s="14" t="n">
        <f aca="false">Depreciate!$I$22</f>
        <v>2582911.84146432</v>
      </c>
      <c r="G16" s="14" t="n">
        <f aca="false">Depreciate!$J$22</f>
        <v>2630554.07360718</v>
      </c>
      <c r="H16" s="14" t="n">
        <f aca="false">Depreciate!$K$22</f>
        <v>2678196.30575004</v>
      </c>
      <c r="I16" s="14" t="n">
        <f aca="false">Depreciate!$L$22</f>
        <v>2725838.53789289</v>
      </c>
      <c r="J16" s="14" t="n">
        <f aca="false">Depreciate!$M$22</f>
        <v>2773480.77003575</v>
      </c>
    </row>
    <row r="17" customFormat="false" ht="15" hidden="false" customHeight="true" outlineLevel="0" collapsed="false">
      <c r="B17" s="7" t="s">
        <v>420</v>
      </c>
      <c r="C17" s="20" t="s">
        <v>34</v>
      </c>
      <c r="D17" s="14" t="n">
        <v>92767.6816704678</v>
      </c>
      <c r="E17" s="14" t="n">
        <v>767568.526684317</v>
      </c>
      <c r="F17" s="14" t="n">
        <v>945456.722527941</v>
      </c>
      <c r="G17" s="14" t="n">
        <v>966256.770423556</v>
      </c>
      <c r="H17" s="14" t="n">
        <v>987514.419372874</v>
      </c>
      <c r="I17" s="14" t="n">
        <v>1009239.73659908</v>
      </c>
      <c r="J17" s="14" t="n">
        <v>1031443.01080426</v>
      </c>
    </row>
    <row r="18" customFormat="false" ht="15" hidden="false" customHeight="true" outlineLevel="0" collapsed="false">
      <c r="B18" s="7" t="s">
        <v>421</v>
      </c>
      <c r="C18" s="20" t="s">
        <v>34</v>
      </c>
      <c r="D18" s="14" t="n">
        <v>60597.2398532533</v>
      </c>
      <c r="E18" s="14" t="n">
        <v>501387.264160821</v>
      </c>
      <c r="F18" s="14" t="n">
        <v>617586.499460136</v>
      </c>
      <c r="G18" s="14" t="n">
        <v>631173.402448259</v>
      </c>
      <c r="H18" s="14" t="n">
        <v>645059.21730212</v>
      </c>
      <c r="I18" s="14" t="n">
        <v>659250.520082767</v>
      </c>
      <c r="J18" s="14" t="n">
        <v>673754.031524588</v>
      </c>
    </row>
    <row r="19" customFormat="false" ht="15" hidden="false" customHeight="true" outlineLevel="0" collapsed="false">
      <c r="B19" s="7" t="s">
        <v>422</v>
      </c>
      <c r="C19" s="20" t="s">
        <v>34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</row>
    <row r="20" customFormat="false" ht="15" hidden="false" customHeight="true" outlineLevel="0" collapsed="false">
      <c r="B20" s="72" t="s">
        <v>423</v>
      </c>
      <c r="C20" s="60" t="s">
        <v>34</v>
      </c>
      <c r="D20" s="49" t="n">
        <f aca="false">SUM(D9:D19)</f>
        <v>27518781.9412815</v>
      </c>
      <c r="E20" s="49" t="n">
        <f aca="false">SUM(E9:E19)</f>
        <v>222916342.316811</v>
      </c>
      <c r="F20" s="49" t="n">
        <f aca="false">SUM(F9:F19)</f>
        <v>273588570.94625</v>
      </c>
      <c r="G20" s="49" t="n">
        <f aca="false">SUM(G9:G19)</f>
        <v>279598321.726727</v>
      </c>
      <c r="H20" s="49" t="n">
        <f aca="false">SUM(H9:H19)</f>
        <v>285739254.847239</v>
      </c>
      <c r="I20" s="49" t="n">
        <f aca="false">SUM(I9:I19)</f>
        <v>292014240.367295</v>
      </c>
      <c r="J20" s="49" t="n">
        <f aca="false">SUM(J9:J19)</f>
        <v>298426227.439684</v>
      </c>
    </row>
    <row r="21" customFormat="false" ht="15" hidden="false" customHeight="true" outlineLevel="0" collapsed="false">
      <c r="B21" s="7" t="s">
        <v>424</v>
      </c>
      <c r="C21" s="20" t="s">
        <v>34</v>
      </c>
      <c r="D21" s="14" t="n">
        <v>-6425081.90462449</v>
      </c>
      <c r="E21" s="14" t="n">
        <v>-5650593.31222437</v>
      </c>
      <c r="F21" s="14" t="n">
        <v>-2773949.93957783</v>
      </c>
      <c r="G21" s="14" t="n">
        <v>-326690.879360625</v>
      </c>
      <c r="H21" s="14" t="n">
        <v>-333878.952787467</v>
      </c>
      <c r="I21" s="14" t="n">
        <v>-341224.289748737</v>
      </c>
      <c r="J21" s="14" t="n">
        <v>-348731.224123188</v>
      </c>
    </row>
    <row r="22" customFormat="false" ht="15" hidden="false" customHeight="true" outlineLevel="0" collapsed="false">
      <c r="B22" s="72" t="s">
        <v>425</v>
      </c>
      <c r="C22" s="60" t="s">
        <v>34</v>
      </c>
      <c r="D22" s="49" t="n">
        <f aca="false">D20+D21</f>
        <v>21093700.036657</v>
      </c>
      <c r="E22" s="49" t="n">
        <f aca="false">E20+E21</f>
        <v>217265749.004587</v>
      </c>
      <c r="F22" s="49" t="n">
        <f aca="false">F20+F21</f>
        <v>270814621.006673</v>
      </c>
      <c r="G22" s="49" t="n">
        <f aca="false">G20+G21</f>
        <v>279271630.847367</v>
      </c>
      <c r="H22" s="49" t="n">
        <f aca="false">H20+H21</f>
        <v>285405375.894452</v>
      </c>
      <c r="I22" s="49" t="n">
        <f aca="false">I20+I21</f>
        <v>291673016.077546</v>
      </c>
      <c r="J22" s="49" t="n">
        <f aca="false">J20+J21</f>
        <v>298077496.215561</v>
      </c>
    </row>
    <row r="23" customFormat="false" ht="15" hidden="false" customHeight="true" outlineLevel="0" collapsed="false">
      <c r="B23" s="7" t="s">
        <v>426</v>
      </c>
      <c r="C23" s="20" t="s">
        <v>235</v>
      </c>
      <c r="D23" s="15" t="n">
        <v>0.952114613686227</v>
      </c>
      <c r="E23" s="15" t="n">
        <v>0.961434979905974</v>
      </c>
      <c r="F23" s="15" t="n">
        <v>0.962913826179313</v>
      </c>
      <c r="G23" s="15" t="n">
        <v>0.962799056430181</v>
      </c>
      <c r="H23" s="15" t="n">
        <v>0.962686702997501</v>
      </c>
      <c r="I23" s="15" t="n">
        <v>0.962576768131865</v>
      </c>
      <c r="J23" s="15" t="n">
        <v>0.962469199770186</v>
      </c>
    </row>
    <row r="24" customFormat="false" ht="15" hidden="false" customHeight="true" outlineLevel="0" collapsed="false">
      <c r="B24" s="7" t="s">
        <v>427</v>
      </c>
      <c r="C24" s="20" t="s">
        <v>34</v>
      </c>
      <c r="D24" s="14" t="n">
        <f aca="false">D22*D23</f>
        <v>20083620.0616148</v>
      </c>
      <c r="E24" s="14" t="n">
        <f aca="false">E22*E23</f>
        <v>208886891.028481</v>
      </c>
      <c r="F24" s="14" t="n">
        <f aca="false">F22*F23</f>
        <v>260771142.898836</v>
      </c>
      <c r="G24" s="14" t="n">
        <f aca="false">G22*G23</f>
        <v>268882462.667563</v>
      </c>
      <c r="H24" s="14" t="n">
        <f aca="false">H22*H23</f>
        <v>274755960.337592</v>
      </c>
      <c r="I24" s="14" t="n">
        <f aca="false">I22*I23</f>
        <v>280757669.167198</v>
      </c>
      <c r="J24" s="14" t="n">
        <f aca="false">J22*J23</f>
        <v>286890409.252092</v>
      </c>
    </row>
    <row r="25" customFormat="false" ht="15" hidden="false" customHeight="true" outlineLevel="0" collapsed="false">
      <c r="B25" s="7" t="s">
        <v>428</v>
      </c>
      <c r="C25" s="20" t="s">
        <v>34</v>
      </c>
      <c r="D25" s="14" t="n">
        <f aca="false">D22-D24</f>
        <v>1010079.97504217</v>
      </c>
      <c r="E25" s="14" t="n">
        <f aca="false">E22-E24</f>
        <v>8378857.97610548</v>
      </c>
      <c r="F25" s="14" t="n">
        <f aca="false">F22-F24</f>
        <v>10043478.1078369</v>
      </c>
      <c r="G25" s="14" t="n">
        <f aca="false">G22-G24</f>
        <v>10389168.1798042</v>
      </c>
      <c r="H25" s="14" t="n">
        <f aca="false">H22-H24</f>
        <v>10649415.5568596</v>
      </c>
      <c r="I25" s="14" t="n">
        <f aca="false">I22-I24</f>
        <v>10915346.9103482</v>
      </c>
      <c r="J25" s="14" t="n">
        <f aca="false">J22-J24</f>
        <v>11187086.9634694</v>
      </c>
    </row>
    <row r="27" customFormat="false" ht="15" hidden="false" customHeight="true" outlineLevel="0" collapsed="false">
      <c r="B27" s="34" t="s">
        <v>429</v>
      </c>
    </row>
    <row r="28" customFormat="false" ht="15" hidden="false" customHeight="true" outlineLevel="0" collapsed="false">
      <c r="B28" s="7" t="s">
        <v>430</v>
      </c>
      <c r="C28" s="20" t="s">
        <v>34</v>
      </c>
      <c r="D28" s="14" t="n">
        <v>352796.225853555</v>
      </c>
      <c r="E28" s="14" t="n">
        <v>358339.634709611</v>
      </c>
      <c r="F28" s="14" t="n">
        <v>366184.374857015</v>
      </c>
      <c r="G28" s="14" t="n">
        <v>374237.008974832</v>
      </c>
      <c r="H28" s="14" t="n">
        <v>382470.223172278</v>
      </c>
      <c r="I28" s="14" t="n">
        <v>390884.568082069</v>
      </c>
      <c r="J28" s="14" t="n">
        <v>399484.028579874</v>
      </c>
    </row>
    <row r="29" customFormat="false" ht="15" hidden="false" customHeight="true" outlineLevel="0" collapsed="false">
      <c r="B29" s="7" t="s">
        <v>431</v>
      </c>
      <c r="C29" s="20" t="s">
        <v>34</v>
      </c>
      <c r="D29" s="14" t="n">
        <f aca="false">Depreciate!$G$23</f>
        <v>2678.57142857143</v>
      </c>
      <c r="E29" s="14" t="n">
        <f aca="false">Depreciate!$H$23</f>
        <v>10714.2857142857</v>
      </c>
      <c r="F29" s="14" t="n">
        <f aca="false">Depreciate!$I$23</f>
        <v>10714.2857142857</v>
      </c>
      <c r="G29" s="14" t="n">
        <f aca="false">Depreciate!$J$23</f>
        <v>10714.2857142857</v>
      </c>
      <c r="H29" s="14" t="n">
        <f aca="false">Depreciate!$K$23</f>
        <v>10714.2857142857</v>
      </c>
      <c r="I29" s="14" t="n">
        <f aca="false">Depreciate!$L$23</f>
        <v>8035.71428571429</v>
      </c>
      <c r="J29" s="14" t="n">
        <f aca="false">Depreciate!$M$23</f>
        <v>0</v>
      </c>
    </row>
    <row r="30" customFormat="false" ht="23.25" hidden="false" customHeight="true" outlineLevel="0" collapsed="false">
      <c r="B30" s="7" t="s">
        <v>432</v>
      </c>
      <c r="C30" s="20" t="s">
        <v>34</v>
      </c>
      <c r="D30" s="14" t="n">
        <v>2590303.19664062</v>
      </c>
      <c r="E30" s="14" t="n">
        <v>3475906.66142137</v>
      </c>
      <c r="F30" s="14" t="n">
        <v>3712123.43081877</v>
      </c>
      <c r="G30" s="14" t="n">
        <v>3793788.55109963</v>
      </c>
      <c r="H30" s="14" t="n">
        <v>3877251.8992238</v>
      </c>
      <c r="I30" s="14" t="n">
        <v>3962551.44100674</v>
      </c>
      <c r="J30" s="14" t="n">
        <v>4049727.57270889</v>
      </c>
    </row>
    <row r="31" customFormat="false" ht="15" hidden="false" customHeight="true" outlineLevel="0" collapsed="false">
      <c r="B31" s="7" t="s">
        <v>433</v>
      </c>
      <c r="C31" s="20" t="s">
        <v>34</v>
      </c>
      <c r="D31" s="14" t="n">
        <v>141656.25</v>
      </c>
      <c r="E31" s="14" t="n">
        <v>1237027.8225</v>
      </c>
      <c r="F31" s="14" t="n">
        <v>1539597.98540625</v>
      </c>
      <c r="G31" s="14" t="n">
        <v>1593381.9825</v>
      </c>
      <c r="H31" s="14" t="n">
        <v>1628434.5</v>
      </c>
      <c r="I31" s="14" t="n">
        <v>1664257.4025</v>
      </c>
      <c r="J31" s="14" t="n">
        <v>1700877.255</v>
      </c>
    </row>
    <row r="32" customFormat="false" ht="15" hidden="false" customHeight="true" outlineLevel="0" collapsed="false">
      <c r="B32" s="72" t="s">
        <v>434</v>
      </c>
      <c r="C32" s="60" t="s">
        <v>34</v>
      </c>
      <c r="D32" s="49" t="n">
        <f aca="false">SUM(D28:D31)</f>
        <v>3087434.24392275</v>
      </c>
      <c r="E32" s="49" t="n">
        <f aca="false">SUM(E28:E31)</f>
        <v>5081988.40434527</v>
      </c>
      <c r="F32" s="49" t="n">
        <f aca="false">SUM(F28:F31)</f>
        <v>5628620.07679632</v>
      </c>
      <c r="G32" s="49" t="n">
        <f aca="false">SUM(G28:G31)</f>
        <v>5772121.82828875</v>
      </c>
      <c r="H32" s="49" t="n">
        <f aca="false">SUM(H28:H31)</f>
        <v>5898870.90811036</v>
      </c>
      <c r="I32" s="49" t="n">
        <f aca="false">SUM(I28:I31)</f>
        <v>6025729.12587452</v>
      </c>
      <c r="J32" s="49" t="n">
        <f aca="false">SUM(J28:J31)</f>
        <v>6150088.85628876</v>
      </c>
    </row>
    <row r="34" customFormat="false" ht="15" hidden="false" customHeight="true" outlineLevel="0" collapsed="false">
      <c r="B34" s="34" t="s">
        <v>435</v>
      </c>
    </row>
    <row r="35" customFormat="false" ht="15" hidden="false" customHeight="true" outlineLevel="0" collapsed="false">
      <c r="B35" s="7" t="s">
        <v>357</v>
      </c>
      <c r="C35" s="20" t="s">
        <v>34</v>
      </c>
      <c r="D35" s="14" t="n">
        <v>106126.3125</v>
      </c>
      <c r="E35" s="14" t="n">
        <v>415276.875</v>
      </c>
      <c r="F35" s="14" t="n">
        <v>406758.375</v>
      </c>
      <c r="G35" s="14" t="n">
        <v>398239.875</v>
      </c>
      <c r="H35" s="14" t="n">
        <v>389721.375</v>
      </c>
      <c r="I35" s="14" t="n">
        <v>381202.875</v>
      </c>
      <c r="J35" s="14" t="n">
        <v>372684.375</v>
      </c>
    </row>
    <row r="36" customFormat="false" ht="15" hidden="false" customHeight="true" outlineLevel="0" collapsed="false">
      <c r="B36" s="7" t="s">
        <v>359</v>
      </c>
      <c r="C36" s="20" t="s">
        <v>34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</row>
    <row r="37" customFormat="false" ht="15" hidden="false" customHeight="true" outlineLevel="0" collapsed="false">
      <c r="B37" s="7" t="s">
        <v>360</v>
      </c>
      <c r="C37" s="20" t="s">
        <v>34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</row>
    <row r="38" customFormat="false" ht="15" hidden="false" customHeight="true" outlineLevel="0" collapsed="false">
      <c r="B38" s="7" t="s">
        <v>436</v>
      </c>
      <c r="C38" s="20" t="s">
        <v>34</v>
      </c>
      <c r="D38" s="14" t="n">
        <v>599652.46631968</v>
      </c>
      <c r="E38" s="14" t="n">
        <v>4509046.93652242</v>
      </c>
      <c r="F38" s="14" t="n">
        <v>5532471.29791737</v>
      </c>
      <c r="G38" s="14" t="n">
        <v>5654583.50391389</v>
      </c>
      <c r="H38" s="14" t="n">
        <v>5778984.30327769</v>
      </c>
      <c r="I38" s="14" t="n">
        <v>5906121.90481981</v>
      </c>
      <c r="J38" s="14" t="n">
        <v>6036056.71051874</v>
      </c>
    </row>
    <row r="39" customFormat="false" ht="15" hidden="false" customHeight="true" outlineLevel="0" collapsed="false">
      <c r="B39" s="7" t="s">
        <v>437</v>
      </c>
      <c r="C39" s="20" t="s">
        <v>34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</row>
    <row r="40" customFormat="false" ht="15" hidden="false" customHeight="true" outlineLevel="0" collapsed="false">
      <c r="B40" s="72" t="s">
        <v>438</v>
      </c>
      <c r="C40" s="60" t="s">
        <v>34</v>
      </c>
      <c r="D40" s="49" t="n">
        <f aca="false">SUM(D35:D39)</f>
        <v>705778.77881968</v>
      </c>
      <c r="E40" s="49" t="n">
        <f aca="false">SUM(E35:E39)</f>
        <v>4924323.81152242</v>
      </c>
      <c r="F40" s="49" t="n">
        <f aca="false">SUM(F35:F39)</f>
        <v>5939229.67291737</v>
      </c>
      <c r="G40" s="49" t="n">
        <f aca="false">SUM(G35:G39)</f>
        <v>6052823.37891389</v>
      </c>
      <c r="H40" s="49" t="n">
        <f aca="false">SUM(H35:H39)</f>
        <v>6168705.67827769</v>
      </c>
      <c r="I40" s="49" t="n">
        <f aca="false">SUM(I35:I39)</f>
        <v>6287324.77981981</v>
      </c>
      <c r="J40" s="49" t="n">
        <f aca="false">SUM(J35:J39)</f>
        <v>6408741.08551874</v>
      </c>
    </row>
    <row r="42" customFormat="false" ht="15" hidden="false" customHeight="true" outlineLevel="0" collapsed="false">
      <c r="B42" s="34" t="s">
        <v>439</v>
      </c>
    </row>
    <row r="43" customFormat="false" ht="23.25" hidden="false" customHeight="true" outlineLevel="0" collapsed="false">
      <c r="B43" s="7" t="s">
        <v>440</v>
      </c>
      <c r="C43" s="20" t="s">
        <v>34</v>
      </c>
      <c r="D43" s="14" t="n">
        <v>0</v>
      </c>
      <c r="E43" s="14" t="n">
        <f aca="false">LOANS!$D$106</f>
        <v>1118782.19834813</v>
      </c>
      <c r="F43" s="14" t="n">
        <f aca="false">LOANS!$E$106</f>
        <v>914142.617315518</v>
      </c>
      <c r="G43" s="14" t="n">
        <f aca="false">LOANS!$F$106</f>
        <v>712767.338743775</v>
      </c>
      <c r="H43" s="14" t="n">
        <f aca="false">LOANS!$G$106</f>
        <v>511392.060172031</v>
      </c>
      <c r="I43" s="14" t="n">
        <f aca="false">LOANS!$H$106</f>
        <v>311074.231693245</v>
      </c>
      <c r="J43" s="14" t="n">
        <f aca="false">LOANS!$I$106</f>
        <v>108641.503028545</v>
      </c>
    </row>
    <row r="45" customFormat="false" ht="15" hidden="false" customHeight="true" outlineLevel="0" collapsed="false">
      <c r="B45" s="39" t="s">
        <v>441</v>
      </c>
      <c r="C45" s="63" t="s">
        <v>34</v>
      </c>
      <c r="D45" s="17" t="n">
        <f aca="false">D22+D32+D40+D43</f>
        <v>24886913.0593994</v>
      </c>
      <c r="E45" s="17" t="n">
        <f aca="false">E22+E32+E40+E43</f>
        <v>228390843.418802</v>
      </c>
      <c r="F45" s="17" t="n">
        <f aca="false">F22+F32+F40+F43</f>
        <v>283296613.373702</v>
      </c>
      <c r="G45" s="17" t="n">
        <f aca="false">G22+G32+G40+G43</f>
        <v>291809343.393313</v>
      </c>
      <c r="H45" s="17" t="n">
        <f aca="false">H22+H32+H40+H43</f>
        <v>297984344.541012</v>
      </c>
      <c r="I45" s="17" t="n">
        <f aca="false">I22+I32+I40+I43</f>
        <v>304297144.214933</v>
      </c>
      <c r="J45" s="17" t="n">
        <f aca="false">J22+J32+J40+J43</f>
        <v>310744967.660397</v>
      </c>
    </row>
    <row r="46" customFormat="false" ht="15" hidden="false" customHeight="true" outlineLevel="0" collapsed="false">
      <c r="B46" s="7" t="s">
        <v>442</v>
      </c>
      <c r="C46" s="20" t="s">
        <v>242</v>
      </c>
      <c r="D46" s="14" t="n">
        <f aca="false">IFERROR(D45/(ProdPlan!D15+ProdPlan!D16),0)</f>
        <v>99547.6522375977</v>
      </c>
      <c r="E46" s="14" t="n">
        <f aca="false">IFERROR(E45/(ProdPlan!E15+ProdPlan!E16),0)</f>
        <v>106024.879437731</v>
      </c>
      <c r="F46" s="14" t="n">
        <f aca="false">IFERROR(F45/(ProdPlan!F15+ProdPlan!F16),0)</f>
        <v>107992.714644977</v>
      </c>
      <c r="G46" s="14" t="n">
        <f aca="false">IFERROR(G45/(ProdPlan!G15+ProdPlan!G16),0)</f>
        <v>109847.296590745</v>
      </c>
      <c r="H46" s="14" t="n">
        <f aca="false">IFERROR(H45/(ProdPlan!H15+ProdPlan!H16),0)</f>
        <v>112171.784129875</v>
      </c>
      <c r="I46" s="14" t="n">
        <f aca="false">IFERROR(I45/(ProdPlan!I15+ProdPlan!I16),0)</f>
        <v>114548.143879139</v>
      </c>
      <c r="J46" s="14" t="n">
        <f aca="false">IFERROR(J45/(ProdPlan!J15+ProdPlan!J16),0)</f>
        <v>116975.331323319</v>
      </c>
    </row>
  </sheetData>
  <mergeCells count="9"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9" min="3" style="1" width="16"/>
    <col collapsed="false" customWidth="true" hidden="false" outlineLevel="0" max="10" min="10" style="1" width="8"/>
    <col collapsed="false" customWidth="true" hidden="false" outlineLevel="0" max="12" min="11" style="1" width="3"/>
  </cols>
  <sheetData>
    <row r="2" customFormat="false" ht="15" hidden="false" customHeight="true" outlineLevel="0" collapsed="false">
      <c r="B2" s="3" t="s">
        <v>443</v>
      </c>
      <c r="H2" s="52" t="s">
        <v>444</v>
      </c>
    </row>
    <row r="5" customFormat="false" ht="15" hidden="false" customHeight="true" outlineLevel="0" collapsed="false">
      <c r="B5" s="13" t="s">
        <v>25</v>
      </c>
      <c r="C5" s="59" t="n">
        <f aca="false">ИНФОРМАЦИЯ!$C$28</f>
        <v>84</v>
      </c>
      <c r="D5" s="73" t="s">
        <v>445</v>
      </c>
    </row>
    <row r="6" customFormat="false" ht="15" hidden="false" customHeight="true" outlineLevel="0" collapsed="false">
      <c r="B6" s="13" t="s">
        <v>446</v>
      </c>
      <c r="C6" s="59" t="n">
        <f aca="false">ИНФОРМАЦИЯ!$C$29</f>
        <v>12</v>
      </c>
      <c r="D6" s="73" t="s">
        <v>445</v>
      </c>
    </row>
    <row r="7" customFormat="false" ht="15" hidden="false" customHeight="true" outlineLevel="0" collapsed="false">
      <c r="B7" s="13" t="s">
        <v>447</v>
      </c>
      <c r="C7" s="59" t="n">
        <f aca="false">ИНФОРМАЦИЯ!$C$30</f>
        <v>12</v>
      </c>
      <c r="D7" s="73" t="s">
        <v>445</v>
      </c>
    </row>
    <row r="8" customFormat="false" ht="15" hidden="false" customHeight="true" outlineLevel="0" collapsed="false">
      <c r="B8" s="13" t="s">
        <v>24</v>
      </c>
      <c r="C8" s="15" t="n">
        <f aca="false">ИНФОРМАЦИЯ!$C$27</f>
        <v>0.07</v>
      </c>
      <c r="D8" s="73" t="s">
        <v>448</v>
      </c>
    </row>
    <row r="9" customFormat="false" ht="15" hidden="false" customHeight="true" outlineLevel="0" collapsed="false">
      <c r="B9" s="13" t="s">
        <v>449</v>
      </c>
      <c r="C9" s="14" t="n">
        <f aca="false">ИНФОРМАЦИЯ!$C$26</f>
        <v>17024289.695302</v>
      </c>
      <c r="D9" s="73" t="s">
        <v>34</v>
      </c>
    </row>
    <row r="10" customFormat="false" ht="15" hidden="false" customHeight="true" outlineLevel="0" collapsed="false">
      <c r="B10" s="13" t="s">
        <v>450</v>
      </c>
      <c r="C10" s="74" t="n">
        <f aca="false">ИНФОРМАЦИЯ!$C$31</f>
        <v>46388</v>
      </c>
      <c r="D10" s="73"/>
    </row>
    <row r="11" customFormat="false" ht="15" hidden="false" customHeight="true" outlineLevel="0" collapsed="false">
      <c r="B11" s="13" t="s">
        <v>451</v>
      </c>
      <c r="C11" s="59" t="n">
        <f aca="false">ИНФОРМАЦИЯ!$C$32</f>
        <v>360</v>
      </c>
      <c r="D11" s="73" t="s">
        <v>452</v>
      </c>
    </row>
    <row r="12" customFormat="false" ht="15" hidden="false" customHeight="true" outlineLevel="0" collapsed="false">
      <c r="B12" s="13" t="s">
        <v>453</v>
      </c>
      <c r="C12" s="59" t="n">
        <f aca="false">C5-C6</f>
        <v>72</v>
      </c>
      <c r="D12" s="73" t="s">
        <v>454</v>
      </c>
    </row>
    <row r="13" customFormat="false" ht="15" hidden="false" customHeight="true" outlineLevel="0" collapsed="false">
      <c r="B13" s="13" t="s">
        <v>455</v>
      </c>
      <c r="C13" s="30" t="n">
        <f aca="false">C9/C12</f>
        <v>236448.467990305</v>
      </c>
      <c r="D13" s="73" t="s">
        <v>34</v>
      </c>
    </row>
    <row r="15" customFormat="false" ht="30" hidden="false" customHeight="true" outlineLevel="0" collapsed="false">
      <c r="A15" s="19" t="s">
        <v>456</v>
      </c>
      <c r="B15" s="19" t="s">
        <v>457</v>
      </c>
      <c r="C15" s="19" t="s">
        <v>458</v>
      </c>
      <c r="D15" s="19" t="s">
        <v>127</v>
      </c>
      <c r="E15" s="19" t="s">
        <v>459</v>
      </c>
      <c r="F15" s="19" t="s">
        <v>460</v>
      </c>
      <c r="G15" s="19" t="s">
        <v>461</v>
      </c>
      <c r="H15" s="19" t="s">
        <v>462</v>
      </c>
    </row>
    <row r="16" customFormat="false" ht="15" hidden="false" customHeight="true" outlineLevel="0" collapsed="false">
      <c r="A16" s="75" t="n">
        <v>1</v>
      </c>
      <c r="B16" s="76" t="n">
        <f aca="false">EOMONTH($C$10,0)</f>
        <v>46418</v>
      </c>
      <c r="C16" s="30" t="n">
        <f aca="false">$C$9</f>
        <v>17024289.695302</v>
      </c>
      <c r="D16" s="30" t="n">
        <f aca="false">IF(A16&gt;$C$6,MIN(C16,$C$13),0)</f>
        <v>0</v>
      </c>
      <c r="E16" s="30" t="n">
        <f aca="false">C16*$C$8*DAY(B16)/$C$11</f>
        <v>102618.635107792</v>
      </c>
      <c r="F16" s="30" t="n">
        <f aca="false">D16+E16</f>
        <v>102618.635107792</v>
      </c>
      <c r="G16" s="30" t="n">
        <f aca="false">C16-D16</f>
        <v>17024289.695302</v>
      </c>
      <c r="H16" s="75" t="n">
        <f aca="false">YEAR(B16)-YEAR($C$10)+1</f>
        <v>1</v>
      </c>
    </row>
    <row r="17" customFormat="false" ht="15" hidden="false" customHeight="true" outlineLevel="0" collapsed="false">
      <c r="A17" s="75" t="n">
        <v>2</v>
      </c>
      <c r="B17" s="76" t="n">
        <f aca="false">EOMONTH($C$10,1)</f>
        <v>46446</v>
      </c>
      <c r="C17" s="30" t="n">
        <f aca="false">G16</f>
        <v>17024289.695302</v>
      </c>
      <c r="D17" s="30" t="n">
        <f aca="false">IF(A17&gt;$C$6,MIN(C17,$C$13),0)</f>
        <v>0</v>
      </c>
      <c r="E17" s="30" t="n">
        <f aca="false">C17*$C$8*DAY(B17)/$C$11</f>
        <v>92687.7994521996</v>
      </c>
      <c r="F17" s="30" t="n">
        <f aca="false">D17+E17</f>
        <v>92687.7994521996</v>
      </c>
      <c r="G17" s="30" t="n">
        <f aca="false">C17-D17</f>
        <v>17024289.695302</v>
      </c>
      <c r="H17" s="75" t="n">
        <f aca="false">YEAR(B17)-YEAR($C$10)+1</f>
        <v>1</v>
      </c>
    </row>
    <row r="18" customFormat="false" ht="15" hidden="false" customHeight="true" outlineLevel="0" collapsed="false">
      <c r="A18" s="75" t="n">
        <v>3</v>
      </c>
      <c r="B18" s="76" t="n">
        <f aca="false">EOMONTH($C$10,2)</f>
        <v>46477</v>
      </c>
      <c r="C18" s="30" t="n">
        <f aca="false">G17</f>
        <v>17024289.695302</v>
      </c>
      <c r="D18" s="30" t="n">
        <f aca="false">IF(A18&gt;$C$6,MIN(C18,$C$13),0)</f>
        <v>0</v>
      </c>
      <c r="E18" s="30" t="n">
        <f aca="false">C18*$C$8*DAY(B18)/$C$11</f>
        <v>102618.635107792</v>
      </c>
      <c r="F18" s="30" t="n">
        <f aca="false">D18+E18</f>
        <v>102618.635107792</v>
      </c>
      <c r="G18" s="30" t="n">
        <f aca="false">C18-D18</f>
        <v>17024289.695302</v>
      </c>
      <c r="H18" s="75" t="n">
        <f aca="false">YEAR(B18)-YEAR($C$10)+1</f>
        <v>1</v>
      </c>
    </row>
    <row r="19" customFormat="false" ht="15" hidden="false" customHeight="true" outlineLevel="0" collapsed="false">
      <c r="A19" s="75" t="n">
        <v>4</v>
      </c>
      <c r="B19" s="76" t="n">
        <f aca="false">EOMONTH($C$10,3)</f>
        <v>46507</v>
      </c>
      <c r="C19" s="30" t="n">
        <f aca="false">G18</f>
        <v>17024289.695302</v>
      </c>
      <c r="D19" s="30" t="n">
        <f aca="false">IF(A19&gt;$C$6,MIN(C19,$C$13),0)</f>
        <v>0</v>
      </c>
      <c r="E19" s="30" t="n">
        <f aca="false">C19*$C$8*DAY(B19)/$C$11</f>
        <v>99308.3565559282</v>
      </c>
      <c r="F19" s="30" t="n">
        <f aca="false">D19+E19</f>
        <v>99308.3565559282</v>
      </c>
      <c r="G19" s="30" t="n">
        <f aca="false">C19-D19</f>
        <v>17024289.695302</v>
      </c>
      <c r="H19" s="75" t="n">
        <f aca="false">YEAR(B19)-YEAR($C$10)+1</f>
        <v>1</v>
      </c>
    </row>
    <row r="20" customFormat="false" ht="15" hidden="false" customHeight="true" outlineLevel="0" collapsed="false">
      <c r="A20" s="75" t="n">
        <v>5</v>
      </c>
      <c r="B20" s="76" t="n">
        <f aca="false">EOMONTH($C$10,4)</f>
        <v>46538</v>
      </c>
      <c r="C20" s="30" t="n">
        <f aca="false">G19</f>
        <v>17024289.695302</v>
      </c>
      <c r="D20" s="30" t="n">
        <f aca="false">IF(A20&gt;$C$6,MIN(C20,$C$13),0)</f>
        <v>0</v>
      </c>
      <c r="E20" s="30" t="n">
        <f aca="false">C20*$C$8*DAY(B20)/$C$11</f>
        <v>102618.635107792</v>
      </c>
      <c r="F20" s="30" t="n">
        <f aca="false">D20+E20</f>
        <v>102618.635107792</v>
      </c>
      <c r="G20" s="30" t="n">
        <f aca="false">C20-D20</f>
        <v>17024289.695302</v>
      </c>
      <c r="H20" s="75" t="n">
        <f aca="false">YEAR(B20)-YEAR($C$10)+1</f>
        <v>1</v>
      </c>
    </row>
    <row r="21" customFormat="false" ht="15" hidden="false" customHeight="true" outlineLevel="0" collapsed="false">
      <c r="A21" s="75" t="n">
        <v>6</v>
      </c>
      <c r="B21" s="76" t="n">
        <f aca="false">EOMONTH($C$10,5)</f>
        <v>46568</v>
      </c>
      <c r="C21" s="30" t="n">
        <f aca="false">G20</f>
        <v>17024289.695302</v>
      </c>
      <c r="D21" s="30" t="n">
        <f aca="false">IF(A21&gt;$C$6,MIN(C21,$C$13),0)</f>
        <v>0</v>
      </c>
      <c r="E21" s="30" t="n">
        <f aca="false">C21*$C$8*DAY(B21)/$C$11</f>
        <v>99308.3565559282</v>
      </c>
      <c r="F21" s="30" t="n">
        <f aca="false">D21+E21</f>
        <v>99308.3565559282</v>
      </c>
      <c r="G21" s="30" t="n">
        <f aca="false">C21-D21</f>
        <v>17024289.695302</v>
      </c>
      <c r="H21" s="75" t="n">
        <f aca="false">YEAR(B21)-YEAR($C$10)+1</f>
        <v>1</v>
      </c>
    </row>
    <row r="22" customFormat="false" ht="15" hidden="false" customHeight="true" outlineLevel="0" collapsed="false">
      <c r="A22" s="75" t="n">
        <v>7</v>
      </c>
      <c r="B22" s="76" t="n">
        <f aca="false">EOMONTH($C$10,6)</f>
        <v>46599</v>
      </c>
      <c r="C22" s="30" t="n">
        <f aca="false">G21</f>
        <v>17024289.695302</v>
      </c>
      <c r="D22" s="30" t="n">
        <f aca="false">IF(A22&gt;$C$6,MIN(C22,$C$13),0)</f>
        <v>0</v>
      </c>
      <c r="E22" s="30" t="n">
        <f aca="false">C22*$C$8*DAY(B22)/$C$11</f>
        <v>102618.635107792</v>
      </c>
      <c r="F22" s="30" t="n">
        <f aca="false">D22+E22</f>
        <v>102618.635107792</v>
      </c>
      <c r="G22" s="30" t="n">
        <f aca="false">C22-D22</f>
        <v>17024289.695302</v>
      </c>
      <c r="H22" s="75" t="n">
        <f aca="false">YEAR(B22)-YEAR($C$10)+1</f>
        <v>1</v>
      </c>
    </row>
    <row r="23" customFormat="false" ht="15" hidden="false" customHeight="true" outlineLevel="0" collapsed="false">
      <c r="A23" s="75" t="n">
        <v>8</v>
      </c>
      <c r="B23" s="76" t="n">
        <f aca="false">EOMONTH($C$10,7)</f>
        <v>46630</v>
      </c>
      <c r="C23" s="30" t="n">
        <f aca="false">G22</f>
        <v>17024289.695302</v>
      </c>
      <c r="D23" s="30" t="n">
        <f aca="false">IF(A23&gt;$C$6,MIN(C23,$C$13),0)</f>
        <v>0</v>
      </c>
      <c r="E23" s="30" t="n">
        <f aca="false">C23*$C$8*DAY(B23)/$C$11</f>
        <v>102618.635107792</v>
      </c>
      <c r="F23" s="30" t="n">
        <f aca="false">D23+E23</f>
        <v>102618.635107792</v>
      </c>
      <c r="G23" s="30" t="n">
        <f aca="false">C23-D23</f>
        <v>17024289.695302</v>
      </c>
      <c r="H23" s="75" t="n">
        <f aca="false">YEAR(B23)-YEAR($C$10)+1</f>
        <v>1</v>
      </c>
    </row>
    <row r="24" customFormat="false" ht="15" hidden="false" customHeight="true" outlineLevel="0" collapsed="false">
      <c r="A24" s="75" t="n">
        <v>9</v>
      </c>
      <c r="B24" s="76" t="n">
        <f aca="false">EOMONTH($C$10,8)</f>
        <v>46660</v>
      </c>
      <c r="C24" s="30" t="n">
        <f aca="false">G23</f>
        <v>17024289.695302</v>
      </c>
      <c r="D24" s="30" t="n">
        <f aca="false">IF(A24&gt;$C$6,MIN(C24,$C$13),0)</f>
        <v>0</v>
      </c>
      <c r="E24" s="30" t="n">
        <f aca="false">C24*$C$8*DAY(B24)/$C$11</f>
        <v>99308.3565559282</v>
      </c>
      <c r="F24" s="30" t="n">
        <f aca="false">D24+E24</f>
        <v>99308.3565559282</v>
      </c>
      <c r="G24" s="30" t="n">
        <f aca="false">C24-D24</f>
        <v>17024289.695302</v>
      </c>
      <c r="H24" s="75" t="n">
        <f aca="false">YEAR(B24)-YEAR($C$10)+1</f>
        <v>1</v>
      </c>
    </row>
    <row r="25" customFormat="false" ht="15" hidden="false" customHeight="true" outlineLevel="0" collapsed="false">
      <c r="A25" s="75" t="n">
        <v>10</v>
      </c>
      <c r="B25" s="76" t="n">
        <f aca="false">EOMONTH($C$10,9)</f>
        <v>46691</v>
      </c>
      <c r="C25" s="30" t="n">
        <f aca="false">G24</f>
        <v>17024289.695302</v>
      </c>
      <c r="D25" s="30" t="n">
        <f aca="false">IF(A25&gt;$C$6,MIN(C25,$C$13),0)</f>
        <v>0</v>
      </c>
      <c r="E25" s="30" t="n">
        <f aca="false">C25*$C$8*DAY(B25)/$C$11</f>
        <v>102618.635107792</v>
      </c>
      <c r="F25" s="30" t="n">
        <f aca="false">D25+E25</f>
        <v>102618.635107792</v>
      </c>
      <c r="G25" s="30" t="n">
        <f aca="false">C25-D25</f>
        <v>17024289.695302</v>
      </c>
      <c r="H25" s="75" t="n">
        <f aca="false">YEAR(B25)-YEAR($C$10)+1</f>
        <v>1</v>
      </c>
    </row>
    <row r="26" customFormat="false" ht="15" hidden="false" customHeight="true" outlineLevel="0" collapsed="false">
      <c r="A26" s="75" t="n">
        <v>11</v>
      </c>
      <c r="B26" s="76" t="n">
        <f aca="false">EOMONTH($C$10,10)</f>
        <v>46721</v>
      </c>
      <c r="C26" s="30" t="n">
        <f aca="false">G25</f>
        <v>17024289.695302</v>
      </c>
      <c r="D26" s="30" t="n">
        <f aca="false">IF(A26&gt;$C$6,MIN(C26,$C$13),0)</f>
        <v>0</v>
      </c>
      <c r="E26" s="30" t="n">
        <f aca="false">C26*$C$8*DAY(B26)/$C$11</f>
        <v>99308.3565559282</v>
      </c>
      <c r="F26" s="30" t="n">
        <f aca="false">D26+E26</f>
        <v>99308.3565559282</v>
      </c>
      <c r="G26" s="30" t="n">
        <f aca="false">C26-D26</f>
        <v>17024289.695302</v>
      </c>
      <c r="H26" s="75" t="n">
        <f aca="false">YEAR(B26)-YEAR($C$10)+1</f>
        <v>1</v>
      </c>
    </row>
    <row r="27" customFormat="false" ht="15" hidden="false" customHeight="true" outlineLevel="0" collapsed="false">
      <c r="A27" s="75" t="n">
        <v>12</v>
      </c>
      <c r="B27" s="76" t="n">
        <f aca="false">EOMONTH($C$10,11)</f>
        <v>46752</v>
      </c>
      <c r="C27" s="30" t="n">
        <f aca="false">G26</f>
        <v>17024289.695302</v>
      </c>
      <c r="D27" s="30" t="n">
        <f aca="false">IF(A27&gt;$C$6,MIN(C27,$C$13),0)</f>
        <v>0</v>
      </c>
      <c r="E27" s="30" t="n">
        <f aca="false">C27*$C$8*DAY(B27)/$C$11</f>
        <v>102618.635107792</v>
      </c>
      <c r="F27" s="30" t="n">
        <f aca="false">D27+E27</f>
        <v>102618.635107792</v>
      </c>
      <c r="G27" s="30" t="n">
        <f aca="false">C27-D27</f>
        <v>17024289.695302</v>
      </c>
      <c r="H27" s="75" t="n">
        <f aca="false">YEAR(B27)-YEAR($C$10)+1</f>
        <v>1</v>
      </c>
    </row>
    <row r="28" customFormat="false" ht="15" hidden="false" customHeight="true" outlineLevel="0" collapsed="false">
      <c r="A28" s="75" t="n">
        <v>13</v>
      </c>
      <c r="B28" s="76" t="n">
        <f aca="false">EOMONTH($C$10,12)</f>
        <v>46783</v>
      </c>
      <c r="C28" s="30" t="n">
        <f aca="false">G27</f>
        <v>17024289.695302</v>
      </c>
      <c r="D28" s="30" t="n">
        <f aca="false">IF(A28&gt;$C$6,MIN(C28,$C$13),0)</f>
        <v>236448.467990305</v>
      </c>
      <c r="E28" s="30" t="n">
        <f aca="false">C28*$C$8*DAY(B28)/$C$11</f>
        <v>102618.635107792</v>
      </c>
      <c r="F28" s="30" t="n">
        <f aca="false">D28+E28</f>
        <v>339067.103098098</v>
      </c>
      <c r="G28" s="30" t="n">
        <f aca="false">C28-D28</f>
        <v>16787841.2273117</v>
      </c>
      <c r="H28" s="75" t="n">
        <f aca="false">YEAR(B28)-YEAR($C$10)+1</f>
        <v>2</v>
      </c>
    </row>
    <row r="29" customFormat="false" ht="15" hidden="false" customHeight="true" outlineLevel="0" collapsed="false">
      <c r="A29" s="75" t="n">
        <v>14</v>
      </c>
      <c r="B29" s="76" t="n">
        <f aca="false">EOMONTH($C$10,13)</f>
        <v>46812</v>
      </c>
      <c r="C29" s="30" t="n">
        <f aca="false">G28</f>
        <v>16787841.2273117</v>
      </c>
      <c r="D29" s="30" t="n">
        <f aca="false">IF(A29&gt;$C$6,MIN(C29,$C$13),0)</f>
        <v>236448.467990305</v>
      </c>
      <c r="E29" s="30" t="n">
        <f aca="false">C29*$C$8*DAY(B29)/$C$11</f>
        <v>94664.7713651186</v>
      </c>
      <c r="F29" s="30" t="n">
        <f aca="false">D29+E29</f>
        <v>331113.239355424</v>
      </c>
      <c r="G29" s="30" t="n">
        <f aca="false">C29-D29</f>
        <v>16551392.7593214</v>
      </c>
      <c r="H29" s="75" t="n">
        <f aca="false">YEAR(B29)-YEAR($C$10)+1</f>
        <v>2</v>
      </c>
    </row>
    <row r="30" customFormat="false" ht="15" hidden="false" customHeight="true" outlineLevel="0" collapsed="false">
      <c r="A30" s="75" t="n">
        <v>15</v>
      </c>
      <c r="B30" s="76" t="n">
        <f aca="false">EOMONTH($C$10,14)</f>
        <v>46843</v>
      </c>
      <c r="C30" s="30" t="n">
        <f aca="false">G29</f>
        <v>16551392.7593214</v>
      </c>
      <c r="D30" s="30" t="n">
        <f aca="false">IF(A30&gt;$C$6,MIN(C30,$C$13),0)</f>
        <v>236448.467990305</v>
      </c>
      <c r="E30" s="30" t="n">
        <f aca="false">C30*$C$8*DAY(B30)/$C$11</f>
        <v>99768.1174659093</v>
      </c>
      <c r="F30" s="30" t="n">
        <f aca="false">D30+E30</f>
        <v>336216.585456214</v>
      </c>
      <c r="G30" s="30" t="n">
        <f aca="false">C30-D30</f>
        <v>16314944.2913311</v>
      </c>
      <c r="H30" s="75" t="n">
        <f aca="false">YEAR(B30)-YEAR($C$10)+1</f>
        <v>2</v>
      </c>
    </row>
    <row r="31" customFormat="false" ht="15" hidden="false" customHeight="true" outlineLevel="0" collapsed="false">
      <c r="A31" s="75" t="n">
        <v>16</v>
      </c>
      <c r="B31" s="76" t="n">
        <f aca="false">EOMONTH($C$10,15)</f>
        <v>46873</v>
      </c>
      <c r="C31" s="30" t="n">
        <f aca="false">G30</f>
        <v>16314944.2913311</v>
      </c>
      <c r="D31" s="30" t="n">
        <f aca="false">IF(A31&gt;$C$6,MIN(C31,$C$13),0)</f>
        <v>236448.467990305</v>
      </c>
      <c r="E31" s="30" t="n">
        <f aca="false">C31*$C$8*DAY(B31)/$C$11</f>
        <v>95170.5083660978</v>
      </c>
      <c r="F31" s="30" t="n">
        <f aca="false">D31+E31</f>
        <v>331618.976356403</v>
      </c>
      <c r="G31" s="30" t="n">
        <f aca="false">C31-D31</f>
        <v>16078495.8233407</v>
      </c>
      <c r="H31" s="75" t="n">
        <f aca="false">YEAR(B31)-YEAR($C$10)+1</f>
        <v>2</v>
      </c>
    </row>
    <row r="32" customFormat="false" ht="15" hidden="false" customHeight="true" outlineLevel="0" collapsed="false">
      <c r="A32" s="75" t="n">
        <v>17</v>
      </c>
      <c r="B32" s="76" t="n">
        <f aca="false">EOMONTH($C$10,16)</f>
        <v>46904</v>
      </c>
      <c r="C32" s="30" t="n">
        <f aca="false">G31</f>
        <v>16078495.8233407</v>
      </c>
      <c r="D32" s="30" t="n">
        <f aca="false">IF(A32&gt;$C$6,MIN(C32,$C$13),0)</f>
        <v>236448.467990305</v>
      </c>
      <c r="E32" s="30" t="n">
        <f aca="false">C32*$C$8*DAY(B32)/$C$11</f>
        <v>96917.5998240262</v>
      </c>
      <c r="F32" s="30" t="n">
        <f aca="false">D32+E32</f>
        <v>333366.067814331</v>
      </c>
      <c r="G32" s="30" t="n">
        <f aca="false">C32-D32</f>
        <v>15842047.3553504</v>
      </c>
      <c r="H32" s="75" t="n">
        <f aca="false">YEAR(B32)-YEAR($C$10)+1</f>
        <v>2</v>
      </c>
    </row>
    <row r="33" customFormat="false" ht="15" hidden="false" customHeight="true" outlineLevel="0" collapsed="false">
      <c r="A33" s="75" t="n">
        <v>18</v>
      </c>
      <c r="B33" s="76" t="n">
        <f aca="false">EOMONTH($C$10,17)</f>
        <v>46934</v>
      </c>
      <c r="C33" s="30" t="n">
        <f aca="false">G32</f>
        <v>15842047.3553504</v>
      </c>
      <c r="D33" s="30" t="n">
        <f aca="false">IF(A33&gt;$C$6,MIN(C33,$C$13),0)</f>
        <v>236448.467990305</v>
      </c>
      <c r="E33" s="30" t="n">
        <f aca="false">C33*$C$8*DAY(B33)/$C$11</f>
        <v>92411.9429062109</v>
      </c>
      <c r="F33" s="30" t="n">
        <f aca="false">D33+E33</f>
        <v>328860.410896516</v>
      </c>
      <c r="G33" s="30" t="n">
        <f aca="false">C33-D33</f>
        <v>15605598.8873601</v>
      </c>
      <c r="H33" s="75" t="n">
        <f aca="false">YEAR(B33)-YEAR($C$10)+1</f>
        <v>2</v>
      </c>
    </row>
    <row r="34" customFormat="false" ht="15" hidden="false" customHeight="true" outlineLevel="0" collapsed="false">
      <c r="A34" s="75" t="n">
        <v>19</v>
      </c>
      <c r="B34" s="76" t="n">
        <f aca="false">EOMONTH($C$10,18)</f>
        <v>46965</v>
      </c>
      <c r="C34" s="30" t="n">
        <f aca="false">G33</f>
        <v>15605598.8873601</v>
      </c>
      <c r="D34" s="30" t="n">
        <f aca="false">IF(A34&gt;$C$6,MIN(C34,$C$13),0)</f>
        <v>236448.467990305</v>
      </c>
      <c r="E34" s="30" t="n">
        <f aca="false">C34*$C$8*DAY(B34)/$C$11</f>
        <v>94067.0821821431</v>
      </c>
      <c r="F34" s="30" t="n">
        <f aca="false">D34+E34</f>
        <v>330515.550172448</v>
      </c>
      <c r="G34" s="30" t="n">
        <f aca="false">C34-D34</f>
        <v>15369150.4193698</v>
      </c>
      <c r="H34" s="75" t="n">
        <f aca="false">YEAR(B34)-YEAR($C$10)+1</f>
        <v>2</v>
      </c>
    </row>
    <row r="35" customFormat="false" ht="15" hidden="false" customHeight="true" outlineLevel="0" collapsed="false">
      <c r="A35" s="75" t="n">
        <v>20</v>
      </c>
      <c r="B35" s="76" t="n">
        <f aca="false">EOMONTH($C$10,19)</f>
        <v>46996</v>
      </c>
      <c r="C35" s="30" t="n">
        <f aca="false">G34</f>
        <v>15369150.4193698</v>
      </c>
      <c r="D35" s="30" t="n">
        <f aca="false">IF(A35&gt;$C$6,MIN(C35,$C$13),0)</f>
        <v>236448.467990305</v>
      </c>
      <c r="E35" s="30" t="n">
        <f aca="false">C35*$C$8*DAY(B35)/$C$11</f>
        <v>92641.8233612015</v>
      </c>
      <c r="F35" s="30" t="n">
        <f aca="false">D35+E35</f>
        <v>329090.291351507</v>
      </c>
      <c r="G35" s="30" t="n">
        <f aca="false">C35-D35</f>
        <v>15132701.9513795</v>
      </c>
      <c r="H35" s="75" t="n">
        <f aca="false">YEAR(B35)-YEAR($C$10)+1</f>
        <v>2</v>
      </c>
    </row>
    <row r="36" customFormat="false" ht="15" hidden="false" customHeight="true" outlineLevel="0" collapsed="false">
      <c r="A36" s="75" t="n">
        <v>21</v>
      </c>
      <c r="B36" s="76" t="n">
        <f aca="false">EOMONTH($C$10,20)</f>
        <v>47026</v>
      </c>
      <c r="C36" s="30" t="n">
        <f aca="false">G35</f>
        <v>15132701.9513795</v>
      </c>
      <c r="D36" s="30" t="n">
        <f aca="false">IF(A36&gt;$C$6,MIN(C36,$C$13),0)</f>
        <v>236448.467990305</v>
      </c>
      <c r="E36" s="30" t="n">
        <f aca="false">C36*$C$8*DAY(B36)/$C$11</f>
        <v>88274.0947163806</v>
      </c>
      <c r="F36" s="30" t="n">
        <f aca="false">D36+E36</f>
        <v>324722.562706686</v>
      </c>
      <c r="G36" s="30" t="n">
        <f aca="false">C36-D36</f>
        <v>14896253.4833892</v>
      </c>
      <c r="H36" s="75" t="n">
        <f aca="false">YEAR(B36)-YEAR($C$10)+1</f>
        <v>2</v>
      </c>
    </row>
    <row r="37" customFormat="false" ht="15" hidden="false" customHeight="true" outlineLevel="0" collapsed="false">
      <c r="A37" s="75" t="n">
        <v>22</v>
      </c>
      <c r="B37" s="76" t="n">
        <f aca="false">EOMONTH($C$10,21)</f>
        <v>47057</v>
      </c>
      <c r="C37" s="30" t="n">
        <f aca="false">G36</f>
        <v>14896253.4833892</v>
      </c>
      <c r="D37" s="30" t="n">
        <f aca="false">IF(A37&gt;$C$6,MIN(C37,$C$13),0)</f>
        <v>236448.467990305</v>
      </c>
      <c r="E37" s="30" t="n">
        <f aca="false">C37*$C$8*DAY(B37)/$C$11</f>
        <v>89791.3057193184</v>
      </c>
      <c r="F37" s="30" t="n">
        <f aca="false">D37+E37</f>
        <v>326239.773709624</v>
      </c>
      <c r="G37" s="30" t="n">
        <f aca="false">C37-D37</f>
        <v>14659805.0153989</v>
      </c>
      <c r="H37" s="75" t="n">
        <f aca="false">YEAR(B37)-YEAR($C$10)+1</f>
        <v>2</v>
      </c>
    </row>
    <row r="38" customFormat="false" ht="15" hidden="false" customHeight="true" outlineLevel="0" collapsed="false">
      <c r="A38" s="75" t="n">
        <v>23</v>
      </c>
      <c r="B38" s="76" t="n">
        <f aca="false">EOMONTH($C$10,22)</f>
        <v>47087</v>
      </c>
      <c r="C38" s="30" t="n">
        <f aca="false">G37</f>
        <v>14659805.0153989</v>
      </c>
      <c r="D38" s="30" t="n">
        <f aca="false">IF(A38&gt;$C$6,MIN(C38,$C$13),0)</f>
        <v>236448.467990305</v>
      </c>
      <c r="E38" s="30" t="n">
        <f aca="false">C38*$C$8*DAY(B38)/$C$11</f>
        <v>85515.5292564937</v>
      </c>
      <c r="F38" s="30" t="n">
        <f aca="false">D38+E38</f>
        <v>321963.997246799</v>
      </c>
      <c r="G38" s="30" t="n">
        <f aca="false">C38-D38</f>
        <v>14423356.5474086</v>
      </c>
      <c r="H38" s="75" t="n">
        <f aca="false">YEAR(B38)-YEAR($C$10)+1</f>
        <v>2</v>
      </c>
    </row>
    <row r="39" customFormat="false" ht="15" hidden="false" customHeight="true" outlineLevel="0" collapsed="false">
      <c r="A39" s="75" t="n">
        <v>24</v>
      </c>
      <c r="B39" s="76" t="n">
        <f aca="false">EOMONTH($C$10,23)</f>
        <v>47118</v>
      </c>
      <c r="C39" s="30" t="n">
        <f aca="false">G38</f>
        <v>14423356.5474086</v>
      </c>
      <c r="D39" s="30" t="n">
        <f aca="false">IF(A39&gt;$C$6,MIN(C39,$C$13),0)</f>
        <v>236448.467990305</v>
      </c>
      <c r="E39" s="30" t="n">
        <f aca="false">C39*$C$8*DAY(B39)/$C$11</f>
        <v>86940.7880774353</v>
      </c>
      <c r="F39" s="30" t="n">
        <f aca="false">D39+E39</f>
        <v>323389.25606774</v>
      </c>
      <c r="G39" s="30" t="n">
        <f aca="false">C39-D39</f>
        <v>14186908.0794183</v>
      </c>
      <c r="H39" s="75" t="n">
        <f aca="false">YEAR(B39)-YEAR($C$10)+1</f>
        <v>2</v>
      </c>
    </row>
    <row r="40" customFormat="false" ht="15" hidden="false" customHeight="true" outlineLevel="0" collapsed="false">
      <c r="A40" s="75" t="n">
        <v>25</v>
      </c>
      <c r="B40" s="76" t="n">
        <f aca="false">EOMONTH($C$10,24)</f>
        <v>47149</v>
      </c>
      <c r="C40" s="30" t="n">
        <f aca="false">G39</f>
        <v>14186908.0794183</v>
      </c>
      <c r="D40" s="30" t="n">
        <f aca="false">IF(A40&gt;$C$6,MIN(C40,$C$13),0)</f>
        <v>236448.467990305</v>
      </c>
      <c r="E40" s="30" t="n">
        <f aca="false">C40*$C$8*DAY(B40)/$C$11</f>
        <v>85515.5292564937</v>
      </c>
      <c r="F40" s="30" t="n">
        <f aca="false">D40+E40</f>
        <v>321963.997246799</v>
      </c>
      <c r="G40" s="30" t="n">
        <f aca="false">C40-D40</f>
        <v>13950459.611428</v>
      </c>
      <c r="H40" s="75" t="n">
        <f aca="false">YEAR(B40)-YEAR($C$10)+1</f>
        <v>3</v>
      </c>
    </row>
    <row r="41" customFormat="false" ht="15" hidden="false" customHeight="true" outlineLevel="0" collapsed="false">
      <c r="A41" s="75" t="n">
        <v>26</v>
      </c>
      <c r="B41" s="76" t="n">
        <f aca="false">EOMONTH($C$10,25)</f>
        <v>47177</v>
      </c>
      <c r="C41" s="30" t="n">
        <f aca="false">G40</f>
        <v>13950459.611428</v>
      </c>
      <c r="D41" s="30" t="n">
        <f aca="false">IF(A41&gt;$C$6,MIN(C41,$C$13),0)</f>
        <v>236448.467990305</v>
      </c>
      <c r="E41" s="30" t="n">
        <f aca="false">C41*$C$8*DAY(B41)/$C$11</f>
        <v>75952.5023288858</v>
      </c>
      <c r="F41" s="30" t="n">
        <f aca="false">D41+E41</f>
        <v>312400.970319191</v>
      </c>
      <c r="G41" s="30" t="n">
        <f aca="false">C41-D41</f>
        <v>13714011.1434377</v>
      </c>
      <c r="H41" s="75" t="n">
        <f aca="false">YEAR(B41)-YEAR($C$10)+1</f>
        <v>3</v>
      </c>
    </row>
    <row r="42" customFormat="false" ht="15" hidden="false" customHeight="true" outlineLevel="0" collapsed="false">
      <c r="A42" s="75" t="n">
        <v>27</v>
      </c>
      <c r="B42" s="76" t="n">
        <f aca="false">EOMONTH($C$10,26)</f>
        <v>47208</v>
      </c>
      <c r="C42" s="30" t="n">
        <f aca="false">G41</f>
        <v>13714011.1434377</v>
      </c>
      <c r="D42" s="30" t="n">
        <f aca="false">IF(A42&gt;$C$6,MIN(C42,$C$13),0)</f>
        <v>236448.467990305</v>
      </c>
      <c r="E42" s="30" t="n">
        <f aca="false">C42*$C$8*DAY(B42)/$C$11</f>
        <v>82665.0116146106</v>
      </c>
      <c r="F42" s="30" t="n">
        <f aca="false">D42+E42</f>
        <v>319113.479604916</v>
      </c>
      <c r="G42" s="30" t="n">
        <f aca="false">C42-D42</f>
        <v>13477562.6754474</v>
      </c>
      <c r="H42" s="75" t="n">
        <f aca="false">YEAR(B42)-YEAR($C$10)+1</f>
        <v>3</v>
      </c>
    </row>
    <row r="43" customFormat="false" ht="15" hidden="false" customHeight="true" outlineLevel="0" collapsed="false">
      <c r="A43" s="75" t="n">
        <v>28</v>
      </c>
      <c r="B43" s="76" t="n">
        <f aca="false">EOMONTH($C$10,27)</f>
        <v>47238</v>
      </c>
      <c r="C43" s="30" t="n">
        <f aca="false">G42</f>
        <v>13477562.6754474</v>
      </c>
      <c r="D43" s="30" t="n">
        <f aca="false">IF(A43&gt;$C$6,MIN(C43,$C$13),0)</f>
        <v>236448.467990305</v>
      </c>
      <c r="E43" s="30" t="n">
        <f aca="false">C43*$C$8*DAY(B43)/$C$11</f>
        <v>78619.1156067765</v>
      </c>
      <c r="F43" s="30" t="n">
        <f aca="false">D43+E43</f>
        <v>315067.583597082</v>
      </c>
      <c r="G43" s="30" t="n">
        <f aca="false">C43-D43</f>
        <v>13241114.2074571</v>
      </c>
      <c r="H43" s="75" t="n">
        <f aca="false">YEAR(B43)-YEAR($C$10)+1</f>
        <v>3</v>
      </c>
    </row>
    <row r="44" customFormat="false" ht="15" hidden="false" customHeight="true" outlineLevel="0" collapsed="false">
      <c r="A44" s="75" t="n">
        <v>29</v>
      </c>
      <c r="B44" s="76" t="n">
        <f aca="false">EOMONTH($C$10,28)</f>
        <v>47269</v>
      </c>
      <c r="C44" s="30" t="n">
        <f aca="false">G43</f>
        <v>13241114.2074571</v>
      </c>
      <c r="D44" s="30" t="n">
        <f aca="false">IF(A44&gt;$C$6,MIN(C44,$C$13),0)</f>
        <v>236448.467990305</v>
      </c>
      <c r="E44" s="30" t="n">
        <f aca="false">C44*$C$8*DAY(B44)/$C$11</f>
        <v>79814.4939727274</v>
      </c>
      <c r="F44" s="30" t="n">
        <f aca="false">D44+E44</f>
        <v>316262.961963033</v>
      </c>
      <c r="G44" s="30" t="n">
        <f aca="false">C44-D44</f>
        <v>13004665.7394668</v>
      </c>
      <c r="H44" s="75" t="n">
        <f aca="false">YEAR(B44)-YEAR($C$10)+1</f>
        <v>3</v>
      </c>
    </row>
    <row r="45" customFormat="false" ht="15" hidden="false" customHeight="true" outlineLevel="0" collapsed="false">
      <c r="A45" s="75" t="n">
        <v>30</v>
      </c>
      <c r="B45" s="76" t="n">
        <f aca="false">EOMONTH($C$10,29)</f>
        <v>47299</v>
      </c>
      <c r="C45" s="30" t="n">
        <f aca="false">G44</f>
        <v>13004665.7394668</v>
      </c>
      <c r="D45" s="30" t="n">
        <f aca="false">IF(A45&gt;$C$6,MIN(C45,$C$13),0)</f>
        <v>236448.467990305</v>
      </c>
      <c r="E45" s="30" t="n">
        <f aca="false">C45*$C$8*DAY(B45)/$C$11</f>
        <v>75860.5501468896</v>
      </c>
      <c r="F45" s="30" t="n">
        <f aca="false">D45+E45</f>
        <v>312309.018137195</v>
      </c>
      <c r="G45" s="30" t="n">
        <f aca="false">C45-D45</f>
        <v>12768217.2714765</v>
      </c>
      <c r="H45" s="75" t="n">
        <f aca="false">YEAR(B45)-YEAR($C$10)+1</f>
        <v>3</v>
      </c>
    </row>
    <row r="46" customFormat="false" ht="15" hidden="false" customHeight="true" outlineLevel="0" collapsed="false">
      <c r="A46" s="75" t="n">
        <v>31</v>
      </c>
      <c r="B46" s="76" t="n">
        <f aca="false">EOMONTH($C$10,30)</f>
        <v>47330</v>
      </c>
      <c r="C46" s="30" t="n">
        <f aca="false">G45</f>
        <v>12768217.2714765</v>
      </c>
      <c r="D46" s="30" t="n">
        <f aca="false">IF(A46&gt;$C$6,MIN(C46,$C$13),0)</f>
        <v>236448.467990305</v>
      </c>
      <c r="E46" s="30" t="n">
        <f aca="false">C46*$C$8*DAY(B46)/$C$11</f>
        <v>76963.9763308443</v>
      </c>
      <c r="F46" s="30" t="n">
        <f aca="false">D46+E46</f>
        <v>313412.444321149</v>
      </c>
      <c r="G46" s="30" t="n">
        <f aca="false">C46-D46</f>
        <v>12531768.8034862</v>
      </c>
      <c r="H46" s="75" t="n">
        <f aca="false">YEAR(B46)-YEAR($C$10)+1</f>
        <v>3</v>
      </c>
    </row>
    <row r="47" customFormat="false" ht="15" hidden="false" customHeight="true" outlineLevel="0" collapsed="false">
      <c r="A47" s="75" t="n">
        <v>32</v>
      </c>
      <c r="B47" s="76" t="n">
        <f aca="false">EOMONTH($C$10,31)</f>
        <v>47361</v>
      </c>
      <c r="C47" s="30" t="n">
        <f aca="false">G46</f>
        <v>12531768.8034862</v>
      </c>
      <c r="D47" s="30" t="n">
        <f aca="false">IF(A47&gt;$C$6,MIN(C47,$C$13),0)</f>
        <v>236448.467990305</v>
      </c>
      <c r="E47" s="30" t="n">
        <f aca="false">C47*$C$8*DAY(B47)/$C$11</f>
        <v>75538.7175099028</v>
      </c>
      <c r="F47" s="30" t="n">
        <f aca="false">D47+E47</f>
        <v>311987.185500208</v>
      </c>
      <c r="G47" s="30" t="n">
        <f aca="false">C47-D47</f>
        <v>12295320.3354959</v>
      </c>
      <c r="H47" s="75" t="n">
        <f aca="false">YEAR(B47)-YEAR($C$10)+1</f>
        <v>3</v>
      </c>
    </row>
    <row r="48" customFormat="false" ht="15" hidden="false" customHeight="true" outlineLevel="0" collapsed="false">
      <c r="A48" s="75" t="n">
        <v>33</v>
      </c>
      <c r="B48" s="76" t="n">
        <f aca="false">EOMONTH($C$10,32)</f>
        <v>47391</v>
      </c>
      <c r="C48" s="30" t="n">
        <f aca="false">G47</f>
        <v>12295320.3354959</v>
      </c>
      <c r="D48" s="30" t="n">
        <f aca="false">IF(A48&gt;$C$6,MIN(C48,$C$13),0)</f>
        <v>236448.467990305</v>
      </c>
      <c r="E48" s="30" t="n">
        <f aca="false">C48*$C$8*DAY(B48)/$C$11</f>
        <v>71722.7019570592</v>
      </c>
      <c r="F48" s="30" t="n">
        <f aca="false">D48+E48</f>
        <v>308171.169947364</v>
      </c>
      <c r="G48" s="30" t="n">
        <f aca="false">C48-D48</f>
        <v>12058871.8675056</v>
      </c>
      <c r="H48" s="75" t="n">
        <f aca="false">YEAR(B48)-YEAR($C$10)+1</f>
        <v>3</v>
      </c>
    </row>
    <row r="49" customFormat="false" ht="15" hidden="false" customHeight="true" outlineLevel="0" collapsed="false">
      <c r="A49" s="75" t="n">
        <v>34</v>
      </c>
      <c r="B49" s="76" t="n">
        <f aca="false">EOMONTH($C$10,33)</f>
        <v>47422</v>
      </c>
      <c r="C49" s="30" t="n">
        <f aca="false">G48</f>
        <v>12058871.8675056</v>
      </c>
      <c r="D49" s="30" t="n">
        <f aca="false">IF(A49&gt;$C$6,MIN(C49,$C$13),0)</f>
        <v>236448.467990305</v>
      </c>
      <c r="E49" s="30" t="n">
        <f aca="false">C49*$C$8*DAY(B49)/$C$11</f>
        <v>72688.1998680196</v>
      </c>
      <c r="F49" s="30" t="n">
        <f aca="false">D49+E49</f>
        <v>309136.667858325</v>
      </c>
      <c r="G49" s="30" t="n">
        <f aca="false">C49-D49</f>
        <v>11822423.3995153</v>
      </c>
      <c r="H49" s="75" t="n">
        <f aca="false">YEAR(B49)-YEAR($C$10)+1</f>
        <v>3</v>
      </c>
    </row>
    <row r="50" customFormat="false" ht="15" hidden="false" customHeight="true" outlineLevel="0" collapsed="false">
      <c r="A50" s="75" t="n">
        <v>35</v>
      </c>
      <c r="B50" s="76" t="n">
        <f aca="false">EOMONTH($C$10,34)</f>
        <v>47452</v>
      </c>
      <c r="C50" s="30" t="n">
        <f aca="false">G49</f>
        <v>11822423.3995153</v>
      </c>
      <c r="D50" s="30" t="n">
        <f aca="false">IF(A50&gt;$C$6,MIN(C50,$C$13),0)</f>
        <v>236448.467990305</v>
      </c>
      <c r="E50" s="30" t="n">
        <f aca="false">C50*$C$8*DAY(B50)/$C$11</f>
        <v>68964.1364971723</v>
      </c>
      <c r="F50" s="30" t="n">
        <f aca="false">D50+E50</f>
        <v>305412.604487477</v>
      </c>
      <c r="G50" s="30" t="n">
        <f aca="false">C50-D50</f>
        <v>11585974.9315249</v>
      </c>
      <c r="H50" s="75" t="n">
        <f aca="false">YEAR(B50)-YEAR($C$10)+1</f>
        <v>3</v>
      </c>
    </row>
    <row r="51" customFormat="false" ht="15" hidden="false" customHeight="true" outlineLevel="0" collapsed="false">
      <c r="A51" s="75" t="n">
        <v>36</v>
      </c>
      <c r="B51" s="76" t="n">
        <f aca="false">EOMONTH($C$10,35)</f>
        <v>47483</v>
      </c>
      <c r="C51" s="30" t="n">
        <f aca="false">G50</f>
        <v>11585974.9315249</v>
      </c>
      <c r="D51" s="30" t="n">
        <f aca="false">IF(A51&gt;$C$6,MIN(C51,$C$13),0)</f>
        <v>236448.467990305</v>
      </c>
      <c r="E51" s="30" t="n">
        <f aca="false">C51*$C$8*DAY(B51)/$C$11</f>
        <v>69837.6822261365</v>
      </c>
      <c r="F51" s="30" t="n">
        <f aca="false">D51+E51</f>
        <v>306286.150216442</v>
      </c>
      <c r="G51" s="30" t="n">
        <f aca="false">C51-D51</f>
        <v>11349526.4635346</v>
      </c>
      <c r="H51" s="75" t="n">
        <f aca="false">YEAR(B51)-YEAR($C$10)+1</f>
        <v>3</v>
      </c>
    </row>
    <row r="52" customFormat="false" ht="15" hidden="false" customHeight="true" outlineLevel="0" collapsed="false">
      <c r="A52" s="75" t="n">
        <v>37</v>
      </c>
      <c r="B52" s="76" t="n">
        <f aca="false">EOMONTH($C$10,36)</f>
        <v>47514</v>
      </c>
      <c r="C52" s="30" t="n">
        <f aca="false">G51</f>
        <v>11349526.4635346</v>
      </c>
      <c r="D52" s="30" t="n">
        <f aca="false">IF(A52&gt;$C$6,MIN(C52,$C$13),0)</f>
        <v>236448.467990305</v>
      </c>
      <c r="E52" s="30" t="n">
        <f aca="false">C52*$C$8*DAY(B52)/$C$11</f>
        <v>68412.4234051949</v>
      </c>
      <c r="F52" s="30" t="n">
        <f aca="false">D52+E52</f>
        <v>304860.8913955</v>
      </c>
      <c r="G52" s="30" t="n">
        <f aca="false">C52-D52</f>
        <v>11113077.9955443</v>
      </c>
      <c r="H52" s="75" t="n">
        <f aca="false">YEAR(B52)-YEAR($C$10)+1</f>
        <v>4</v>
      </c>
    </row>
    <row r="53" customFormat="false" ht="15" hidden="false" customHeight="true" outlineLevel="0" collapsed="false">
      <c r="A53" s="75" t="n">
        <v>38</v>
      </c>
      <c r="B53" s="76" t="n">
        <f aca="false">EOMONTH($C$10,37)</f>
        <v>47542</v>
      </c>
      <c r="C53" s="30" t="n">
        <f aca="false">G52</f>
        <v>11113077.9955443</v>
      </c>
      <c r="D53" s="30" t="n">
        <f aca="false">IF(A53&gt;$C$6,MIN(C53,$C$13),0)</f>
        <v>236448.467990305</v>
      </c>
      <c r="E53" s="30" t="n">
        <f aca="false">C53*$C$8*DAY(B53)/$C$11</f>
        <v>60504.5357535192</v>
      </c>
      <c r="F53" s="30" t="n">
        <f aca="false">D53+E53</f>
        <v>296953.003743824</v>
      </c>
      <c r="G53" s="30" t="n">
        <f aca="false">C53-D53</f>
        <v>10876629.527554</v>
      </c>
      <c r="H53" s="75" t="n">
        <f aca="false">YEAR(B53)-YEAR($C$10)+1</f>
        <v>4</v>
      </c>
    </row>
    <row r="54" customFormat="false" ht="15" hidden="false" customHeight="true" outlineLevel="0" collapsed="false">
      <c r="A54" s="75" t="n">
        <v>39</v>
      </c>
      <c r="B54" s="76" t="n">
        <f aca="false">EOMONTH($C$10,38)</f>
        <v>47573</v>
      </c>
      <c r="C54" s="30" t="n">
        <f aca="false">G53</f>
        <v>10876629.527554</v>
      </c>
      <c r="D54" s="30" t="n">
        <f aca="false">IF(A54&gt;$C$6,MIN(C54,$C$13),0)</f>
        <v>236448.467990305</v>
      </c>
      <c r="E54" s="30" t="n">
        <f aca="false">C54*$C$8*DAY(B54)/$C$11</f>
        <v>65561.9057633118</v>
      </c>
      <c r="F54" s="30" t="n">
        <f aca="false">D54+E54</f>
        <v>302010.373753617</v>
      </c>
      <c r="G54" s="30" t="n">
        <f aca="false">C54-D54</f>
        <v>10640181.0595637</v>
      </c>
      <c r="H54" s="75" t="n">
        <f aca="false">YEAR(B54)-YEAR($C$10)+1</f>
        <v>4</v>
      </c>
    </row>
    <row r="55" customFormat="false" ht="15" hidden="false" customHeight="true" outlineLevel="0" collapsed="false">
      <c r="A55" s="75" t="n">
        <v>40</v>
      </c>
      <c r="B55" s="76" t="n">
        <f aca="false">EOMONTH($C$10,39)</f>
        <v>47603</v>
      </c>
      <c r="C55" s="30" t="n">
        <f aca="false">G54</f>
        <v>10640181.0595637</v>
      </c>
      <c r="D55" s="30" t="n">
        <f aca="false">IF(A55&gt;$C$6,MIN(C55,$C$13),0)</f>
        <v>236448.467990305</v>
      </c>
      <c r="E55" s="30" t="n">
        <f aca="false">C55*$C$8*DAY(B55)/$C$11</f>
        <v>62067.7228474551</v>
      </c>
      <c r="F55" s="30" t="n">
        <f aca="false">D55+E55</f>
        <v>298516.19083776</v>
      </c>
      <c r="G55" s="30" t="n">
        <f aca="false">C55-D55</f>
        <v>10403732.5915734</v>
      </c>
      <c r="H55" s="75" t="n">
        <f aca="false">YEAR(B55)-YEAR($C$10)+1</f>
        <v>4</v>
      </c>
    </row>
    <row r="56" customFormat="false" ht="15" hidden="false" customHeight="true" outlineLevel="0" collapsed="false">
      <c r="A56" s="75" t="n">
        <v>41</v>
      </c>
      <c r="B56" s="76" t="n">
        <f aca="false">EOMONTH($C$10,40)</f>
        <v>47634</v>
      </c>
      <c r="C56" s="30" t="n">
        <f aca="false">G55</f>
        <v>10403732.5915734</v>
      </c>
      <c r="D56" s="30" t="n">
        <f aca="false">IF(A56&gt;$C$6,MIN(C56,$C$13),0)</f>
        <v>236448.467990305</v>
      </c>
      <c r="E56" s="30" t="n">
        <f aca="false">C56*$C$8*DAY(B56)/$C$11</f>
        <v>62711.3881214287</v>
      </c>
      <c r="F56" s="30" t="n">
        <f aca="false">D56+E56</f>
        <v>299159.856111734</v>
      </c>
      <c r="G56" s="30" t="n">
        <f aca="false">C56-D56</f>
        <v>10167284.1235831</v>
      </c>
      <c r="H56" s="75" t="n">
        <f aca="false">YEAR(B56)-YEAR($C$10)+1</f>
        <v>4</v>
      </c>
    </row>
    <row r="57" customFormat="false" ht="15" hidden="false" customHeight="true" outlineLevel="0" collapsed="false">
      <c r="A57" s="75" t="n">
        <v>42</v>
      </c>
      <c r="B57" s="76" t="n">
        <f aca="false">EOMONTH($C$10,41)</f>
        <v>47664</v>
      </c>
      <c r="C57" s="30" t="n">
        <f aca="false">G56</f>
        <v>10167284.1235831</v>
      </c>
      <c r="D57" s="30" t="n">
        <f aca="false">IF(A57&gt;$C$6,MIN(C57,$C$13),0)</f>
        <v>236448.467990305</v>
      </c>
      <c r="E57" s="30" t="n">
        <f aca="false">C57*$C$8*DAY(B57)/$C$11</f>
        <v>59309.1573875682</v>
      </c>
      <c r="F57" s="30" t="n">
        <f aca="false">D57+E57</f>
        <v>295757.625377873</v>
      </c>
      <c r="G57" s="30" t="n">
        <f aca="false">C57-D57</f>
        <v>9930835.65559281</v>
      </c>
      <c r="H57" s="75" t="n">
        <f aca="false">YEAR(B57)-YEAR($C$10)+1</f>
        <v>4</v>
      </c>
    </row>
    <row r="58" customFormat="false" ht="15" hidden="false" customHeight="true" outlineLevel="0" collapsed="false">
      <c r="A58" s="75" t="n">
        <v>43</v>
      </c>
      <c r="B58" s="76" t="n">
        <f aca="false">EOMONTH($C$10,42)</f>
        <v>47695</v>
      </c>
      <c r="C58" s="30" t="n">
        <f aca="false">G57</f>
        <v>9930835.65559281</v>
      </c>
      <c r="D58" s="30" t="n">
        <f aca="false">IF(A58&gt;$C$6,MIN(C58,$C$13),0)</f>
        <v>236448.467990305</v>
      </c>
      <c r="E58" s="30" t="n">
        <f aca="false">C58*$C$8*DAY(B58)/$C$11</f>
        <v>59860.8704795456</v>
      </c>
      <c r="F58" s="30" t="n">
        <f aca="false">D58+E58</f>
        <v>296309.338469851</v>
      </c>
      <c r="G58" s="30" t="n">
        <f aca="false">C58-D58</f>
        <v>9694387.18760251</v>
      </c>
      <c r="H58" s="75" t="n">
        <f aca="false">YEAR(B58)-YEAR($C$10)+1</f>
        <v>4</v>
      </c>
    </row>
    <row r="59" customFormat="false" ht="15" hidden="false" customHeight="true" outlineLevel="0" collapsed="false">
      <c r="A59" s="75" t="n">
        <v>44</v>
      </c>
      <c r="B59" s="76" t="n">
        <f aca="false">EOMONTH($C$10,43)</f>
        <v>47726</v>
      </c>
      <c r="C59" s="30" t="n">
        <f aca="false">G58</f>
        <v>9694387.18760251</v>
      </c>
      <c r="D59" s="30" t="n">
        <f aca="false">IF(A59&gt;$C$6,MIN(C59,$C$13),0)</f>
        <v>236448.467990305</v>
      </c>
      <c r="E59" s="30" t="n">
        <f aca="false">C59*$C$8*DAY(B59)/$C$11</f>
        <v>58435.611658604</v>
      </c>
      <c r="F59" s="30" t="n">
        <f aca="false">D59+E59</f>
        <v>294884.079648909</v>
      </c>
      <c r="G59" s="30" t="n">
        <f aca="false">C59-D59</f>
        <v>9457938.7196122</v>
      </c>
      <c r="H59" s="75" t="n">
        <f aca="false">YEAR(B59)-YEAR($C$10)+1</f>
        <v>4</v>
      </c>
    </row>
    <row r="60" customFormat="false" ht="15" hidden="false" customHeight="true" outlineLevel="0" collapsed="false">
      <c r="A60" s="75" t="n">
        <v>45</v>
      </c>
      <c r="B60" s="76" t="n">
        <f aca="false">EOMONTH($C$10,44)</f>
        <v>47756</v>
      </c>
      <c r="C60" s="30" t="n">
        <f aca="false">G59</f>
        <v>9457938.7196122</v>
      </c>
      <c r="D60" s="30" t="n">
        <f aca="false">IF(A60&gt;$C$6,MIN(C60,$C$13),0)</f>
        <v>236448.467990305</v>
      </c>
      <c r="E60" s="30" t="n">
        <f aca="false">C60*$C$8*DAY(B60)/$C$11</f>
        <v>55171.3091977378</v>
      </c>
      <c r="F60" s="30" t="n">
        <f aca="false">D60+E60</f>
        <v>291619.777188043</v>
      </c>
      <c r="G60" s="30" t="n">
        <f aca="false">C60-D60</f>
        <v>9221490.2516219</v>
      </c>
      <c r="H60" s="75" t="n">
        <f aca="false">YEAR(B60)-YEAR($C$10)+1</f>
        <v>4</v>
      </c>
    </row>
    <row r="61" customFormat="false" ht="15" hidden="false" customHeight="true" outlineLevel="0" collapsed="false">
      <c r="A61" s="75" t="n">
        <v>46</v>
      </c>
      <c r="B61" s="76" t="n">
        <f aca="false">EOMONTH($C$10,45)</f>
        <v>47787</v>
      </c>
      <c r="C61" s="30" t="n">
        <f aca="false">G60</f>
        <v>9221490.2516219</v>
      </c>
      <c r="D61" s="30" t="n">
        <f aca="false">IF(A61&gt;$C$6,MIN(C61,$C$13),0)</f>
        <v>236448.467990305</v>
      </c>
      <c r="E61" s="30" t="n">
        <f aca="false">C61*$C$8*DAY(B61)/$C$11</f>
        <v>55585.0940167209</v>
      </c>
      <c r="F61" s="30" t="n">
        <f aca="false">D61+E61</f>
        <v>292033.562007026</v>
      </c>
      <c r="G61" s="30" t="n">
        <f aca="false">C61-D61</f>
        <v>8985041.78363159</v>
      </c>
      <c r="H61" s="75" t="n">
        <f aca="false">YEAR(B61)-YEAR($C$10)+1</f>
        <v>4</v>
      </c>
    </row>
    <row r="62" customFormat="false" ht="15" hidden="false" customHeight="true" outlineLevel="0" collapsed="false">
      <c r="A62" s="75" t="n">
        <v>47</v>
      </c>
      <c r="B62" s="76" t="n">
        <f aca="false">EOMONTH($C$10,46)</f>
        <v>47817</v>
      </c>
      <c r="C62" s="30" t="n">
        <f aca="false">G61</f>
        <v>8985041.78363159</v>
      </c>
      <c r="D62" s="30" t="n">
        <f aca="false">IF(A62&gt;$C$6,MIN(C62,$C$13),0)</f>
        <v>236448.467990305</v>
      </c>
      <c r="E62" s="30" t="n">
        <f aca="false">C62*$C$8*DAY(B62)/$C$11</f>
        <v>52412.7437378509</v>
      </c>
      <c r="F62" s="30" t="n">
        <f aca="false">D62+E62</f>
        <v>288861.211728156</v>
      </c>
      <c r="G62" s="30" t="n">
        <f aca="false">C62-D62</f>
        <v>8748593.31564128</v>
      </c>
      <c r="H62" s="75" t="n">
        <f aca="false">YEAR(B62)-YEAR($C$10)+1</f>
        <v>4</v>
      </c>
    </row>
    <row r="63" customFormat="false" ht="15" hidden="false" customHeight="true" outlineLevel="0" collapsed="false">
      <c r="A63" s="75" t="n">
        <v>48</v>
      </c>
      <c r="B63" s="76" t="n">
        <f aca="false">EOMONTH($C$10,47)</f>
        <v>47848</v>
      </c>
      <c r="C63" s="30" t="n">
        <f aca="false">G62</f>
        <v>8748593.31564128</v>
      </c>
      <c r="D63" s="30" t="n">
        <f aca="false">IF(A63&gt;$C$6,MIN(C63,$C$13),0)</f>
        <v>236448.467990305</v>
      </c>
      <c r="E63" s="30" t="n">
        <f aca="false">C63*$C$8*DAY(B63)/$C$11</f>
        <v>52734.5763748377</v>
      </c>
      <c r="F63" s="30" t="n">
        <f aca="false">D63+E63</f>
        <v>289183.044365143</v>
      </c>
      <c r="G63" s="30" t="n">
        <f aca="false">C63-D63</f>
        <v>8512144.84765098</v>
      </c>
      <c r="H63" s="75" t="n">
        <f aca="false">YEAR(B63)-YEAR($C$10)+1</f>
        <v>4</v>
      </c>
    </row>
    <row r="64" customFormat="false" ht="15" hidden="false" customHeight="true" outlineLevel="0" collapsed="false">
      <c r="A64" s="75" t="n">
        <v>49</v>
      </c>
      <c r="B64" s="76" t="n">
        <f aca="false">EOMONTH($C$10,48)</f>
        <v>47879</v>
      </c>
      <c r="C64" s="30" t="n">
        <f aca="false">G63</f>
        <v>8512144.84765098</v>
      </c>
      <c r="D64" s="30" t="n">
        <f aca="false">IF(A64&gt;$C$6,MIN(C64,$C$13),0)</f>
        <v>236448.467990305</v>
      </c>
      <c r="E64" s="30" t="n">
        <f aca="false">C64*$C$8*DAY(B64)/$C$11</f>
        <v>51309.3175538962</v>
      </c>
      <c r="F64" s="30" t="n">
        <f aca="false">D64+E64</f>
        <v>287757.785544201</v>
      </c>
      <c r="G64" s="30" t="n">
        <f aca="false">C64-D64</f>
        <v>8275696.37966067</v>
      </c>
      <c r="H64" s="75" t="n">
        <f aca="false">YEAR(B64)-YEAR($C$10)+1</f>
        <v>5</v>
      </c>
    </row>
    <row r="65" customFormat="false" ht="15" hidden="false" customHeight="true" outlineLevel="0" collapsed="false">
      <c r="A65" s="75" t="n">
        <v>50</v>
      </c>
      <c r="B65" s="76" t="n">
        <f aca="false">EOMONTH($C$10,49)</f>
        <v>47907</v>
      </c>
      <c r="C65" s="30" t="n">
        <f aca="false">G64</f>
        <v>8275696.37966067</v>
      </c>
      <c r="D65" s="30" t="n">
        <f aca="false">IF(A65&gt;$C$6,MIN(C65,$C$13),0)</f>
        <v>236448.467990305</v>
      </c>
      <c r="E65" s="30" t="n">
        <f aca="false">C65*$C$8*DAY(B65)/$C$11</f>
        <v>45056.5691781526</v>
      </c>
      <c r="F65" s="30" t="n">
        <f aca="false">D65+E65</f>
        <v>281505.037168458</v>
      </c>
      <c r="G65" s="30" t="n">
        <f aca="false">C65-D65</f>
        <v>8039247.91167037</v>
      </c>
      <c r="H65" s="75" t="n">
        <f aca="false">YEAR(B65)-YEAR($C$10)+1</f>
        <v>5</v>
      </c>
    </row>
    <row r="66" customFormat="false" ht="15" hidden="false" customHeight="true" outlineLevel="0" collapsed="false">
      <c r="A66" s="75" t="n">
        <v>51</v>
      </c>
      <c r="B66" s="76" t="n">
        <f aca="false">EOMONTH($C$10,50)</f>
        <v>47938</v>
      </c>
      <c r="C66" s="30" t="n">
        <f aca="false">G65</f>
        <v>8039247.91167037</v>
      </c>
      <c r="D66" s="30" t="n">
        <f aca="false">IF(A66&gt;$C$6,MIN(C66,$C$13),0)</f>
        <v>236448.467990305</v>
      </c>
      <c r="E66" s="30" t="n">
        <f aca="false">C66*$C$8*DAY(B66)/$C$11</f>
        <v>48458.7999120131</v>
      </c>
      <c r="F66" s="30" t="n">
        <f aca="false">D66+E66</f>
        <v>284907.267902318</v>
      </c>
      <c r="G66" s="30" t="n">
        <f aca="false">C66-D66</f>
        <v>7802799.44368006</v>
      </c>
      <c r="H66" s="75" t="n">
        <f aca="false">YEAR(B66)-YEAR($C$10)+1</f>
        <v>5</v>
      </c>
    </row>
    <row r="67" customFormat="false" ht="15" hidden="false" customHeight="true" outlineLevel="0" collapsed="false">
      <c r="A67" s="75" t="n">
        <v>52</v>
      </c>
      <c r="B67" s="76" t="n">
        <f aca="false">EOMONTH($C$10,51)</f>
        <v>47968</v>
      </c>
      <c r="C67" s="30" t="n">
        <f aca="false">G66</f>
        <v>7802799.44368006</v>
      </c>
      <c r="D67" s="30" t="n">
        <f aca="false">IF(A67&gt;$C$6,MIN(C67,$C$13),0)</f>
        <v>236448.467990305</v>
      </c>
      <c r="E67" s="30" t="n">
        <f aca="false">C67*$C$8*DAY(B67)/$C$11</f>
        <v>45516.3300881337</v>
      </c>
      <c r="F67" s="30" t="n">
        <f aca="false">D67+E67</f>
        <v>281964.798078439</v>
      </c>
      <c r="G67" s="30" t="n">
        <f aca="false">C67-D67</f>
        <v>7566350.97568976</v>
      </c>
      <c r="H67" s="75" t="n">
        <f aca="false">YEAR(B67)-YEAR($C$10)+1</f>
        <v>5</v>
      </c>
    </row>
    <row r="68" customFormat="false" ht="15" hidden="false" customHeight="true" outlineLevel="0" collapsed="false">
      <c r="A68" s="75" t="n">
        <v>53</v>
      </c>
      <c r="B68" s="76" t="n">
        <f aca="false">EOMONTH($C$10,52)</f>
        <v>47999</v>
      </c>
      <c r="C68" s="30" t="n">
        <f aca="false">G67</f>
        <v>7566350.97568976</v>
      </c>
      <c r="D68" s="30" t="n">
        <f aca="false">IF(A68&gt;$C$6,MIN(C68,$C$13),0)</f>
        <v>236448.467990305</v>
      </c>
      <c r="E68" s="30" t="n">
        <f aca="false">C68*$C$8*DAY(B68)/$C$11</f>
        <v>45608.2822701299</v>
      </c>
      <c r="F68" s="30" t="n">
        <f aca="false">D68+E68</f>
        <v>282056.750260435</v>
      </c>
      <c r="G68" s="30" t="n">
        <f aca="false">C68-D68</f>
        <v>7329902.50769945</v>
      </c>
      <c r="H68" s="75" t="n">
        <f aca="false">YEAR(B68)-YEAR($C$10)+1</f>
        <v>5</v>
      </c>
    </row>
    <row r="69" customFormat="false" ht="15" hidden="false" customHeight="true" outlineLevel="0" collapsed="false">
      <c r="A69" s="75" t="n">
        <v>54</v>
      </c>
      <c r="B69" s="76" t="n">
        <f aca="false">EOMONTH($C$10,53)</f>
        <v>48029</v>
      </c>
      <c r="C69" s="30" t="n">
        <f aca="false">G68</f>
        <v>7329902.50769945</v>
      </c>
      <c r="D69" s="30" t="n">
        <f aca="false">IF(A69&gt;$C$6,MIN(C69,$C$13),0)</f>
        <v>236448.467990305</v>
      </c>
      <c r="E69" s="30" t="n">
        <f aca="false">C69*$C$8*DAY(B69)/$C$11</f>
        <v>42757.7646282468</v>
      </c>
      <c r="F69" s="30" t="n">
        <f aca="false">D69+E69</f>
        <v>279206.232618552</v>
      </c>
      <c r="G69" s="30" t="n">
        <f aca="false">C69-D69</f>
        <v>7093454.03970915</v>
      </c>
      <c r="H69" s="75" t="n">
        <f aca="false">YEAR(B69)-YEAR($C$10)+1</f>
        <v>5</v>
      </c>
    </row>
    <row r="70" customFormat="false" ht="15" hidden="false" customHeight="true" outlineLevel="0" collapsed="false">
      <c r="A70" s="75" t="n">
        <v>55</v>
      </c>
      <c r="B70" s="76" t="n">
        <f aca="false">EOMONTH($C$10,54)</f>
        <v>48060</v>
      </c>
      <c r="C70" s="30" t="n">
        <f aca="false">G69</f>
        <v>7093454.03970915</v>
      </c>
      <c r="D70" s="30" t="n">
        <f aca="false">IF(A70&gt;$C$6,MIN(C70,$C$13),0)</f>
        <v>236448.467990305</v>
      </c>
      <c r="E70" s="30" t="n">
        <f aca="false">C70*$C$8*DAY(B70)/$C$11</f>
        <v>42757.7646282468</v>
      </c>
      <c r="F70" s="30" t="n">
        <f aca="false">D70+E70</f>
        <v>279206.232618552</v>
      </c>
      <c r="G70" s="30" t="n">
        <f aca="false">C70-D70</f>
        <v>6857005.57171884</v>
      </c>
      <c r="H70" s="75" t="n">
        <f aca="false">YEAR(B70)-YEAR($C$10)+1</f>
        <v>5</v>
      </c>
    </row>
    <row r="71" customFormat="false" ht="15" hidden="false" customHeight="true" outlineLevel="0" collapsed="false">
      <c r="A71" s="75" t="n">
        <v>56</v>
      </c>
      <c r="B71" s="76" t="n">
        <f aca="false">EOMONTH($C$10,55)</f>
        <v>48091</v>
      </c>
      <c r="C71" s="30" t="n">
        <f aca="false">G70</f>
        <v>6857005.57171884</v>
      </c>
      <c r="D71" s="30" t="n">
        <f aca="false">IF(A71&gt;$C$6,MIN(C71,$C$13),0)</f>
        <v>236448.467990305</v>
      </c>
      <c r="E71" s="30" t="n">
        <f aca="false">C71*$C$8*DAY(B71)/$C$11</f>
        <v>41332.5058073053</v>
      </c>
      <c r="F71" s="30" t="n">
        <f aca="false">D71+E71</f>
        <v>277780.97379761</v>
      </c>
      <c r="G71" s="30" t="n">
        <f aca="false">C71-D71</f>
        <v>6620557.10372854</v>
      </c>
      <c r="H71" s="75" t="n">
        <f aca="false">YEAR(B71)-YEAR($C$10)+1</f>
        <v>5</v>
      </c>
    </row>
    <row r="72" customFormat="false" ht="15" hidden="false" customHeight="true" outlineLevel="0" collapsed="false">
      <c r="A72" s="75" t="n">
        <v>57</v>
      </c>
      <c r="B72" s="76" t="n">
        <f aca="false">EOMONTH($C$10,56)</f>
        <v>48121</v>
      </c>
      <c r="C72" s="30" t="n">
        <f aca="false">G71</f>
        <v>6620557.10372854</v>
      </c>
      <c r="D72" s="30" t="n">
        <f aca="false">IF(A72&gt;$C$6,MIN(C72,$C$13),0)</f>
        <v>236448.467990305</v>
      </c>
      <c r="E72" s="30" t="n">
        <f aca="false">C72*$C$8*DAY(B72)/$C$11</f>
        <v>38619.9164384165</v>
      </c>
      <c r="F72" s="30" t="n">
        <f aca="false">D72+E72</f>
        <v>275068.384428722</v>
      </c>
      <c r="G72" s="30" t="n">
        <f aca="false">C72-D72</f>
        <v>6384108.63573823</v>
      </c>
      <c r="H72" s="75" t="n">
        <f aca="false">YEAR(B72)-YEAR($C$10)+1</f>
        <v>5</v>
      </c>
    </row>
    <row r="73" customFormat="false" ht="15" hidden="false" customHeight="true" outlineLevel="0" collapsed="false">
      <c r="A73" s="75" t="n">
        <v>58</v>
      </c>
      <c r="B73" s="76" t="n">
        <f aca="false">EOMONTH($C$10,57)</f>
        <v>48152</v>
      </c>
      <c r="C73" s="30" t="n">
        <f aca="false">G72</f>
        <v>6384108.63573823</v>
      </c>
      <c r="D73" s="30" t="n">
        <f aca="false">IF(A73&gt;$C$6,MIN(C73,$C$13),0)</f>
        <v>236448.467990305</v>
      </c>
      <c r="E73" s="30" t="n">
        <f aca="false">C73*$C$8*DAY(B73)/$C$11</f>
        <v>38481.9881654221</v>
      </c>
      <c r="F73" s="30" t="n">
        <f aca="false">D73+E73</f>
        <v>274930.456155727</v>
      </c>
      <c r="G73" s="30" t="n">
        <f aca="false">C73-D73</f>
        <v>6147660.16774793</v>
      </c>
      <c r="H73" s="75" t="n">
        <f aca="false">YEAR(B73)-YEAR($C$10)+1</f>
        <v>5</v>
      </c>
    </row>
    <row r="74" customFormat="false" ht="15" hidden="false" customHeight="true" outlineLevel="0" collapsed="false">
      <c r="A74" s="75" t="n">
        <v>59</v>
      </c>
      <c r="B74" s="76" t="n">
        <f aca="false">EOMONTH($C$10,58)</f>
        <v>48182</v>
      </c>
      <c r="C74" s="30" t="n">
        <f aca="false">G73</f>
        <v>6147660.16774793</v>
      </c>
      <c r="D74" s="30" t="n">
        <f aca="false">IF(A74&gt;$C$6,MIN(C74,$C$13),0)</f>
        <v>236448.467990305</v>
      </c>
      <c r="E74" s="30" t="n">
        <f aca="false">C74*$C$8*DAY(B74)/$C$11</f>
        <v>35861.3509785296</v>
      </c>
      <c r="F74" s="30" t="n">
        <f aca="false">D74+E74</f>
        <v>272309.818968835</v>
      </c>
      <c r="G74" s="30" t="n">
        <f aca="false">C74-D74</f>
        <v>5911211.69975762</v>
      </c>
      <c r="H74" s="75" t="n">
        <f aca="false">YEAR(B74)-YEAR($C$10)+1</f>
        <v>5</v>
      </c>
    </row>
    <row r="75" customFormat="false" ht="15" hidden="false" customHeight="true" outlineLevel="0" collapsed="false">
      <c r="A75" s="75" t="n">
        <v>60</v>
      </c>
      <c r="B75" s="76" t="n">
        <f aca="false">EOMONTH($C$10,59)</f>
        <v>48213</v>
      </c>
      <c r="C75" s="30" t="n">
        <f aca="false">G74</f>
        <v>5911211.69975762</v>
      </c>
      <c r="D75" s="30" t="n">
        <f aca="false">IF(A75&gt;$C$6,MIN(C75,$C$13),0)</f>
        <v>236448.467990305</v>
      </c>
      <c r="E75" s="30" t="n">
        <f aca="false">C75*$C$8*DAY(B75)/$C$11</f>
        <v>35631.470523539</v>
      </c>
      <c r="F75" s="30" t="n">
        <f aca="false">D75+E75</f>
        <v>272079.938513844</v>
      </c>
      <c r="G75" s="30" t="n">
        <f aca="false">C75-D75</f>
        <v>5674763.23176732</v>
      </c>
      <c r="H75" s="75" t="n">
        <f aca="false">YEAR(B75)-YEAR($C$10)+1</f>
        <v>5</v>
      </c>
    </row>
    <row r="76" customFormat="false" ht="15" hidden="false" customHeight="true" outlineLevel="0" collapsed="false">
      <c r="A76" s="75" t="n">
        <v>61</v>
      </c>
      <c r="B76" s="76" t="n">
        <f aca="false">EOMONTH($C$10,60)</f>
        <v>48244</v>
      </c>
      <c r="C76" s="30" t="n">
        <f aca="false">G75</f>
        <v>5674763.23176732</v>
      </c>
      <c r="D76" s="30" t="n">
        <f aca="false">IF(A76&gt;$C$6,MIN(C76,$C$13),0)</f>
        <v>236448.467990305</v>
      </c>
      <c r="E76" s="30" t="n">
        <f aca="false">C76*$C$8*DAY(B76)/$C$11</f>
        <v>34206.2117025974</v>
      </c>
      <c r="F76" s="30" t="n">
        <f aca="false">D76+E76</f>
        <v>270654.679692903</v>
      </c>
      <c r="G76" s="30" t="n">
        <f aca="false">C76-D76</f>
        <v>5438314.76377701</v>
      </c>
      <c r="H76" s="75" t="n">
        <f aca="false">YEAR(B76)-YEAR($C$10)+1</f>
        <v>6</v>
      </c>
    </row>
    <row r="77" customFormat="false" ht="15" hidden="false" customHeight="true" outlineLevel="0" collapsed="false">
      <c r="A77" s="75" t="n">
        <v>62</v>
      </c>
      <c r="B77" s="76" t="n">
        <f aca="false">EOMONTH($C$10,61)</f>
        <v>48273</v>
      </c>
      <c r="C77" s="30" t="n">
        <f aca="false">G76</f>
        <v>5438314.76377701</v>
      </c>
      <c r="D77" s="30" t="n">
        <f aca="false">IF(A77&gt;$C$6,MIN(C77,$C$13),0)</f>
        <v>236448.467990305</v>
      </c>
      <c r="E77" s="30" t="n">
        <f aca="false">C77*$C$8*DAY(B77)/$C$11</f>
        <v>30666.0526957426</v>
      </c>
      <c r="F77" s="30" t="n">
        <f aca="false">D77+E77</f>
        <v>267114.520686048</v>
      </c>
      <c r="G77" s="30" t="n">
        <f aca="false">C77-D77</f>
        <v>5201866.29578671</v>
      </c>
      <c r="H77" s="75" t="n">
        <f aca="false">YEAR(B77)-YEAR($C$10)+1</f>
        <v>6</v>
      </c>
    </row>
    <row r="78" customFormat="false" ht="15" hidden="false" customHeight="true" outlineLevel="0" collapsed="false">
      <c r="A78" s="75" t="n">
        <v>63</v>
      </c>
      <c r="B78" s="76" t="n">
        <f aca="false">EOMONTH($C$10,62)</f>
        <v>48304</v>
      </c>
      <c r="C78" s="30" t="n">
        <f aca="false">G77</f>
        <v>5201866.29578671</v>
      </c>
      <c r="D78" s="30" t="n">
        <f aca="false">IF(A78&gt;$C$6,MIN(C78,$C$13),0)</f>
        <v>236448.467990305</v>
      </c>
      <c r="E78" s="30" t="n">
        <f aca="false">C78*$C$8*DAY(B78)/$C$11</f>
        <v>31355.6940607143</v>
      </c>
      <c r="F78" s="30" t="n">
        <f aca="false">D78+E78</f>
        <v>267804.162051019</v>
      </c>
      <c r="G78" s="30" t="n">
        <f aca="false">C78-D78</f>
        <v>4965417.8277964</v>
      </c>
      <c r="H78" s="75" t="n">
        <f aca="false">YEAR(B78)-YEAR($C$10)+1</f>
        <v>6</v>
      </c>
    </row>
    <row r="79" customFormat="false" ht="15" hidden="false" customHeight="true" outlineLevel="0" collapsed="false">
      <c r="A79" s="75" t="n">
        <v>64</v>
      </c>
      <c r="B79" s="76" t="n">
        <f aca="false">EOMONTH($C$10,63)</f>
        <v>48334</v>
      </c>
      <c r="C79" s="30" t="n">
        <f aca="false">G78</f>
        <v>4965417.8277964</v>
      </c>
      <c r="D79" s="30" t="n">
        <f aca="false">IF(A79&gt;$C$6,MIN(C79,$C$13),0)</f>
        <v>236448.467990305</v>
      </c>
      <c r="E79" s="30" t="n">
        <f aca="false">C79*$C$8*DAY(B79)/$C$11</f>
        <v>28964.9373288123</v>
      </c>
      <c r="F79" s="30" t="n">
        <f aca="false">D79+E79</f>
        <v>265413.405319118</v>
      </c>
      <c r="G79" s="30" t="n">
        <f aca="false">C79-D79</f>
        <v>4728969.35980609</v>
      </c>
      <c r="H79" s="75" t="n">
        <f aca="false">YEAR(B79)-YEAR($C$10)+1</f>
        <v>6</v>
      </c>
    </row>
    <row r="80" customFormat="false" ht="15" hidden="false" customHeight="true" outlineLevel="0" collapsed="false">
      <c r="A80" s="75" t="n">
        <v>65</v>
      </c>
      <c r="B80" s="76" t="n">
        <f aca="false">EOMONTH($C$10,64)</f>
        <v>48365</v>
      </c>
      <c r="C80" s="30" t="n">
        <f aca="false">G79</f>
        <v>4728969.35980609</v>
      </c>
      <c r="D80" s="30" t="n">
        <f aca="false">IF(A80&gt;$C$6,MIN(C80,$C$13),0)</f>
        <v>236448.467990305</v>
      </c>
      <c r="E80" s="30" t="n">
        <f aca="false">C80*$C$8*DAY(B80)/$C$11</f>
        <v>28505.1764188312</v>
      </c>
      <c r="F80" s="30" t="n">
        <f aca="false">D80+E80</f>
        <v>264953.644409136</v>
      </c>
      <c r="G80" s="30" t="n">
        <f aca="false">C80-D80</f>
        <v>4492520.89181579</v>
      </c>
      <c r="H80" s="75" t="n">
        <f aca="false">YEAR(B80)-YEAR($C$10)+1</f>
        <v>6</v>
      </c>
    </row>
    <row r="81" customFormat="false" ht="15" hidden="false" customHeight="true" outlineLevel="0" collapsed="false">
      <c r="A81" s="75" t="n">
        <v>66</v>
      </c>
      <c r="B81" s="76" t="n">
        <f aca="false">EOMONTH($C$10,65)</f>
        <v>48395</v>
      </c>
      <c r="C81" s="30" t="n">
        <f aca="false">G80</f>
        <v>4492520.89181579</v>
      </c>
      <c r="D81" s="30" t="n">
        <f aca="false">IF(A81&gt;$C$6,MIN(C81,$C$13),0)</f>
        <v>236448.467990305</v>
      </c>
      <c r="E81" s="30" t="n">
        <f aca="false">C81*$C$8*DAY(B81)/$C$11</f>
        <v>26206.3718689254</v>
      </c>
      <c r="F81" s="30" t="n">
        <f aca="false">D81+E81</f>
        <v>262654.839859231</v>
      </c>
      <c r="G81" s="30" t="n">
        <f aca="false">C81-D81</f>
        <v>4256072.42382548</v>
      </c>
      <c r="H81" s="75" t="n">
        <f aca="false">YEAR(B81)-YEAR($C$10)+1</f>
        <v>6</v>
      </c>
    </row>
    <row r="82" customFormat="false" ht="15" hidden="false" customHeight="true" outlineLevel="0" collapsed="false">
      <c r="A82" s="75" t="n">
        <v>67</v>
      </c>
      <c r="B82" s="76" t="n">
        <f aca="false">EOMONTH($C$10,66)</f>
        <v>48426</v>
      </c>
      <c r="C82" s="30" t="n">
        <f aca="false">G81</f>
        <v>4256072.42382548</v>
      </c>
      <c r="D82" s="30" t="n">
        <f aca="false">IF(A82&gt;$C$6,MIN(C82,$C$13),0)</f>
        <v>236448.467990305</v>
      </c>
      <c r="E82" s="30" t="n">
        <f aca="false">C82*$C$8*DAY(B82)/$C$11</f>
        <v>25654.6587769481</v>
      </c>
      <c r="F82" s="30" t="n">
        <f aca="false">D82+E82</f>
        <v>262103.126767253</v>
      </c>
      <c r="G82" s="30" t="n">
        <f aca="false">C82-D82</f>
        <v>4019623.95583518</v>
      </c>
      <c r="H82" s="75" t="n">
        <f aca="false">YEAR(B82)-YEAR($C$10)+1</f>
        <v>6</v>
      </c>
    </row>
    <row r="83" customFormat="false" ht="15" hidden="false" customHeight="true" outlineLevel="0" collapsed="false">
      <c r="A83" s="75" t="n">
        <v>68</v>
      </c>
      <c r="B83" s="76" t="n">
        <f aca="false">EOMONTH($C$10,67)</f>
        <v>48457</v>
      </c>
      <c r="C83" s="30" t="n">
        <f aca="false">G82</f>
        <v>4019623.95583518</v>
      </c>
      <c r="D83" s="30" t="n">
        <f aca="false">IF(A83&gt;$C$6,MIN(C83,$C$13),0)</f>
        <v>236448.467990305</v>
      </c>
      <c r="E83" s="30" t="n">
        <f aca="false">C83*$C$8*DAY(B83)/$C$11</f>
        <v>24229.3999560065</v>
      </c>
      <c r="F83" s="30" t="n">
        <f aca="false">D83+E83</f>
        <v>260677.867946312</v>
      </c>
      <c r="G83" s="30" t="n">
        <f aca="false">C83-D83</f>
        <v>3783175.48784487</v>
      </c>
      <c r="H83" s="75" t="n">
        <f aca="false">YEAR(B83)-YEAR($C$10)+1</f>
        <v>6</v>
      </c>
    </row>
    <row r="84" customFormat="false" ht="15" hidden="false" customHeight="true" outlineLevel="0" collapsed="false">
      <c r="A84" s="75" t="n">
        <v>69</v>
      </c>
      <c r="B84" s="76" t="n">
        <f aca="false">EOMONTH($C$10,68)</f>
        <v>48487</v>
      </c>
      <c r="C84" s="30" t="n">
        <f aca="false">G83</f>
        <v>3783175.48784487</v>
      </c>
      <c r="D84" s="30" t="n">
        <f aca="false">IF(A84&gt;$C$6,MIN(C84,$C$13),0)</f>
        <v>236448.467990305</v>
      </c>
      <c r="E84" s="30" t="n">
        <f aca="false">C84*$C$8*DAY(B84)/$C$11</f>
        <v>22068.5236790951</v>
      </c>
      <c r="F84" s="30" t="n">
        <f aca="false">D84+E84</f>
        <v>258516.9916694</v>
      </c>
      <c r="G84" s="30" t="n">
        <f aca="false">C84-D84</f>
        <v>3546727.01985457</v>
      </c>
      <c r="H84" s="75" t="n">
        <f aca="false">YEAR(B84)-YEAR($C$10)+1</f>
        <v>6</v>
      </c>
    </row>
    <row r="85" customFormat="false" ht="15" hidden="false" customHeight="true" outlineLevel="0" collapsed="false">
      <c r="A85" s="75" t="n">
        <v>70</v>
      </c>
      <c r="B85" s="76" t="n">
        <f aca="false">EOMONTH($C$10,69)</f>
        <v>48518</v>
      </c>
      <c r="C85" s="30" t="n">
        <f aca="false">G84</f>
        <v>3546727.01985457</v>
      </c>
      <c r="D85" s="30" t="n">
        <f aca="false">IF(A85&gt;$C$6,MIN(C85,$C$13),0)</f>
        <v>236448.467990305</v>
      </c>
      <c r="E85" s="30" t="n">
        <f aca="false">C85*$C$8*DAY(B85)/$C$11</f>
        <v>21378.8823141234</v>
      </c>
      <c r="F85" s="30" t="n">
        <f aca="false">D85+E85</f>
        <v>257827.350304429</v>
      </c>
      <c r="G85" s="30" t="n">
        <f aca="false">C85-D85</f>
        <v>3310278.55186426</v>
      </c>
      <c r="H85" s="75" t="n">
        <f aca="false">YEAR(B85)-YEAR($C$10)+1</f>
        <v>6</v>
      </c>
    </row>
    <row r="86" customFormat="false" ht="15" hidden="false" customHeight="true" outlineLevel="0" collapsed="false">
      <c r="A86" s="75" t="n">
        <v>71</v>
      </c>
      <c r="B86" s="76" t="n">
        <f aca="false">EOMONTH($C$10,70)</f>
        <v>48548</v>
      </c>
      <c r="C86" s="30" t="n">
        <f aca="false">G85</f>
        <v>3310278.55186426</v>
      </c>
      <c r="D86" s="30" t="n">
        <f aca="false">IF(A86&gt;$C$6,MIN(C86,$C$13),0)</f>
        <v>236448.467990305</v>
      </c>
      <c r="E86" s="30" t="n">
        <f aca="false">C86*$C$8*DAY(B86)/$C$11</f>
        <v>19309.9582192082</v>
      </c>
      <c r="F86" s="30" t="n">
        <f aca="false">D86+E86</f>
        <v>255758.426209513</v>
      </c>
      <c r="G86" s="30" t="n">
        <f aca="false">C86-D86</f>
        <v>3073830.08387396</v>
      </c>
      <c r="H86" s="75" t="n">
        <f aca="false">YEAR(B86)-YEAR($C$10)+1</f>
        <v>6</v>
      </c>
    </row>
    <row r="87" customFormat="false" ht="15" hidden="false" customHeight="true" outlineLevel="0" collapsed="false">
      <c r="A87" s="75" t="n">
        <v>72</v>
      </c>
      <c r="B87" s="76" t="n">
        <f aca="false">EOMONTH($C$10,71)</f>
        <v>48579</v>
      </c>
      <c r="C87" s="30" t="n">
        <f aca="false">G86</f>
        <v>3073830.08387396</v>
      </c>
      <c r="D87" s="30" t="n">
        <f aca="false">IF(A87&gt;$C$6,MIN(C87,$C$13),0)</f>
        <v>236448.467990305</v>
      </c>
      <c r="E87" s="30" t="n">
        <f aca="false">C87*$C$8*DAY(B87)/$C$11</f>
        <v>18528.3646722402</v>
      </c>
      <c r="F87" s="30" t="n">
        <f aca="false">D87+E87</f>
        <v>254976.832662545</v>
      </c>
      <c r="G87" s="30" t="n">
        <f aca="false">C87-D87</f>
        <v>2837381.61588365</v>
      </c>
      <c r="H87" s="75" t="n">
        <f aca="false">YEAR(B87)-YEAR($C$10)+1</f>
        <v>6</v>
      </c>
    </row>
    <row r="88" customFormat="false" ht="15" hidden="false" customHeight="true" outlineLevel="0" collapsed="false">
      <c r="A88" s="75" t="n">
        <v>73</v>
      </c>
      <c r="B88" s="76" t="n">
        <f aca="false">EOMONTH($C$10,72)</f>
        <v>48610</v>
      </c>
      <c r="C88" s="30" t="n">
        <f aca="false">G87</f>
        <v>2837381.61588365</v>
      </c>
      <c r="D88" s="30" t="n">
        <f aca="false">IF(A88&gt;$C$6,MIN(C88,$C$13),0)</f>
        <v>236448.467990305</v>
      </c>
      <c r="E88" s="30" t="n">
        <f aca="false">C88*$C$8*DAY(B88)/$C$11</f>
        <v>17103.1058512987</v>
      </c>
      <c r="F88" s="30" t="n">
        <f aca="false">D88+E88</f>
        <v>253551.573841604</v>
      </c>
      <c r="G88" s="30" t="n">
        <f aca="false">C88-D88</f>
        <v>2600933.14789335</v>
      </c>
      <c r="H88" s="75" t="n">
        <f aca="false">YEAR(B88)-YEAR($C$10)+1</f>
        <v>7</v>
      </c>
    </row>
    <row r="89" customFormat="false" ht="15" hidden="false" customHeight="true" outlineLevel="0" collapsed="false">
      <c r="A89" s="75" t="n">
        <v>74</v>
      </c>
      <c r="B89" s="76" t="n">
        <f aca="false">EOMONTH($C$10,73)</f>
        <v>48638</v>
      </c>
      <c r="C89" s="30" t="n">
        <f aca="false">G88</f>
        <v>2600933.14789335</v>
      </c>
      <c r="D89" s="30" t="n">
        <f aca="false">IF(A89&gt;$C$6,MIN(C89,$C$13),0)</f>
        <v>236448.467990305</v>
      </c>
      <c r="E89" s="30" t="n">
        <f aca="false">C89*$C$8*DAY(B89)/$C$11</f>
        <v>14160.6360274193</v>
      </c>
      <c r="F89" s="30" t="n">
        <f aca="false">D89+E89</f>
        <v>250609.104017724</v>
      </c>
      <c r="G89" s="30" t="n">
        <f aca="false">C89-D89</f>
        <v>2364484.67990304</v>
      </c>
      <c r="H89" s="75" t="n">
        <f aca="false">YEAR(B89)-YEAR($C$10)+1</f>
        <v>7</v>
      </c>
    </row>
    <row r="90" customFormat="false" ht="15" hidden="false" customHeight="true" outlineLevel="0" collapsed="false">
      <c r="A90" s="75" t="n">
        <v>75</v>
      </c>
      <c r="B90" s="76" t="n">
        <f aca="false">EOMONTH($C$10,74)</f>
        <v>48669</v>
      </c>
      <c r="C90" s="30" t="n">
        <f aca="false">G89</f>
        <v>2364484.67990304</v>
      </c>
      <c r="D90" s="30" t="n">
        <f aca="false">IF(A90&gt;$C$6,MIN(C90,$C$13),0)</f>
        <v>236448.467990305</v>
      </c>
      <c r="E90" s="30" t="n">
        <f aca="false">C90*$C$8*DAY(B90)/$C$11</f>
        <v>14252.5882094156</v>
      </c>
      <c r="F90" s="30" t="n">
        <f aca="false">D90+E90</f>
        <v>250701.056199721</v>
      </c>
      <c r="G90" s="30" t="n">
        <f aca="false">C90-D90</f>
        <v>2128036.21191274</v>
      </c>
      <c r="H90" s="75" t="n">
        <f aca="false">YEAR(B90)-YEAR($C$10)+1</f>
        <v>7</v>
      </c>
    </row>
    <row r="91" customFormat="false" ht="15" hidden="false" customHeight="true" outlineLevel="0" collapsed="false">
      <c r="A91" s="75" t="n">
        <v>76</v>
      </c>
      <c r="B91" s="76" t="n">
        <f aca="false">EOMONTH($C$10,75)</f>
        <v>48699</v>
      </c>
      <c r="C91" s="30" t="n">
        <f aca="false">G90</f>
        <v>2128036.21191274</v>
      </c>
      <c r="D91" s="30" t="n">
        <f aca="false">IF(A91&gt;$C$6,MIN(C91,$C$13),0)</f>
        <v>236448.467990305</v>
      </c>
      <c r="E91" s="30" t="n">
        <f aca="false">C91*$C$8*DAY(B91)/$C$11</f>
        <v>12413.544569491</v>
      </c>
      <c r="F91" s="30" t="n">
        <f aca="false">D91+E91</f>
        <v>248862.012559796</v>
      </c>
      <c r="G91" s="30" t="n">
        <f aca="false">C91-D91</f>
        <v>1891587.74392243</v>
      </c>
      <c r="H91" s="75" t="n">
        <f aca="false">YEAR(B91)-YEAR($C$10)+1</f>
        <v>7</v>
      </c>
    </row>
    <row r="92" customFormat="false" ht="15" hidden="false" customHeight="true" outlineLevel="0" collapsed="false">
      <c r="A92" s="75" t="n">
        <v>77</v>
      </c>
      <c r="B92" s="76" t="n">
        <f aca="false">EOMONTH($C$10,76)</f>
        <v>48730</v>
      </c>
      <c r="C92" s="30" t="n">
        <f aca="false">G91</f>
        <v>1891587.74392243</v>
      </c>
      <c r="D92" s="30" t="n">
        <f aca="false">IF(A92&gt;$C$6,MIN(C92,$C$13),0)</f>
        <v>236448.467990305</v>
      </c>
      <c r="E92" s="30" t="n">
        <f aca="false">C92*$C$8*DAY(B92)/$C$11</f>
        <v>11402.0705675324</v>
      </c>
      <c r="F92" s="30" t="n">
        <f aca="false">D92+E92</f>
        <v>247850.538557838</v>
      </c>
      <c r="G92" s="30" t="n">
        <f aca="false">C92-D92</f>
        <v>1655139.27593213</v>
      </c>
      <c r="H92" s="75" t="n">
        <f aca="false">YEAR(B92)-YEAR($C$10)+1</f>
        <v>7</v>
      </c>
    </row>
    <row r="93" customFormat="false" ht="15" hidden="false" customHeight="true" outlineLevel="0" collapsed="false">
      <c r="A93" s="75" t="n">
        <v>78</v>
      </c>
      <c r="B93" s="76" t="n">
        <f aca="false">EOMONTH($C$10,77)</f>
        <v>48760</v>
      </c>
      <c r="C93" s="30" t="n">
        <f aca="false">G92</f>
        <v>1655139.27593213</v>
      </c>
      <c r="D93" s="30" t="n">
        <f aca="false">IF(A93&gt;$C$6,MIN(C93,$C$13),0)</f>
        <v>236448.467990305</v>
      </c>
      <c r="E93" s="30" t="n">
        <f aca="false">C93*$C$8*DAY(B93)/$C$11</f>
        <v>9654.97910960407</v>
      </c>
      <c r="F93" s="30" t="n">
        <f aca="false">D93+E93</f>
        <v>246103.447099909</v>
      </c>
      <c r="G93" s="30" t="n">
        <f aca="false">C93-D93</f>
        <v>1418690.80794182</v>
      </c>
      <c r="H93" s="75" t="n">
        <f aca="false">YEAR(B93)-YEAR($C$10)+1</f>
        <v>7</v>
      </c>
    </row>
    <row r="94" customFormat="false" ht="15" hidden="false" customHeight="true" outlineLevel="0" collapsed="false">
      <c r="A94" s="75" t="n">
        <v>79</v>
      </c>
      <c r="B94" s="76" t="n">
        <f aca="false">EOMONTH($C$10,78)</f>
        <v>48791</v>
      </c>
      <c r="C94" s="30" t="n">
        <f aca="false">G93</f>
        <v>1418690.80794182</v>
      </c>
      <c r="D94" s="30" t="n">
        <f aca="false">IF(A94&gt;$C$6,MIN(C94,$C$13),0)</f>
        <v>236448.467990305</v>
      </c>
      <c r="E94" s="30" t="n">
        <f aca="false">C94*$C$8*DAY(B94)/$C$11</f>
        <v>8551.55292564931</v>
      </c>
      <c r="F94" s="30" t="n">
        <f aca="false">D94+E94</f>
        <v>245000.020915954</v>
      </c>
      <c r="G94" s="30" t="n">
        <f aca="false">C94-D94</f>
        <v>1182242.33995152</v>
      </c>
      <c r="H94" s="75" t="n">
        <f aca="false">YEAR(B94)-YEAR($C$10)+1</f>
        <v>7</v>
      </c>
    </row>
    <row r="95" customFormat="false" ht="15" hidden="false" customHeight="true" outlineLevel="0" collapsed="false">
      <c r="A95" s="75" t="n">
        <v>80</v>
      </c>
      <c r="B95" s="76" t="n">
        <f aca="false">EOMONTH($C$10,79)</f>
        <v>48822</v>
      </c>
      <c r="C95" s="30" t="n">
        <f aca="false">G94</f>
        <v>1182242.33995152</v>
      </c>
      <c r="D95" s="30" t="n">
        <f aca="false">IF(A95&gt;$C$6,MIN(C95,$C$13),0)</f>
        <v>236448.467990305</v>
      </c>
      <c r="E95" s="30" t="n">
        <f aca="false">C95*$C$8*DAY(B95)/$C$11</f>
        <v>7126.29410470775</v>
      </c>
      <c r="F95" s="30" t="n">
        <f aca="false">D95+E95</f>
        <v>243574.762095013</v>
      </c>
      <c r="G95" s="30" t="n">
        <f aca="false">C95-D95</f>
        <v>945793.871961211</v>
      </c>
      <c r="H95" s="75" t="n">
        <f aca="false">YEAR(B95)-YEAR($C$10)+1</f>
        <v>7</v>
      </c>
    </row>
    <row r="96" customFormat="false" ht="15" hidden="false" customHeight="true" outlineLevel="0" collapsed="false">
      <c r="A96" s="75" t="n">
        <v>81</v>
      </c>
      <c r="B96" s="76" t="n">
        <f aca="false">EOMONTH($C$10,80)</f>
        <v>48852</v>
      </c>
      <c r="C96" s="30" t="n">
        <f aca="false">G95</f>
        <v>945793.871961211</v>
      </c>
      <c r="D96" s="30" t="n">
        <f aca="false">IF(A96&gt;$C$6,MIN(C96,$C$13),0)</f>
        <v>236448.467990305</v>
      </c>
      <c r="E96" s="30" t="n">
        <f aca="false">C96*$C$8*DAY(B96)/$C$11</f>
        <v>5517.13091977373</v>
      </c>
      <c r="F96" s="30" t="n">
        <f aca="false">D96+E96</f>
        <v>241965.598910079</v>
      </c>
      <c r="G96" s="30" t="n">
        <f aca="false">C96-D96</f>
        <v>709345.403970906</v>
      </c>
      <c r="H96" s="75" t="n">
        <f aca="false">YEAR(B96)-YEAR($C$10)+1</f>
        <v>7</v>
      </c>
    </row>
    <row r="97" customFormat="false" ht="15" hidden="false" customHeight="true" outlineLevel="0" collapsed="false">
      <c r="A97" s="75" t="n">
        <v>82</v>
      </c>
      <c r="B97" s="76" t="n">
        <f aca="false">EOMONTH($C$10,81)</f>
        <v>48883</v>
      </c>
      <c r="C97" s="30" t="n">
        <f aca="false">G96</f>
        <v>709345.403970906</v>
      </c>
      <c r="D97" s="30" t="n">
        <f aca="false">IF(A97&gt;$C$6,MIN(C97,$C$13),0)</f>
        <v>236448.467990305</v>
      </c>
      <c r="E97" s="30" t="n">
        <f aca="false">C97*$C$8*DAY(B97)/$C$11</f>
        <v>4275.77646282463</v>
      </c>
      <c r="F97" s="30" t="n">
        <f aca="false">D97+E97</f>
        <v>240724.24445313</v>
      </c>
      <c r="G97" s="30" t="n">
        <f aca="false">C97-D97</f>
        <v>472896.935980601</v>
      </c>
      <c r="H97" s="75" t="n">
        <f aca="false">YEAR(B97)-YEAR($C$10)+1</f>
        <v>7</v>
      </c>
    </row>
    <row r="98" customFormat="false" ht="15" hidden="false" customHeight="true" outlineLevel="0" collapsed="false">
      <c r="A98" s="75" t="n">
        <v>83</v>
      </c>
      <c r="B98" s="76" t="n">
        <f aca="false">EOMONTH($C$10,82)</f>
        <v>48913</v>
      </c>
      <c r="C98" s="30" t="n">
        <f aca="false">G97</f>
        <v>472896.935980601</v>
      </c>
      <c r="D98" s="30" t="n">
        <f aca="false">IF(A98&gt;$C$6,MIN(C98,$C$13),0)</f>
        <v>236448.467990305</v>
      </c>
      <c r="E98" s="30" t="n">
        <f aca="false">C98*$C$8*DAY(B98)/$C$11</f>
        <v>2758.56545988684</v>
      </c>
      <c r="F98" s="30" t="n">
        <f aca="false">D98+E98</f>
        <v>239207.033450192</v>
      </c>
      <c r="G98" s="30" t="n">
        <f aca="false">C98-D98</f>
        <v>236448.467990296</v>
      </c>
      <c r="H98" s="75" t="n">
        <f aca="false">YEAR(B98)-YEAR($C$10)+1</f>
        <v>7</v>
      </c>
    </row>
    <row r="99" customFormat="false" ht="15" hidden="false" customHeight="true" outlineLevel="0" collapsed="false">
      <c r="A99" s="75" t="n">
        <v>84</v>
      </c>
      <c r="B99" s="76" t="n">
        <f aca="false">EOMONTH($C$10,83)</f>
        <v>48944</v>
      </c>
      <c r="C99" s="30" t="n">
        <f aca="false">G98</f>
        <v>236448.467990296</v>
      </c>
      <c r="D99" s="30" t="n">
        <f aca="false">IF(A99&gt;$C$6,MIN(C99,$C$13),0)</f>
        <v>236448.467990296</v>
      </c>
      <c r="E99" s="30" t="n">
        <f aca="false">C99*$C$8*DAY(B99)/$C$11</f>
        <v>1425.2588209415</v>
      </c>
      <c r="F99" s="30" t="n">
        <f aca="false">D99+E99</f>
        <v>237873.726811237</v>
      </c>
      <c r="G99" s="30" t="n">
        <f aca="false">C99-D99</f>
        <v>0</v>
      </c>
      <c r="H99" s="75" t="n">
        <f aca="false">YEAR(B99)-YEAR($C$10)+1</f>
        <v>7</v>
      </c>
    </row>
    <row r="100" customFormat="false" ht="15" hidden="false" customHeight="true" outlineLevel="0" collapsed="false">
      <c r="B100" s="11" t="s">
        <v>152</v>
      </c>
      <c r="D100" s="48" t="n">
        <f aca="false">SUM(D16:D99)</f>
        <v>17024289.695302</v>
      </c>
      <c r="E100" s="48" t="n">
        <f aca="false">SUM(E16:E99)</f>
        <v>4885051.6207317</v>
      </c>
      <c r="F100" s="48" t="n">
        <f aca="false">SUM(F16:F99)</f>
        <v>21909341.3160337</v>
      </c>
    </row>
    <row r="102" customFormat="false" ht="15" hidden="false" customHeight="true" outlineLevel="0" collapsed="false">
      <c r="B102" s="34" t="s">
        <v>463</v>
      </c>
    </row>
    <row r="103" customFormat="false" ht="15" hidden="false" customHeight="true" outlineLevel="0" collapsed="false">
      <c r="B103" s="5" t="s">
        <v>44</v>
      </c>
      <c r="C103" s="56" t="s">
        <v>203</v>
      </c>
      <c r="D103" s="56" t="s">
        <v>47</v>
      </c>
      <c r="E103" s="56" t="s">
        <v>48</v>
      </c>
      <c r="F103" s="56" t="s">
        <v>49</v>
      </c>
      <c r="G103" s="56" t="s">
        <v>50</v>
      </c>
      <c r="H103" s="56" t="s">
        <v>51</v>
      </c>
      <c r="I103" s="56" t="s">
        <v>52</v>
      </c>
    </row>
    <row r="104" customFormat="false" ht="15" hidden="false" customHeight="true" outlineLevel="0" collapsed="false">
      <c r="B104" s="13" t="s">
        <v>464</v>
      </c>
      <c r="C104" s="14" t="n">
        <f aca="false">$C$9</f>
        <v>17024289.695302</v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</row>
    <row r="105" customFormat="false" ht="15" hidden="false" customHeight="true" outlineLevel="0" collapsed="false">
      <c r="B105" s="13" t="s">
        <v>127</v>
      </c>
      <c r="C105" s="14" t="n">
        <f aca="false">SUMIF($H$16:$H$99,1,$D$16:$D$99)</f>
        <v>0</v>
      </c>
      <c r="D105" s="14" t="n">
        <f aca="false">SUMIF($H$16:$H$99,2,$D$16:$D$99)</f>
        <v>2837381.61588366</v>
      </c>
      <c r="E105" s="14" t="n">
        <f aca="false">SUMIF($H$16:$H$99,3,$D$16:$D$99)</f>
        <v>2837381.61588366</v>
      </c>
      <c r="F105" s="14" t="n">
        <f aca="false">SUMIF($H$16:$H$99,4,$D$16:$D$99)</f>
        <v>2837381.61588366</v>
      </c>
      <c r="G105" s="14" t="n">
        <f aca="false">SUMIF($H$16:$H$99,5,$D$16:$D$99)</f>
        <v>2837381.61588366</v>
      </c>
      <c r="H105" s="14" t="n">
        <f aca="false">SUMIF($H$16:$H$99,6,$D$16:$D$99)</f>
        <v>2837381.61588366</v>
      </c>
      <c r="I105" s="14" t="n">
        <f aca="false">SUMIF($H$16:$H$99,7,$D$16:$D$99)</f>
        <v>2837381.61588365</v>
      </c>
    </row>
    <row r="106" customFormat="false" ht="15" hidden="false" customHeight="true" outlineLevel="0" collapsed="false">
      <c r="B106" s="13" t="s">
        <v>459</v>
      </c>
      <c r="C106" s="14" t="n">
        <f aca="false">SUMIF($H$16:$H$99,1,$E$16:$E$99)</f>
        <v>1208251.67143046</v>
      </c>
      <c r="D106" s="14" t="n">
        <f aca="false">SUMIF($H$16:$H$99,2,$E$16:$E$99)</f>
        <v>1118782.19834813</v>
      </c>
      <c r="E106" s="14" t="n">
        <f aca="false">SUMIF($H$16:$H$99,3,$E$16:$E$99)</f>
        <v>914142.617315518</v>
      </c>
      <c r="F106" s="14" t="n">
        <f aca="false">SUMIF($H$16:$H$99,4,$E$16:$E$99)</f>
        <v>712767.338743775</v>
      </c>
      <c r="G106" s="14" t="n">
        <f aca="false">SUMIF($H$16:$H$99,5,$E$16:$E$99)</f>
        <v>511392.060172031</v>
      </c>
      <c r="H106" s="14" t="n">
        <f aca="false">SUMIF($H$16:$H$99,6,$E$16:$E$99)</f>
        <v>311074.231693245</v>
      </c>
      <c r="I106" s="14" t="n">
        <f aca="false">SUMIF($H$16:$H$99,7,$E$16:$E$99)</f>
        <v>108641.503028545</v>
      </c>
    </row>
    <row r="107" customFormat="false" ht="15" hidden="false" customHeight="true" outlineLevel="0" collapsed="false">
      <c r="B107" s="26" t="s">
        <v>465</v>
      </c>
      <c r="C107" s="14" t="n">
        <f aca="false">C105+C106</f>
        <v>1208251.67143046</v>
      </c>
      <c r="D107" s="14" t="n">
        <f aca="false">D105+D106</f>
        <v>3956163.81423179</v>
      </c>
      <c r="E107" s="14" t="n">
        <f aca="false">E105+E106</f>
        <v>3751524.23319918</v>
      </c>
      <c r="F107" s="14" t="n">
        <f aca="false">F105+F106</f>
        <v>3550148.95462744</v>
      </c>
      <c r="G107" s="14" t="n">
        <f aca="false">G105+G106</f>
        <v>3348773.67605569</v>
      </c>
      <c r="H107" s="14" t="n">
        <f aca="false">H105+H106</f>
        <v>3148455.84757691</v>
      </c>
      <c r="I107" s="14" t="n">
        <f aca="false">I105+I106</f>
        <v>2946023.1189122</v>
      </c>
    </row>
    <row r="108" customFormat="false" ht="15" hidden="false" customHeight="true" outlineLevel="0" collapsed="false">
      <c r="B108" s="26" t="s">
        <v>466</v>
      </c>
      <c r="C108" s="14" t="n">
        <f aca="false">$C$9-SUM($C$105:C105)</f>
        <v>17024289.695302</v>
      </c>
      <c r="D108" s="14" t="n">
        <f aca="false">$C$9-SUM($C$105:D105)</f>
        <v>14186908.0794183</v>
      </c>
      <c r="E108" s="14" t="n">
        <f aca="false">$C$9-SUM($C$105:E105)</f>
        <v>11349526.4635346</v>
      </c>
      <c r="F108" s="14" t="n">
        <f aca="false">$C$9-SUM($C$105:F105)</f>
        <v>8512144.84765098</v>
      </c>
      <c r="G108" s="14" t="n">
        <f aca="false">$C$9-SUM($C$105:G105)</f>
        <v>5674763.23176732</v>
      </c>
      <c r="H108" s="14" t="n">
        <f aca="false">$C$9-SUM($C$105:H105)</f>
        <v>2837381.61588366</v>
      </c>
      <c r="I108" s="14" t="n">
        <f aca="false">$C$9-SUM($C$105:I105)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467</v>
      </c>
      <c r="K2" s="52" t="s">
        <v>468</v>
      </c>
    </row>
    <row r="4" customFormat="false" ht="30" hidden="false" customHeight="true" outlineLevel="0" collapsed="false">
      <c r="B4" s="19" t="s">
        <v>44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true" outlineLevel="0" collapsed="false">
      <c r="B6" s="29" t="s">
        <v>469</v>
      </c>
      <c r="C6" s="20" t="s">
        <v>34</v>
      </c>
      <c r="D6" s="22" t="n">
        <f aca="false">D7+D8</f>
        <v>28331250</v>
      </c>
      <c r="E6" s="22" t="n">
        <f aca="false">E7+E8</f>
        <v>247405564.5</v>
      </c>
      <c r="F6" s="22" t="n">
        <f aca="false">F7+F8</f>
        <v>307919597.08125</v>
      </c>
      <c r="G6" s="22" t="n">
        <f aca="false">G7+G8</f>
        <v>318676396.5</v>
      </c>
      <c r="H6" s="22" t="n">
        <f aca="false">H7+H8</f>
        <v>325686900</v>
      </c>
      <c r="I6" s="22" t="n">
        <f aca="false">I7+I8</f>
        <v>332851480.5</v>
      </c>
      <c r="J6" s="22" t="n">
        <f aca="false">J7+J8</f>
        <v>340175451</v>
      </c>
    </row>
    <row r="7" customFormat="false" ht="15" hidden="false" customHeight="true" outlineLevel="0" collapsed="false">
      <c r="B7" s="7" t="s">
        <v>470</v>
      </c>
      <c r="C7" s="20" t="s">
        <v>34</v>
      </c>
      <c r="D7" s="14" t="n">
        <f aca="false">SalePlan!D8</f>
        <v>28331250</v>
      </c>
      <c r="E7" s="14" t="n">
        <f aca="false">SalePlan!E8</f>
        <v>247405564.5</v>
      </c>
      <c r="F7" s="14" t="n">
        <f aca="false">SalePlan!F8</f>
        <v>307919597.08125</v>
      </c>
      <c r="G7" s="14" t="n">
        <f aca="false">SalePlan!G8</f>
        <v>318676396.5</v>
      </c>
      <c r="H7" s="14" t="n">
        <f aca="false">SalePlan!H8</f>
        <v>325686900</v>
      </c>
      <c r="I7" s="14" t="n">
        <f aca="false">SalePlan!I8</f>
        <v>332851480.5</v>
      </c>
      <c r="J7" s="14" t="n">
        <f aca="false">SalePlan!J8</f>
        <v>340175451</v>
      </c>
    </row>
    <row r="8" customFormat="false" ht="15" hidden="false" customHeight="true" outlineLevel="0" collapsed="false">
      <c r="B8" s="7" t="s">
        <v>471</v>
      </c>
      <c r="C8" s="20" t="s">
        <v>34</v>
      </c>
      <c r="D8" s="14" t="n">
        <f aca="false">SalePlan!D12+Taxes!D19</f>
        <v>0</v>
      </c>
      <c r="E8" s="14" t="n">
        <f aca="false">SalePlan!E12+Taxes!E19</f>
        <v>0</v>
      </c>
      <c r="F8" s="14" t="n">
        <f aca="false">SalePlan!F12+Taxes!F19</f>
        <v>0</v>
      </c>
      <c r="G8" s="14" t="n">
        <f aca="false">SalePlan!G12+Taxes!G19</f>
        <v>0</v>
      </c>
      <c r="H8" s="14" t="n">
        <f aca="false">SalePlan!H12+Taxes!H19</f>
        <v>0</v>
      </c>
      <c r="I8" s="14" t="n">
        <f aca="false">SalePlan!I12+Taxes!I19</f>
        <v>0</v>
      </c>
      <c r="J8" s="14" t="n">
        <f aca="false">SalePlan!J12+Taxes!J19</f>
        <v>0</v>
      </c>
    </row>
    <row r="9" customFormat="false" ht="15" hidden="false" customHeight="true" outlineLevel="0" collapsed="false">
      <c r="B9" s="7" t="s">
        <v>472</v>
      </c>
      <c r="C9" s="20" t="s">
        <v>34</v>
      </c>
      <c r="D9" s="14" t="n">
        <f aca="false">Taxes!D19</f>
        <v>0</v>
      </c>
      <c r="E9" s="14" t="n">
        <f aca="false">Taxes!E19</f>
        <v>0</v>
      </c>
      <c r="F9" s="14" t="n">
        <f aca="false">Taxes!F19</f>
        <v>0</v>
      </c>
      <c r="G9" s="14" t="n">
        <f aca="false">Taxes!G19</f>
        <v>0</v>
      </c>
      <c r="H9" s="14" t="n">
        <f aca="false">Taxes!H19</f>
        <v>0</v>
      </c>
      <c r="I9" s="14" t="n">
        <f aca="false">Taxes!I19</f>
        <v>0</v>
      </c>
      <c r="J9" s="14" t="n">
        <f aca="false">Taxes!J19</f>
        <v>0</v>
      </c>
    </row>
    <row r="10" customFormat="false" ht="15" hidden="false" customHeight="true" outlineLevel="0" collapsed="false">
      <c r="B10" s="72" t="s">
        <v>473</v>
      </c>
      <c r="C10" s="60" t="s">
        <v>34</v>
      </c>
      <c r="D10" s="49" t="n">
        <f aca="false">D6-D9</f>
        <v>28331250</v>
      </c>
      <c r="E10" s="49" t="n">
        <f aca="false">E6-E9</f>
        <v>247405564.5</v>
      </c>
      <c r="F10" s="49" t="n">
        <f aca="false">F6-F9</f>
        <v>307919597.08125</v>
      </c>
      <c r="G10" s="49" t="n">
        <f aca="false">G6-G9</f>
        <v>318676396.5</v>
      </c>
      <c r="H10" s="49" t="n">
        <f aca="false">H6-H9</f>
        <v>325686900</v>
      </c>
      <c r="I10" s="49" t="n">
        <f aca="false">I6-I9</f>
        <v>332851480.5</v>
      </c>
      <c r="J10" s="49" t="n">
        <f aca="false">J6-J9</f>
        <v>340175451</v>
      </c>
    </row>
    <row r="11" customFormat="false" ht="15" hidden="false" customHeight="true" outlineLevel="0" collapsed="false">
      <c r="B11" s="7" t="s">
        <v>425</v>
      </c>
      <c r="C11" s="20" t="s">
        <v>34</v>
      </c>
      <c r="D11" s="14" t="n">
        <f aca="false">CostSold!D22</f>
        <v>21093700.036657</v>
      </c>
      <c r="E11" s="14" t="n">
        <f aca="false">CostSold!E22</f>
        <v>217265749.004587</v>
      </c>
      <c r="F11" s="14" t="n">
        <f aca="false">CostSold!F22</f>
        <v>270814621.006673</v>
      </c>
      <c r="G11" s="14" t="n">
        <f aca="false">CostSold!G22</f>
        <v>279271630.847367</v>
      </c>
      <c r="H11" s="14" t="n">
        <f aca="false">CostSold!H22</f>
        <v>285405375.894452</v>
      </c>
      <c r="I11" s="14" t="n">
        <f aca="false">CostSold!I22</f>
        <v>291673016.077546</v>
      </c>
      <c r="J11" s="14" t="n">
        <f aca="false">CostSold!J22</f>
        <v>298077496.215561</v>
      </c>
    </row>
    <row r="12" customFormat="false" ht="15" hidden="false" customHeight="true" outlineLevel="0" collapsed="false">
      <c r="B12" s="7" t="s">
        <v>474</v>
      </c>
      <c r="C12" s="20" t="s">
        <v>34</v>
      </c>
      <c r="D12" s="14" t="n">
        <f aca="false">CostSold!D24</f>
        <v>20083620.0616148</v>
      </c>
      <c r="E12" s="14" t="n">
        <f aca="false">CostSold!E24</f>
        <v>208886891.028481</v>
      </c>
      <c r="F12" s="14" t="n">
        <f aca="false">CostSold!F24</f>
        <v>260771142.898836</v>
      </c>
      <c r="G12" s="14" t="n">
        <f aca="false">CostSold!G24</f>
        <v>268882462.667563</v>
      </c>
      <c r="H12" s="14" t="n">
        <f aca="false">CostSold!H24</f>
        <v>274755960.337592</v>
      </c>
      <c r="I12" s="14" t="n">
        <f aca="false">CostSold!I24</f>
        <v>280757669.167198</v>
      </c>
      <c r="J12" s="14" t="n">
        <f aca="false">CostSold!J24</f>
        <v>286890409.252092</v>
      </c>
    </row>
    <row r="13" customFormat="false" ht="15" hidden="false" customHeight="true" outlineLevel="0" collapsed="false">
      <c r="B13" s="7" t="s">
        <v>475</v>
      </c>
      <c r="C13" s="20" t="s">
        <v>34</v>
      </c>
      <c r="D13" s="14" t="n">
        <f aca="false">CostSold!D25</f>
        <v>1010079.97504217</v>
      </c>
      <c r="E13" s="14" t="n">
        <f aca="false">CostSold!E25</f>
        <v>8378857.97610548</v>
      </c>
      <c r="F13" s="14" t="n">
        <f aca="false">CostSold!F25</f>
        <v>10043478.1078369</v>
      </c>
      <c r="G13" s="14" t="n">
        <f aca="false">CostSold!G25</f>
        <v>10389168.1798042</v>
      </c>
      <c r="H13" s="14" t="n">
        <f aca="false">CostSold!H25</f>
        <v>10649415.5568596</v>
      </c>
      <c r="I13" s="14" t="n">
        <f aca="false">CostSold!I25</f>
        <v>10915346.9103482</v>
      </c>
      <c r="J13" s="14" t="n">
        <f aca="false">CostSold!J25</f>
        <v>11187086.9634694</v>
      </c>
    </row>
    <row r="14" customFormat="false" ht="15" hidden="false" customHeight="true" outlineLevel="0" collapsed="false">
      <c r="B14" s="72" t="s">
        <v>476</v>
      </c>
      <c r="C14" s="60" t="s">
        <v>34</v>
      </c>
      <c r="D14" s="49" t="n">
        <f aca="false">D10-D11</f>
        <v>7237549.96334301</v>
      </c>
      <c r="E14" s="49" t="n">
        <f aca="false">E10-E11</f>
        <v>30139815.4954135</v>
      </c>
      <c r="F14" s="49" t="n">
        <f aca="false">F10-F11</f>
        <v>37104976.0745774</v>
      </c>
      <c r="G14" s="49" t="n">
        <f aca="false">G10-G11</f>
        <v>39404765.6526332</v>
      </c>
      <c r="H14" s="49" t="n">
        <f aca="false">H10-H11</f>
        <v>40281524.1055484</v>
      </c>
      <c r="I14" s="49" t="n">
        <f aca="false">I10-I11</f>
        <v>41178464.4224542</v>
      </c>
      <c r="J14" s="49" t="n">
        <f aca="false">J10-J11</f>
        <v>42097954.7844388</v>
      </c>
    </row>
    <row r="15" customFormat="false" ht="15" hidden="false" customHeight="true" outlineLevel="0" collapsed="false">
      <c r="B15" s="7" t="s">
        <v>477</v>
      </c>
      <c r="C15" s="20" t="s">
        <v>34</v>
      </c>
      <c r="D15" s="14" t="n">
        <f aca="false">CostSold!D32</f>
        <v>3087434.24392275</v>
      </c>
      <c r="E15" s="14" t="n">
        <f aca="false">CostSold!E32</f>
        <v>5081988.40434527</v>
      </c>
      <c r="F15" s="14" t="n">
        <f aca="false">CostSold!F32</f>
        <v>5628620.07679632</v>
      </c>
      <c r="G15" s="14" t="n">
        <f aca="false">CostSold!G32</f>
        <v>5772121.82828875</v>
      </c>
      <c r="H15" s="14" t="n">
        <f aca="false">CostSold!H32</f>
        <v>5898870.90811036</v>
      </c>
      <c r="I15" s="14" t="n">
        <f aca="false">CostSold!I32</f>
        <v>6025729.12587452</v>
      </c>
      <c r="J15" s="14" t="n">
        <f aca="false">CostSold!J32</f>
        <v>6150088.85628876</v>
      </c>
    </row>
    <row r="16" customFormat="false" ht="15" hidden="false" customHeight="true" outlineLevel="0" collapsed="false">
      <c r="B16" s="7" t="s">
        <v>478</v>
      </c>
      <c r="C16" s="20" t="s">
        <v>34</v>
      </c>
      <c r="D16" s="14" t="n">
        <f aca="false">CostSold!D40</f>
        <v>705778.77881968</v>
      </c>
      <c r="E16" s="14" t="n">
        <f aca="false">CostSold!E40</f>
        <v>4924323.81152242</v>
      </c>
      <c r="F16" s="14" t="n">
        <f aca="false">CostSold!F40</f>
        <v>5939229.67291737</v>
      </c>
      <c r="G16" s="14" t="n">
        <f aca="false">CostSold!G40</f>
        <v>6052823.37891389</v>
      </c>
      <c r="H16" s="14" t="n">
        <f aca="false">CostSold!H40</f>
        <v>6168705.67827769</v>
      </c>
      <c r="I16" s="14" t="n">
        <f aca="false">CostSold!I40</f>
        <v>6287324.77981981</v>
      </c>
      <c r="J16" s="14" t="n">
        <f aca="false">CostSold!J40</f>
        <v>6408741.08551874</v>
      </c>
    </row>
    <row r="17" customFormat="false" ht="15" hidden="false" customHeight="true" outlineLevel="0" collapsed="false">
      <c r="B17" s="72" t="s">
        <v>479</v>
      </c>
      <c r="C17" s="60" t="s">
        <v>34</v>
      </c>
      <c r="D17" s="49" t="n">
        <f aca="false">D14-D15-D16</f>
        <v>3444336.94060058</v>
      </c>
      <c r="E17" s="49" t="n">
        <f aca="false">E14-E15-E16</f>
        <v>20133503.2795458</v>
      </c>
      <c r="F17" s="49" t="n">
        <f aca="false">F14-F15-F16</f>
        <v>25537126.3248637</v>
      </c>
      <c r="G17" s="49" t="n">
        <f aca="false">G14-G15-G16</f>
        <v>27579820.4454306</v>
      </c>
      <c r="H17" s="49" t="n">
        <f aca="false">H14-H15-H16</f>
        <v>28213947.5191604</v>
      </c>
      <c r="I17" s="49" t="n">
        <f aca="false">I14-I15-I16</f>
        <v>28865410.5167599</v>
      </c>
      <c r="J17" s="49" t="n">
        <f aca="false">J14-J15-J16</f>
        <v>29539124.8426313</v>
      </c>
    </row>
    <row r="18" customFormat="false" ht="15" hidden="false" customHeight="true" outlineLevel="0" collapsed="false">
      <c r="B18" s="7" t="s">
        <v>480</v>
      </c>
      <c r="C18" s="20" t="s">
        <v>34</v>
      </c>
      <c r="D18" s="14" t="n">
        <f aca="false">D19</f>
        <v>0</v>
      </c>
      <c r="E18" s="14" t="n">
        <f aca="false">E19</f>
        <v>1118782.19834813</v>
      </c>
      <c r="F18" s="14" t="n">
        <f aca="false">F19</f>
        <v>914142.617315518</v>
      </c>
      <c r="G18" s="14" t="n">
        <f aca="false">G19</f>
        <v>712767.338743775</v>
      </c>
      <c r="H18" s="14" t="n">
        <f aca="false">H19</f>
        <v>511392.060172031</v>
      </c>
      <c r="I18" s="14" t="n">
        <f aca="false">I19</f>
        <v>311074.231693245</v>
      </c>
      <c r="J18" s="14" t="n">
        <f aca="false">J19</f>
        <v>108641.503028545</v>
      </c>
    </row>
    <row r="19" customFormat="false" ht="15" hidden="false" customHeight="true" outlineLevel="0" collapsed="false">
      <c r="B19" s="7" t="s">
        <v>481</v>
      </c>
      <c r="C19" s="20" t="s">
        <v>34</v>
      </c>
      <c r="D19" s="14" t="n">
        <f aca="false">CostSold!D43</f>
        <v>0</v>
      </c>
      <c r="E19" s="14" t="n">
        <f aca="false">CostSold!E43</f>
        <v>1118782.19834813</v>
      </c>
      <c r="F19" s="14" t="n">
        <f aca="false">CostSold!F43</f>
        <v>914142.617315518</v>
      </c>
      <c r="G19" s="14" t="n">
        <f aca="false">CostSold!G43</f>
        <v>712767.338743775</v>
      </c>
      <c r="H19" s="14" t="n">
        <f aca="false">CostSold!H43</f>
        <v>511392.060172031</v>
      </c>
      <c r="I19" s="14" t="n">
        <f aca="false">CostSold!I43</f>
        <v>311074.231693245</v>
      </c>
      <c r="J19" s="14" t="n">
        <f aca="false">CostSold!J43</f>
        <v>108641.503028545</v>
      </c>
    </row>
    <row r="20" customFormat="false" ht="15" hidden="false" customHeight="true" outlineLevel="0" collapsed="false">
      <c r="B20" s="72" t="s">
        <v>482</v>
      </c>
      <c r="C20" s="60" t="s">
        <v>34</v>
      </c>
      <c r="D20" s="49" t="n">
        <f aca="false">D17-D18</f>
        <v>3444336.94060058</v>
      </c>
      <c r="E20" s="49" t="n">
        <f aca="false">E17-E18</f>
        <v>19014721.0811977</v>
      </c>
      <c r="F20" s="49" t="n">
        <f aca="false">F17-F18</f>
        <v>24622983.7075482</v>
      </c>
      <c r="G20" s="49" t="n">
        <f aca="false">G17-G18</f>
        <v>26867053.1066868</v>
      </c>
      <c r="H20" s="49" t="n">
        <f aca="false">H17-H18</f>
        <v>27702555.4589884</v>
      </c>
      <c r="I20" s="49" t="n">
        <f aca="false">I17-I18</f>
        <v>28554336.2850667</v>
      </c>
      <c r="J20" s="49" t="n">
        <f aca="false">J17-J18</f>
        <v>29430483.3396027</v>
      </c>
    </row>
    <row r="21" customFormat="false" ht="15" hidden="false" customHeight="true" outlineLevel="0" collapsed="false">
      <c r="B21" s="7" t="s">
        <v>483</v>
      </c>
      <c r="C21" s="20" t="s">
        <v>34</v>
      </c>
      <c r="D21" s="14" t="n">
        <f aca="false">Taxes!D29</f>
        <v>516650.541090088</v>
      </c>
      <c r="E21" s="14" t="n">
        <f aca="false">Taxes!E29</f>
        <v>2852208.16217965</v>
      </c>
      <c r="F21" s="14" t="n">
        <f aca="false">Taxes!F29</f>
        <v>3693447.55613223</v>
      </c>
      <c r="G21" s="14" t="n">
        <f aca="false">Taxes!G29</f>
        <v>4030057.96600302</v>
      </c>
      <c r="H21" s="14" t="n">
        <f aca="false">Taxes!H29</f>
        <v>4155383.31884825</v>
      </c>
      <c r="I21" s="14" t="n">
        <f aca="false">Taxes!I29</f>
        <v>4283150.44276</v>
      </c>
      <c r="J21" s="14" t="n">
        <f aca="false">Taxes!J29</f>
        <v>4414572.50094041</v>
      </c>
    </row>
    <row r="22" customFormat="false" ht="15" hidden="false" customHeight="true" outlineLevel="0" collapsed="false">
      <c r="B22" s="39" t="s">
        <v>484</v>
      </c>
      <c r="C22" s="63" t="s">
        <v>34</v>
      </c>
      <c r="D22" s="17" t="n">
        <f aca="false">D20-D21</f>
        <v>2927686.3995105</v>
      </c>
      <c r="E22" s="17" t="n">
        <f aca="false">E20-E21</f>
        <v>16162512.919018</v>
      </c>
      <c r="F22" s="17" t="n">
        <f aca="false">F20-F21</f>
        <v>20929536.151416</v>
      </c>
      <c r="G22" s="17" t="n">
        <f aca="false">G20-G21</f>
        <v>22836995.1406838</v>
      </c>
      <c r="H22" s="17" t="n">
        <f aca="false">H20-H21</f>
        <v>23547172.1401401</v>
      </c>
      <c r="I22" s="17" t="n">
        <f aca="false">I20-I21</f>
        <v>24271185.8423067</v>
      </c>
      <c r="J22" s="17" t="n">
        <f aca="false">J20-J21</f>
        <v>25015910.8386623</v>
      </c>
    </row>
    <row r="24" customFormat="false" ht="15" hidden="false" customHeight="true" outlineLevel="0" collapsed="false">
      <c r="B24" s="34" t="s">
        <v>485</v>
      </c>
    </row>
    <row r="25" customFormat="false" ht="15" hidden="false" customHeight="true" outlineLevel="0" collapsed="false">
      <c r="B25" s="7" t="s">
        <v>486</v>
      </c>
      <c r="C25" s="20" t="s">
        <v>235</v>
      </c>
      <c r="D25" s="15" t="n">
        <f aca="false">IFERROR(D14/D10,0)</f>
        <v>0.255461723832976</v>
      </c>
      <c r="E25" s="15" t="n">
        <f aca="false">IFERROR(E14/E10,0)</f>
        <v>0.121823514989751</v>
      </c>
      <c r="F25" s="15" t="n">
        <f aca="false">IFERROR(F14/F10,0)</f>
        <v>0.120502158441012</v>
      </c>
      <c r="G25" s="15" t="n">
        <f aca="false">IFERROR(G14/G10,0)</f>
        <v>0.123651346900533</v>
      </c>
      <c r="H25" s="15" t="n">
        <f aca="false">IFERROR(H14/H10,0)</f>
        <v>0.123681744969013</v>
      </c>
      <c r="I25" s="15" t="n">
        <f aca="false">IFERROR(I14/I10,0)</f>
        <v>0.123714229423276</v>
      </c>
      <c r="J25" s="15" t="n">
        <f aca="false">IFERROR(J14/J10,0)</f>
        <v>0.123753653183042</v>
      </c>
    </row>
    <row r="26" customFormat="false" ht="15" hidden="false" customHeight="true" outlineLevel="0" collapsed="false">
      <c r="B26" s="7" t="s">
        <v>487</v>
      </c>
      <c r="C26" s="20" t="s">
        <v>235</v>
      </c>
      <c r="D26" s="15" t="n">
        <f aca="false">IFERROR(D22/D10,0)</f>
        <v>0.103337706578795</v>
      </c>
      <c r="E26" s="15" t="n">
        <f aca="false">IFERROR(E22/E10,0)</f>
        <v>0.065328008897787</v>
      </c>
      <c r="F26" s="15" t="n">
        <f aca="false">IFERROR(F22/F10,0)</f>
        <v>0.0679707831193782</v>
      </c>
      <c r="G26" s="15" t="n">
        <f aca="false">IFERROR(G22/G10,0)</f>
        <v>0.0716620226395831</v>
      </c>
      <c r="H26" s="15" t="n">
        <f aca="false">IFERROR(H22/H10,0)</f>
        <v>0.0723000284633496</v>
      </c>
      <c r="I26" s="15" t="n">
        <f aca="false">IFERROR(I22/I10,0)</f>
        <v>0.0729189661582613</v>
      </c>
      <c r="J26" s="15" t="n">
        <f aca="false">IFERROR(J22/J10,0)</f>
        <v>0.0735382602275504</v>
      </c>
    </row>
    <row r="27" customFormat="false" ht="15" hidden="false" customHeight="true" outlineLevel="0" collapsed="false">
      <c r="B27" s="7" t="s">
        <v>54</v>
      </c>
      <c r="C27" s="20" t="s">
        <v>34</v>
      </c>
      <c r="D27" s="14" t="n">
        <f aca="false">D17+Depreciate!$G$21</f>
        <v>4067929.80982083</v>
      </c>
      <c r="E27" s="14" t="n">
        <f aca="false">E17+Depreciate!$H$21</f>
        <v>22679487.1745815</v>
      </c>
      <c r="F27" s="14" t="n">
        <f aca="false">F17+Depreciate!$I$21</f>
        <v>28130752.4520423</v>
      </c>
      <c r="G27" s="14" t="n">
        <f aca="false">G17+Depreciate!$J$21</f>
        <v>30221088.804752</v>
      </c>
      <c r="H27" s="14" t="n">
        <f aca="false">H17+Depreciate!$K$21</f>
        <v>30902858.1106247</v>
      </c>
      <c r="I27" s="14" t="n">
        <f aca="false">I17+Depreciate!$L$21</f>
        <v>31599284.7689385</v>
      </c>
      <c r="J27" s="14" t="n">
        <f aca="false">J17+Depreciate!$M$21</f>
        <v>32312605.612667</v>
      </c>
    </row>
    <row r="28" customFormat="false" ht="15" hidden="false" customHeight="true" outlineLevel="0" collapsed="false">
      <c r="B28" s="7" t="s">
        <v>488</v>
      </c>
      <c r="C28" s="20" t="s">
        <v>235</v>
      </c>
      <c r="D28" s="15" t="n">
        <f aca="false">IFERROR(D27/D10,0)</f>
        <v>0.143584550975366</v>
      </c>
      <c r="E28" s="15" t="n">
        <f aca="false">IFERROR(E27/E10,0)</f>
        <v>0.0916692687184146</v>
      </c>
      <c r="F28" s="15" t="n">
        <f aca="false">IFERROR(F27/F10,0)</f>
        <v>0.0913574605796185</v>
      </c>
      <c r="G28" s="15" t="n">
        <f aca="false">IFERROR(G27/G10,0)</f>
        <v>0.0948331571985502</v>
      </c>
      <c r="H28" s="15" t="n">
        <f aca="false">IFERROR(H27/H10,0)</f>
        <v>0.0948851737992063</v>
      </c>
      <c r="I28" s="15" t="n">
        <f aca="false">IFERROR(I27/I10,0)</f>
        <v>0.0949350885309898</v>
      </c>
      <c r="J28" s="15" t="n">
        <f aca="false">IFERROR(J27/J10,0)</f>
        <v>0.0949880584200858</v>
      </c>
    </row>
    <row r="29" customFormat="false" ht="15" hidden="false" customHeight="true" outlineLevel="0" collapsed="false">
      <c r="B29" s="7" t="s">
        <v>489</v>
      </c>
      <c r="C29" s="20" t="s">
        <v>61</v>
      </c>
      <c r="D29" s="21" t="str">
        <f aca="false">IF(D19&gt;0,D17/D19,"-")</f>
        <v>-</v>
      </c>
      <c r="E29" s="21" t="n">
        <f aca="false">IF(E19&gt;0,E17/E19,"-")</f>
        <v>17.9959095785335</v>
      </c>
      <c r="F29" s="21" t="n">
        <f aca="false">IF(F19&gt;0,F17/F19,"-")</f>
        <v>27.9356041837939</v>
      </c>
      <c r="G29" s="21" t="n">
        <f aca="false">IF(G19&gt;0,G17/G19,"-")</f>
        <v>38.6940014592124</v>
      </c>
      <c r="H29" s="21" t="n">
        <f aca="false">IF(H19&gt;0,H17/H19,"-")</f>
        <v>55.1708751787606</v>
      </c>
      <c r="I29" s="21" t="n">
        <f aca="false">IF(I19&gt;0,I17/I19,"-")</f>
        <v>92.7926763963675</v>
      </c>
      <c r="J29" s="21" t="n">
        <f aca="false">IF(J19&gt;0,J17/J19,"-")</f>
        <v>271.895399264405</v>
      </c>
    </row>
    <row r="30" customFormat="false" ht="15" hidden="false" customHeight="true" outlineLevel="0" collapsed="false">
      <c r="B30" s="7" t="s">
        <v>62</v>
      </c>
      <c r="C30" s="20" t="s">
        <v>34</v>
      </c>
      <c r="D30" s="14" t="n">
        <f aca="false">LOANS!$C$108</f>
        <v>17024289.695302</v>
      </c>
      <c r="E30" s="14" t="n">
        <f aca="false">LOANS!$D$108</f>
        <v>14186908.0794183</v>
      </c>
      <c r="F30" s="14" t="n">
        <f aca="false">LOANS!$E$108</f>
        <v>11349526.4635346</v>
      </c>
      <c r="G30" s="14" t="n">
        <f aca="false">LOANS!$F$108</f>
        <v>8512144.84765098</v>
      </c>
      <c r="H30" s="14" t="n">
        <f aca="false">LOANS!$G$108</f>
        <v>5674763.23176732</v>
      </c>
      <c r="I30" s="14" t="n">
        <f aca="false">LOANS!$H$108</f>
        <v>2837381.61588366</v>
      </c>
      <c r="J30" s="14" t="n">
        <f aca="false">LOANS!$I$108</f>
        <v>0</v>
      </c>
    </row>
    <row r="31" customFormat="false" ht="15" hidden="false" customHeight="true" outlineLevel="0" collapsed="false">
      <c r="B31" s="7" t="s">
        <v>490</v>
      </c>
      <c r="C31" s="20" t="s">
        <v>61</v>
      </c>
      <c r="D31" s="21" t="n">
        <f aca="false">IFERROR(D30/D27,0)</f>
        <v>4.18500084593441</v>
      </c>
      <c r="E31" s="21" t="n">
        <f aca="false">IFERROR(E30/E27,0)</f>
        <v>0.625539191879019</v>
      </c>
      <c r="F31" s="21" t="n">
        <f aca="false">IFERROR(F30/F27,0)</f>
        <v>0.403456199150146</v>
      </c>
      <c r="G31" s="21" t="n">
        <f aca="false">IFERROR(G30/G27,0)</f>
        <v>0.28166241470137</v>
      </c>
      <c r="H31" s="21" t="n">
        <f aca="false">IFERROR(H30/H27,0)</f>
        <v>0.18363231036602</v>
      </c>
      <c r="I31" s="21" t="n">
        <f aca="false">IFERROR(I30/I27,0)</f>
        <v>0.0897925898206643</v>
      </c>
      <c r="J31" s="21" t="n">
        <f aca="false">IFERROR(J30/J27,0)</f>
        <v>0</v>
      </c>
    </row>
    <row r="33" customFormat="false" ht="15" hidden="false" customHeight="true" outlineLevel="0" collapsed="false">
      <c r="B33" s="4" t="s">
        <v>491</v>
      </c>
    </row>
  </sheetData>
  <mergeCells count="9"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492</v>
      </c>
      <c r="K2" s="52" t="s">
        <v>493</v>
      </c>
    </row>
    <row r="4" customFormat="false" ht="15" hidden="false" customHeight="true" outlineLevel="0" collapsed="false">
      <c r="B4" s="5" t="s">
        <v>494</v>
      </c>
      <c r="C4" s="5" t="s">
        <v>495</v>
      </c>
    </row>
    <row r="5" customFormat="false" ht="15" hidden="false" customHeight="true" outlineLevel="0" collapsed="false">
      <c r="B5" s="13" t="s">
        <v>496</v>
      </c>
      <c r="C5" s="59" t="n">
        <v>30</v>
      </c>
    </row>
    <row r="6" customFormat="false" ht="15" hidden="false" customHeight="true" outlineLevel="0" collapsed="false">
      <c r="B6" s="13" t="s">
        <v>497</v>
      </c>
      <c r="C6" s="59" t="n">
        <v>15</v>
      </c>
    </row>
    <row r="7" customFormat="false" ht="15" hidden="false" customHeight="true" outlineLevel="0" collapsed="false">
      <c r="B7" s="13" t="s">
        <v>498</v>
      </c>
      <c r="C7" s="59" t="n">
        <v>5</v>
      </c>
    </row>
    <row r="8" customFormat="false" ht="15" hidden="false" customHeight="true" outlineLevel="0" collapsed="false">
      <c r="B8" s="13" t="s">
        <v>499</v>
      </c>
      <c r="C8" s="59" t="n">
        <v>15</v>
      </c>
    </row>
    <row r="9" customFormat="false" ht="15" hidden="false" customHeight="true" outlineLevel="0" collapsed="false">
      <c r="B9" s="13" t="s">
        <v>500</v>
      </c>
      <c r="C9" s="59" t="n">
        <v>8</v>
      </c>
    </row>
    <row r="10" customFormat="false" ht="15" hidden="false" customHeight="true" outlineLevel="0" collapsed="false">
      <c r="B10" s="13" t="s">
        <v>501</v>
      </c>
      <c r="C10" s="59" t="n">
        <v>30</v>
      </c>
    </row>
    <row r="11" customFormat="false" ht="15" hidden="false" customHeight="true" outlineLevel="0" collapsed="false">
      <c r="B11" s="13" t="s">
        <v>502</v>
      </c>
      <c r="C11" s="59" t="n">
        <v>90</v>
      </c>
    </row>
    <row r="12" customFormat="false" ht="15" hidden="false" customHeight="true" outlineLevel="0" collapsed="false">
      <c r="B12" s="13" t="s">
        <v>503</v>
      </c>
      <c r="C12" s="59" t="n">
        <v>540</v>
      </c>
    </row>
    <row r="14" customFormat="false" ht="30" hidden="false" customHeight="true" outlineLevel="0" collapsed="false">
      <c r="B14" s="19" t="s">
        <v>504</v>
      </c>
      <c r="C14" s="19" t="s">
        <v>505</v>
      </c>
      <c r="D14" s="19" t="s">
        <v>46</v>
      </c>
      <c r="E14" s="19" t="s">
        <v>47</v>
      </c>
      <c r="F14" s="19" t="s">
        <v>48</v>
      </c>
      <c r="G14" s="19" t="s">
        <v>49</v>
      </c>
      <c r="H14" s="19" t="s">
        <v>50</v>
      </c>
      <c r="I14" s="19" t="s">
        <v>51</v>
      </c>
      <c r="J14" s="19" t="s">
        <v>52</v>
      </c>
    </row>
    <row r="15" customFormat="false" ht="15" hidden="false" customHeight="true" outlineLevel="0" collapsed="false">
      <c r="B15" s="19"/>
      <c r="C15" s="19"/>
      <c r="D15" s="19"/>
      <c r="E15" s="19"/>
      <c r="F15" s="19"/>
      <c r="G15" s="19"/>
      <c r="H15" s="19"/>
      <c r="I15" s="19"/>
      <c r="J15" s="19"/>
    </row>
    <row r="16" customFormat="false" ht="15" hidden="false" customHeight="true" outlineLevel="0" collapsed="false">
      <c r="B16" s="13" t="s">
        <v>506</v>
      </c>
      <c r="C16" s="14" t="n">
        <v>0</v>
      </c>
      <c r="D16" s="14" t="n">
        <v>10984438.9397367</v>
      </c>
      <c r="E16" s="14" t="n">
        <v>20334703.9315069</v>
      </c>
      <c r="F16" s="14" t="n">
        <v>25308460.0340753</v>
      </c>
      <c r="G16" s="14" t="n">
        <v>26192580.5342466</v>
      </c>
      <c r="H16" s="14" t="n">
        <v>26768786.3013699</v>
      </c>
      <c r="I16" s="14" t="n">
        <v>27357655.9315069</v>
      </c>
      <c r="J16" s="14" t="n">
        <v>27959626.109589</v>
      </c>
    </row>
    <row r="17" customFormat="false" ht="15" hidden="false" customHeight="true" outlineLevel="0" collapsed="false">
      <c r="B17" s="13" t="s">
        <v>507</v>
      </c>
      <c r="C17" s="14" t="n">
        <v>0</v>
      </c>
      <c r="D17" s="14" t="n">
        <v>11098087.015253</v>
      </c>
      <c r="E17" s="14" t="n">
        <v>20927249.9640328</v>
      </c>
      <c r="F17" s="14" t="n">
        <v>25752600.6677267</v>
      </c>
      <c r="G17" s="14" t="n">
        <v>26319157.0083361</v>
      </c>
      <c r="H17" s="14" t="n">
        <v>26898178.4625194</v>
      </c>
      <c r="I17" s="14" t="n">
        <v>27489938.3886949</v>
      </c>
      <c r="J17" s="14" t="n">
        <v>28094717.0332462</v>
      </c>
    </row>
    <row r="18" customFormat="false" ht="15" hidden="false" customHeight="true" outlineLevel="0" collapsed="false">
      <c r="B18" s="13" t="s">
        <v>508</v>
      </c>
      <c r="C18" s="14" t="n">
        <v>0</v>
      </c>
      <c r="D18" s="14" t="n">
        <v>8955924.53401194</v>
      </c>
      <c r="E18" s="14" t="n">
        <v>6625811.37658076</v>
      </c>
      <c r="F18" s="14" t="n">
        <v>8138805.81292294</v>
      </c>
      <c r="G18" s="14" t="n">
        <v>8318151.95208686</v>
      </c>
      <c r="H18" s="14" t="n">
        <v>8500841.16368051</v>
      </c>
      <c r="I18" s="14" t="n">
        <v>8687549.53792924</v>
      </c>
      <c r="J18" s="14" t="n">
        <v>8878365.49641143</v>
      </c>
    </row>
    <row r="19" customFormat="false" ht="15" hidden="false" customHeight="true" outlineLevel="0" collapsed="false">
      <c r="B19" s="11" t="s">
        <v>509</v>
      </c>
      <c r="C19" s="49" t="n">
        <v>0</v>
      </c>
      <c r="D19" s="49" t="n">
        <f aca="false">SUM(D16:D18)</f>
        <v>31038450.4890016</v>
      </c>
      <c r="E19" s="49" t="n">
        <f aca="false">SUM(E16:E18)</f>
        <v>47887765.2721205</v>
      </c>
      <c r="F19" s="49" t="n">
        <f aca="false">SUM(F16:F18)</f>
        <v>59199866.5147249</v>
      </c>
      <c r="G19" s="49" t="n">
        <f aca="false">SUM(G16:G18)</f>
        <v>60829889.4946696</v>
      </c>
      <c r="H19" s="49" t="n">
        <f aca="false">SUM(H16:H18)</f>
        <v>62167805.9275698</v>
      </c>
      <c r="I19" s="49" t="n">
        <f aca="false">SUM(I16:I18)</f>
        <v>63535143.858131</v>
      </c>
      <c r="J19" s="49" t="n">
        <f aca="false">SUM(J16:J18)</f>
        <v>64932708.6392466</v>
      </c>
    </row>
    <row r="20" customFormat="false" ht="15" hidden="false" customHeight="true" outlineLevel="0" collapsed="false">
      <c r="B20" s="13" t="s">
        <v>510</v>
      </c>
      <c r="C20" s="14" t="n">
        <v>0</v>
      </c>
      <c r="D20" s="14" t="n">
        <v>2616698.78438471</v>
      </c>
      <c r="E20" s="14" t="n">
        <v>4897566.29402445</v>
      </c>
      <c r="F20" s="14" t="n">
        <v>6018302.91353718</v>
      </c>
      <c r="G20" s="14" t="n">
        <v>6151151.90551045</v>
      </c>
      <c r="H20" s="14" t="n">
        <v>6286477.24743168</v>
      </c>
      <c r="I20" s="14" t="n">
        <v>6424779.74687518</v>
      </c>
      <c r="J20" s="14" t="n">
        <v>6566124.90130643</v>
      </c>
    </row>
    <row r="21" customFormat="false" ht="15" hidden="false" customHeight="true" outlineLevel="0" collapsed="false">
      <c r="B21" s="13" t="s">
        <v>511</v>
      </c>
      <c r="C21" s="14" t="n">
        <v>0</v>
      </c>
      <c r="D21" s="14" t="n">
        <v>141239.615922167</v>
      </c>
      <c r="E21" s="14" t="n">
        <v>148877.951228221</v>
      </c>
      <c r="F21" s="14" t="n">
        <v>152137.174400701</v>
      </c>
      <c r="G21" s="14" t="n">
        <v>155482.770459095</v>
      </c>
      <c r="H21" s="14" t="n">
        <v>158903.391409195</v>
      </c>
      <c r="I21" s="14" t="n">
        <v>162399.266020198</v>
      </c>
      <c r="J21" s="14" t="n">
        <v>165972.049872642</v>
      </c>
    </row>
    <row r="22" customFormat="false" ht="15" hidden="false" customHeight="true" outlineLevel="0" collapsed="false">
      <c r="B22" s="11" t="s">
        <v>512</v>
      </c>
      <c r="C22" s="49" t="n">
        <v>0</v>
      </c>
      <c r="D22" s="49" t="n">
        <f aca="false">D20+D21</f>
        <v>2757938.40030688</v>
      </c>
      <c r="E22" s="49" t="n">
        <f aca="false">E20+E21</f>
        <v>5046444.24525267</v>
      </c>
      <c r="F22" s="49" t="n">
        <f aca="false">F20+F21</f>
        <v>6170440.08793788</v>
      </c>
      <c r="G22" s="49" t="n">
        <f aca="false">G20+G21</f>
        <v>6306634.67596955</v>
      </c>
      <c r="H22" s="49" t="n">
        <f aca="false">H20+H21</f>
        <v>6445380.63884088</v>
      </c>
      <c r="I22" s="49" t="n">
        <f aca="false">I20+I21</f>
        <v>6587179.01289538</v>
      </c>
      <c r="J22" s="49" t="n">
        <f aca="false">J20+J21</f>
        <v>6732096.95117907</v>
      </c>
    </row>
    <row r="23" customFormat="false" ht="15" hidden="false" customHeight="true" outlineLevel="0" collapsed="false">
      <c r="B23" s="16" t="s">
        <v>513</v>
      </c>
      <c r="C23" s="17" t="n">
        <v>0</v>
      </c>
      <c r="D23" s="17" t="n">
        <f aca="false">D19-D22</f>
        <v>28280512.0886948</v>
      </c>
      <c r="E23" s="17" t="n">
        <f aca="false">E19-E22</f>
        <v>42841321.0268678</v>
      </c>
      <c r="F23" s="17" t="n">
        <f aca="false">F19-F22</f>
        <v>53029426.4267871</v>
      </c>
      <c r="G23" s="17" t="n">
        <f aca="false">G19-G22</f>
        <v>54523254.8187</v>
      </c>
      <c r="H23" s="17" t="n">
        <f aca="false">H19-H22</f>
        <v>55722425.2887289</v>
      </c>
      <c r="I23" s="17" t="n">
        <f aca="false">I19-I22</f>
        <v>56947964.8452357</v>
      </c>
      <c r="J23" s="17" t="n">
        <f aca="false">J19-J22</f>
        <v>58200611.6880676</v>
      </c>
    </row>
    <row r="25" customFormat="false" ht="15" hidden="false" customHeight="true" outlineLevel="0" collapsed="false">
      <c r="B25" s="26" t="s">
        <v>514</v>
      </c>
      <c r="C25" s="22"/>
      <c r="D25" s="22" t="n">
        <f aca="false">-(D23-C23)</f>
        <v>-28280512.0886948</v>
      </c>
      <c r="E25" s="22" t="n">
        <f aca="false">-(E23-D23)</f>
        <v>-14560808.938173</v>
      </c>
      <c r="F25" s="22" t="n">
        <f aca="false">-(F23-E23)</f>
        <v>-10188105.3999193</v>
      </c>
      <c r="G25" s="22" t="n">
        <f aca="false">-(G23-F23)</f>
        <v>-1493828.39191296</v>
      </c>
      <c r="H25" s="22" t="n">
        <f aca="false">-(H23-G23)</f>
        <v>-1199170.47002892</v>
      </c>
      <c r="I25" s="22" t="n">
        <f aca="false">-(I23-H23)</f>
        <v>-1225539.55650672</v>
      </c>
      <c r="J25" s="22" t="n">
        <f aca="false">-(J23-I23)</f>
        <v>-1252646.84283189</v>
      </c>
    </row>
    <row r="26" customFormat="false" ht="15" hidden="false" customHeight="true" outlineLevel="0" collapsed="false">
      <c r="B26" s="13" t="s">
        <v>515</v>
      </c>
      <c r="C26" s="14"/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</row>
    <row r="27" customFormat="false" ht="15" hidden="false" customHeight="true" outlineLevel="0" collapsed="false">
      <c r="B27" s="11" t="s">
        <v>516</v>
      </c>
      <c r="C27" s="49"/>
      <c r="D27" s="49" t="n">
        <f aca="false">D25+D26</f>
        <v>-28280512.0886948</v>
      </c>
      <c r="E27" s="49" t="n">
        <f aca="false">E25+E26</f>
        <v>-14560808.938173</v>
      </c>
      <c r="F27" s="49" t="n">
        <f aca="false">F25+F26</f>
        <v>-10188105.3999193</v>
      </c>
      <c r="G27" s="49" t="n">
        <f aca="false">G25+G26</f>
        <v>-1493828.39191296</v>
      </c>
      <c r="H27" s="49" t="n">
        <f aca="false">H25+H26</f>
        <v>-1199170.47002892</v>
      </c>
      <c r="I27" s="49" t="n">
        <f aca="false">I25+I26</f>
        <v>-1225539.55650672</v>
      </c>
      <c r="J27" s="49" t="n">
        <f aca="false">J25+J26</f>
        <v>-1252646.84283189</v>
      </c>
    </row>
    <row r="29" customFormat="false" ht="15" hidden="false" customHeight="true" outlineLevel="0" collapsed="false">
      <c r="B29" s="4" t="s">
        <v>517</v>
      </c>
    </row>
  </sheetData>
  <mergeCells count="9"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2"/>
    <col collapsed="false" customWidth="true" hidden="false" outlineLevel="0" max="3" min="3" style="1" width="9"/>
    <col collapsed="false" customWidth="true" hidden="false" outlineLevel="0" max="11" min="4" style="1" width="15"/>
  </cols>
  <sheetData>
    <row r="2" customFormat="false" ht="15" hidden="false" customHeight="true" outlineLevel="0" collapsed="false">
      <c r="B2" s="3" t="s">
        <v>518</v>
      </c>
      <c r="K2" s="52" t="s">
        <v>519</v>
      </c>
    </row>
    <row r="3" customFormat="false" ht="15" hidden="false" customHeight="true" outlineLevel="0" collapsed="false">
      <c r="B3" s="53" t="s">
        <v>520</v>
      </c>
    </row>
    <row r="4" customFormat="false" ht="30" hidden="false" customHeight="true" outlineLevel="0" collapsed="false">
      <c r="B4" s="19" t="s">
        <v>44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true" outlineLevel="0" collapsed="false">
      <c r="B6" s="7" t="s">
        <v>469</v>
      </c>
      <c r="C6" s="20" t="s">
        <v>34</v>
      </c>
      <c r="D6" s="14" t="n">
        <f aca="false">ProfLoss!D6</f>
        <v>28331250</v>
      </c>
      <c r="E6" s="14" t="n">
        <f aca="false">ProfLoss!E6</f>
        <v>247405564.5</v>
      </c>
      <c r="F6" s="14" t="n">
        <f aca="false">ProfLoss!F6</f>
        <v>307919597.08125</v>
      </c>
      <c r="G6" s="14" t="n">
        <f aca="false">ProfLoss!G6</f>
        <v>318676396.5</v>
      </c>
      <c r="H6" s="14" t="n">
        <f aca="false">ProfLoss!H6</f>
        <v>325686900</v>
      </c>
      <c r="I6" s="14" t="n">
        <f aca="false">ProfLoss!I6</f>
        <v>332851480.5</v>
      </c>
      <c r="J6" s="14" t="n">
        <f aca="false">ProfLoss!J6</f>
        <v>340175451</v>
      </c>
    </row>
    <row r="7" customFormat="false" ht="15" hidden="false" customHeight="true" outlineLevel="0" collapsed="false">
      <c r="B7" s="7" t="s">
        <v>472</v>
      </c>
      <c r="C7" s="20" t="s">
        <v>34</v>
      </c>
      <c r="D7" s="14" t="n">
        <f aca="false">-ProfLoss!D9</f>
        <v>-0</v>
      </c>
      <c r="E7" s="14" t="n">
        <f aca="false">-ProfLoss!E9</f>
        <v>-0</v>
      </c>
      <c r="F7" s="14" t="n">
        <f aca="false">-ProfLoss!F9</f>
        <v>-0</v>
      </c>
      <c r="G7" s="14" t="n">
        <f aca="false">-ProfLoss!G9</f>
        <v>-0</v>
      </c>
      <c r="H7" s="14" t="n">
        <f aca="false">-ProfLoss!H9</f>
        <v>-0</v>
      </c>
      <c r="I7" s="14" t="n">
        <f aca="false">-ProfLoss!I9</f>
        <v>-0</v>
      </c>
      <c r="J7" s="14" t="n">
        <f aca="false">-ProfLoss!J9</f>
        <v>-0</v>
      </c>
    </row>
    <row r="8" customFormat="false" ht="15" hidden="false" customHeight="true" outlineLevel="0" collapsed="false">
      <c r="B8" s="29" t="s">
        <v>473</v>
      </c>
      <c r="C8" s="20" t="s">
        <v>34</v>
      </c>
      <c r="D8" s="22" t="n">
        <f aca="false">D6+D7</f>
        <v>28331250</v>
      </c>
      <c r="E8" s="22" t="n">
        <f aca="false">E6+E7</f>
        <v>247405564.5</v>
      </c>
      <c r="F8" s="22" t="n">
        <f aca="false">F6+F7</f>
        <v>307919597.08125</v>
      </c>
      <c r="G8" s="22" t="n">
        <f aca="false">G6+G7</f>
        <v>318676396.5</v>
      </c>
      <c r="H8" s="22" t="n">
        <f aca="false">H6+H7</f>
        <v>325686900</v>
      </c>
      <c r="I8" s="22" t="n">
        <f aca="false">I6+I7</f>
        <v>332851480.5</v>
      </c>
      <c r="J8" s="22" t="n">
        <f aca="false">J6+J7</f>
        <v>340175451</v>
      </c>
    </row>
    <row r="9" customFormat="false" ht="15" hidden="false" customHeight="true" outlineLevel="0" collapsed="false">
      <c r="B9" s="7" t="s">
        <v>521</v>
      </c>
      <c r="C9" s="20" t="s">
        <v>34</v>
      </c>
      <c r="D9" s="14" t="n">
        <f aca="false">WorkCap!D27</f>
        <v>-28280512.0886948</v>
      </c>
      <c r="E9" s="14" t="n">
        <f aca="false">WorkCap!E27</f>
        <v>-14560808.938173</v>
      </c>
      <c r="F9" s="14" t="n">
        <f aca="false">WorkCap!F27</f>
        <v>-10188105.3999193</v>
      </c>
      <c r="G9" s="14" t="n">
        <f aca="false">WorkCap!G27</f>
        <v>-1493828.39191296</v>
      </c>
      <c r="H9" s="14" t="n">
        <f aca="false">WorkCap!H27</f>
        <v>-1199170.47002892</v>
      </c>
      <c r="I9" s="14" t="n">
        <f aca="false">WorkCap!I27</f>
        <v>-1225539.55650672</v>
      </c>
      <c r="J9" s="14" t="n">
        <f aca="false">WorkCap!J27</f>
        <v>-1252646.84283189</v>
      </c>
    </row>
    <row r="10" customFormat="false" ht="15" hidden="false" customHeight="true" outlineLevel="0" collapsed="false">
      <c r="B10" s="72" t="s">
        <v>522</v>
      </c>
      <c r="C10" s="60" t="s">
        <v>34</v>
      </c>
      <c r="D10" s="49" t="n">
        <f aca="false">D8+D9</f>
        <v>50737.9113052376</v>
      </c>
      <c r="E10" s="49" t="n">
        <f aca="false">E8+E9</f>
        <v>232844755.561827</v>
      </c>
      <c r="F10" s="49" t="n">
        <f aca="false">F8+F9</f>
        <v>297731491.681331</v>
      </c>
      <c r="G10" s="49" t="n">
        <f aca="false">G8+G9</f>
        <v>317182568.108087</v>
      </c>
      <c r="H10" s="49" t="n">
        <f aca="false">H8+H9</f>
        <v>324487729.529971</v>
      </c>
      <c r="I10" s="49" t="n">
        <f aca="false">I8+I9</f>
        <v>331625940.943493</v>
      </c>
      <c r="J10" s="49" t="n">
        <f aca="false">J8+J9</f>
        <v>338922804.157168</v>
      </c>
    </row>
    <row r="11" customFormat="false" ht="15" hidden="false" customHeight="true" outlineLevel="0" collapsed="false">
      <c r="B11" s="7" t="s">
        <v>425</v>
      </c>
      <c r="C11" s="20" t="s">
        <v>34</v>
      </c>
      <c r="D11" s="14" t="n">
        <f aca="false">-ProfLoss!D11</f>
        <v>-21093700.036657</v>
      </c>
      <c r="E11" s="14" t="n">
        <f aca="false">-ProfLoss!E11</f>
        <v>-217265749.004587</v>
      </c>
      <c r="F11" s="14" t="n">
        <f aca="false">-ProfLoss!F11</f>
        <v>-270814621.006673</v>
      </c>
      <c r="G11" s="14" t="n">
        <f aca="false">-ProfLoss!G11</f>
        <v>-279271630.847367</v>
      </c>
      <c r="H11" s="14" t="n">
        <f aca="false">-ProfLoss!H11</f>
        <v>-285405375.894452</v>
      </c>
      <c r="I11" s="14" t="n">
        <f aca="false">-ProfLoss!I11</f>
        <v>-291673016.077546</v>
      </c>
      <c r="J11" s="14" t="n">
        <f aca="false">-ProfLoss!J11</f>
        <v>-298077496.215561</v>
      </c>
    </row>
    <row r="12" customFormat="false" ht="15" hidden="false" customHeight="true" outlineLevel="0" collapsed="false">
      <c r="B12" s="72" t="s">
        <v>523</v>
      </c>
      <c r="C12" s="60" t="s">
        <v>34</v>
      </c>
      <c r="D12" s="49" t="n">
        <f aca="false">D10+D11</f>
        <v>-21042962.1253518</v>
      </c>
      <c r="E12" s="49" t="n">
        <f aca="false">E10+E11</f>
        <v>15579006.5572405</v>
      </c>
      <c r="F12" s="49" t="n">
        <f aca="false">F10+F11</f>
        <v>26916870.6746581</v>
      </c>
      <c r="G12" s="49" t="n">
        <f aca="false">G10+G11</f>
        <v>37910937.2607203</v>
      </c>
      <c r="H12" s="49" t="n">
        <f aca="false">H10+H11</f>
        <v>39082353.6355195</v>
      </c>
      <c r="I12" s="49" t="n">
        <f aca="false">I10+I11</f>
        <v>39952924.8659475</v>
      </c>
      <c r="J12" s="49" t="n">
        <f aca="false">J10+J11</f>
        <v>40845307.9416069</v>
      </c>
    </row>
    <row r="13" customFormat="false" ht="15" hidden="false" customHeight="true" outlineLevel="0" collapsed="false">
      <c r="B13" s="7" t="s">
        <v>524</v>
      </c>
      <c r="C13" s="20" t="s">
        <v>34</v>
      </c>
      <c r="D13" s="14" t="n">
        <f aca="false">-ProfLoss!D15</f>
        <v>-3087434.24392275</v>
      </c>
      <c r="E13" s="14" t="n">
        <f aca="false">-ProfLoss!E15</f>
        <v>-5081988.40434527</v>
      </c>
      <c r="F13" s="14" t="n">
        <f aca="false">-ProfLoss!F15</f>
        <v>-5628620.07679632</v>
      </c>
      <c r="G13" s="14" t="n">
        <f aca="false">-ProfLoss!G15</f>
        <v>-5772121.82828875</v>
      </c>
      <c r="H13" s="14" t="n">
        <f aca="false">-ProfLoss!H15</f>
        <v>-5898870.90811036</v>
      </c>
      <c r="I13" s="14" t="n">
        <f aca="false">-ProfLoss!I15</f>
        <v>-6025729.12587452</v>
      </c>
      <c r="J13" s="14" t="n">
        <f aca="false">-ProfLoss!J15</f>
        <v>-6150088.85628876</v>
      </c>
    </row>
    <row r="14" customFormat="false" ht="15" hidden="false" customHeight="true" outlineLevel="0" collapsed="false">
      <c r="B14" s="7" t="s">
        <v>478</v>
      </c>
      <c r="C14" s="20" t="s">
        <v>34</v>
      </c>
      <c r="D14" s="14" t="n">
        <f aca="false">-ProfLoss!D16</f>
        <v>-705778.77881968</v>
      </c>
      <c r="E14" s="14" t="n">
        <f aca="false">-ProfLoss!E16</f>
        <v>-4924323.81152242</v>
      </c>
      <c r="F14" s="14" t="n">
        <f aca="false">-ProfLoss!F16</f>
        <v>-5939229.67291737</v>
      </c>
      <c r="G14" s="14" t="n">
        <f aca="false">-ProfLoss!G16</f>
        <v>-6052823.37891389</v>
      </c>
      <c r="H14" s="14" t="n">
        <f aca="false">-ProfLoss!H16</f>
        <v>-6168705.67827769</v>
      </c>
      <c r="I14" s="14" t="n">
        <f aca="false">-ProfLoss!I16</f>
        <v>-6287324.77981981</v>
      </c>
      <c r="J14" s="14" t="n">
        <f aca="false">-ProfLoss!J16</f>
        <v>-6408741.08551874</v>
      </c>
    </row>
    <row r="15" customFormat="false" ht="15" hidden="false" customHeight="true" outlineLevel="0" collapsed="false">
      <c r="B15" s="7" t="s">
        <v>525</v>
      </c>
      <c r="C15" s="20" t="s">
        <v>34</v>
      </c>
      <c r="D15" s="14" t="n">
        <f aca="false">-ProjCost!$E$13</f>
        <v>-701967.230417292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</row>
    <row r="16" customFormat="false" ht="15" hidden="false" customHeight="true" outlineLevel="0" collapsed="false">
      <c r="B16" s="7" t="s">
        <v>378</v>
      </c>
      <c r="C16" s="20" t="s">
        <v>34</v>
      </c>
      <c r="D16" s="14" t="n">
        <f aca="false">-ProfLoss!D21</f>
        <v>-516650.541090088</v>
      </c>
      <c r="E16" s="14" t="n">
        <f aca="false">-ProfLoss!E21</f>
        <v>-2852208.16217965</v>
      </c>
      <c r="F16" s="14" t="n">
        <f aca="false">-ProfLoss!F21</f>
        <v>-3693447.55613223</v>
      </c>
      <c r="G16" s="14" t="n">
        <f aca="false">-ProfLoss!G21</f>
        <v>-4030057.96600302</v>
      </c>
      <c r="H16" s="14" t="n">
        <f aca="false">-ProfLoss!H21</f>
        <v>-4155383.31884825</v>
      </c>
      <c r="I16" s="14" t="n">
        <f aca="false">-ProfLoss!I21</f>
        <v>-4283150.44276</v>
      </c>
      <c r="J16" s="14" t="n">
        <f aca="false">-ProfLoss!J21</f>
        <v>-4414572.50094041</v>
      </c>
    </row>
    <row r="17" customFormat="false" ht="15" hidden="false" customHeight="true" outlineLevel="0" collapsed="false">
      <c r="B17" s="7" t="s">
        <v>526</v>
      </c>
      <c r="C17" s="20" t="s">
        <v>34</v>
      </c>
      <c r="D17" s="14" t="n">
        <f aca="false">Depreciate!$G$21</f>
        <v>623592.869220248</v>
      </c>
      <c r="E17" s="14" t="n">
        <f aca="false">Depreciate!$H$21</f>
        <v>2545983.89503575</v>
      </c>
      <c r="F17" s="14" t="n">
        <f aca="false">Depreciate!$I$21</f>
        <v>2593626.12717861</v>
      </c>
      <c r="G17" s="14" t="n">
        <f aca="false">Depreciate!$J$21</f>
        <v>2641268.35932147</v>
      </c>
      <c r="H17" s="14" t="n">
        <f aca="false">Depreciate!$K$21</f>
        <v>2688910.59146432</v>
      </c>
      <c r="I17" s="14" t="n">
        <f aca="false">Depreciate!$L$21</f>
        <v>2733874.25217861</v>
      </c>
      <c r="J17" s="14" t="n">
        <f aca="false">Depreciate!$M$21</f>
        <v>2773480.77003575</v>
      </c>
    </row>
    <row r="18" customFormat="false" ht="15" hidden="false" customHeight="true" outlineLevel="0" collapsed="false">
      <c r="B18" s="39" t="s">
        <v>56</v>
      </c>
      <c r="C18" s="63" t="s">
        <v>34</v>
      </c>
      <c r="D18" s="17" t="n">
        <f aca="false">SUM(D12:D17)</f>
        <v>-25431200.0503813</v>
      </c>
      <c r="E18" s="17" t="n">
        <f aca="false">SUM(E12:E17)</f>
        <v>5266470.07422887</v>
      </c>
      <c r="F18" s="17" t="n">
        <f aca="false">SUM(F12:F17)</f>
        <v>14249199.4959908</v>
      </c>
      <c r="G18" s="17" t="n">
        <f aca="false">SUM(G12:G17)</f>
        <v>24697202.4468361</v>
      </c>
      <c r="H18" s="17" t="n">
        <f aca="false">SUM(H12:H17)</f>
        <v>25548304.3217475</v>
      </c>
      <c r="I18" s="17" t="n">
        <f aca="false">SUM(I12:I17)</f>
        <v>26090594.7696718</v>
      </c>
      <c r="J18" s="17" t="n">
        <f aca="false">SUM(J12:J17)</f>
        <v>26645386.2688947</v>
      </c>
    </row>
    <row r="19" customFormat="false" ht="15" hidden="false" customHeight="true" outlineLevel="0" collapsed="false">
      <c r="B19" s="7" t="s">
        <v>527</v>
      </c>
      <c r="C19" s="20" t="s">
        <v>34</v>
      </c>
      <c r="D19" s="14" t="n">
        <f aca="false">FinPlan!$E$10</f>
        <v>61098021.9154079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</row>
    <row r="20" customFormat="false" ht="15" hidden="false" customHeight="true" outlineLevel="0" collapsed="false">
      <c r="B20" s="7" t="s">
        <v>528</v>
      </c>
      <c r="C20" s="20" t="s">
        <v>34</v>
      </c>
      <c r="D20" s="14" t="n">
        <f aca="false">LOANS!$C$104</f>
        <v>17024289.695302</v>
      </c>
      <c r="E20" s="14" t="n">
        <f aca="false">LOANS!$D$104</f>
        <v>0</v>
      </c>
      <c r="F20" s="14" t="n">
        <f aca="false">LOANS!$E$104</f>
        <v>0</v>
      </c>
      <c r="G20" s="14" t="n">
        <f aca="false">LOANS!$F$104</f>
        <v>0</v>
      </c>
      <c r="H20" s="14" t="n">
        <f aca="false">LOANS!$G$104</f>
        <v>0</v>
      </c>
      <c r="I20" s="14" t="n">
        <f aca="false">LOANS!$H$104</f>
        <v>0</v>
      </c>
      <c r="J20" s="14" t="n">
        <f aca="false">LOANS!$I$104</f>
        <v>0</v>
      </c>
    </row>
    <row r="21" customFormat="false" ht="15" hidden="false" customHeight="true" outlineLevel="0" collapsed="false">
      <c r="B21" s="7" t="s">
        <v>529</v>
      </c>
      <c r="C21" s="20" t="s">
        <v>34</v>
      </c>
      <c r="D21" s="14" t="n">
        <f aca="false">-Depreciate!$G$25</f>
        <v>-47761337.7232143</v>
      </c>
      <c r="E21" s="14" t="n">
        <f aca="false">-Depreciate!$H$25</f>
        <v>-476422.321428571</v>
      </c>
      <c r="F21" s="14" t="n">
        <f aca="false">-Depreciate!$I$25</f>
        <v>-476422.321428571</v>
      </c>
      <c r="G21" s="14" t="n">
        <f aca="false">-Depreciate!$J$25</f>
        <v>-476422.321428571</v>
      </c>
      <c r="H21" s="14" t="n">
        <f aca="false">-Depreciate!$K$25</f>
        <v>-476422.321428571</v>
      </c>
      <c r="I21" s="14" t="n">
        <f aca="false">-Depreciate!$L$25</f>
        <v>-476422.321428571</v>
      </c>
      <c r="J21" s="14" t="n">
        <f aca="false">-Depreciate!$M$25</f>
        <v>-476422.321428571</v>
      </c>
    </row>
    <row r="22" customFormat="false" ht="15" hidden="false" customHeight="true" outlineLevel="0" collapsed="false">
      <c r="B22" s="7" t="s">
        <v>530</v>
      </c>
      <c r="C22" s="20" t="s">
        <v>34</v>
      </c>
      <c r="D22" s="14" t="n">
        <f aca="false">-ProfLoss!D19</f>
        <v>-0</v>
      </c>
      <c r="E22" s="14" t="n">
        <f aca="false">-ProfLoss!E19</f>
        <v>-1118782.19834813</v>
      </c>
      <c r="F22" s="14" t="n">
        <f aca="false">-ProfLoss!F19</f>
        <v>-914142.617315518</v>
      </c>
      <c r="G22" s="14" t="n">
        <f aca="false">-ProfLoss!G19</f>
        <v>-712767.338743775</v>
      </c>
      <c r="H22" s="14" t="n">
        <f aca="false">-ProfLoss!H19</f>
        <v>-511392.060172031</v>
      </c>
      <c r="I22" s="14" t="n">
        <f aca="false">-ProfLoss!I19</f>
        <v>-311074.231693245</v>
      </c>
      <c r="J22" s="14" t="n">
        <f aca="false">-ProfLoss!J19</f>
        <v>-108641.503028545</v>
      </c>
    </row>
    <row r="23" customFormat="false" ht="23.25" hidden="false" customHeight="true" outlineLevel="0" collapsed="false">
      <c r="B23" s="7" t="s">
        <v>531</v>
      </c>
      <c r="C23" s="20" t="s">
        <v>34</v>
      </c>
      <c r="D23" s="14" t="n">
        <f aca="false">-LOANS!$C$106</f>
        <v>-1208251.67143046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</row>
    <row r="24" customFormat="false" ht="15" hidden="false" customHeight="true" outlineLevel="0" collapsed="false">
      <c r="B24" s="72" t="s">
        <v>532</v>
      </c>
      <c r="C24" s="60" t="s">
        <v>34</v>
      </c>
      <c r="D24" s="49" t="n">
        <f aca="false">D18+D19+D20+D21+D22+D23</f>
        <v>3721522.16568379</v>
      </c>
      <c r="E24" s="49" t="n">
        <f aca="false">E18+E19+E20+E21+E22+E23</f>
        <v>3671265.55445217</v>
      </c>
      <c r="F24" s="49" t="n">
        <f aca="false">F18+F19+F20+F21+F22+F23</f>
        <v>12858634.5572467</v>
      </c>
      <c r="G24" s="49" t="n">
        <f aca="false">G18+G19+G20+G21+G22+G23</f>
        <v>23508012.7866637</v>
      </c>
      <c r="H24" s="49" t="n">
        <f aca="false">H18+H19+H20+H21+H22+H23</f>
        <v>24560489.9401469</v>
      </c>
      <c r="I24" s="49" t="n">
        <f aca="false">I18+I19+I20+I21+I22+I23</f>
        <v>25303098.2165499</v>
      </c>
      <c r="J24" s="49" t="n">
        <f aca="false">J18+J19+J20+J21+J22+J23</f>
        <v>26060322.4444376</v>
      </c>
    </row>
    <row r="25" customFormat="false" ht="15" hidden="false" customHeight="true" outlineLevel="0" collapsed="false">
      <c r="B25" s="7" t="s">
        <v>533</v>
      </c>
      <c r="C25" s="20" t="s">
        <v>34</v>
      </c>
      <c r="D25" s="14" t="n">
        <f aca="false">-LOANS!$C$105</f>
        <v>-0</v>
      </c>
      <c r="E25" s="14" t="n">
        <f aca="false">-LOANS!$D$105</f>
        <v>-2837381.61588366</v>
      </c>
      <c r="F25" s="14" t="n">
        <f aca="false">-LOANS!$E$105</f>
        <v>-2837381.61588366</v>
      </c>
      <c r="G25" s="14" t="n">
        <f aca="false">-LOANS!$F$105</f>
        <v>-2837381.61588366</v>
      </c>
      <c r="H25" s="14" t="n">
        <f aca="false">-LOANS!$G$105</f>
        <v>-2837381.61588366</v>
      </c>
      <c r="I25" s="14" t="n">
        <f aca="false">-LOANS!$H$105</f>
        <v>-2837381.61588366</v>
      </c>
      <c r="J25" s="14" t="n">
        <f aca="false">-LOANS!$I$105</f>
        <v>-2837381.61588365</v>
      </c>
    </row>
    <row r="26" customFormat="false" ht="15" hidden="false" customHeight="true" outlineLevel="0" collapsed="false">
      <c r="B26" s="39" t="s">
        <v>58</v>
      </c>
      <c r="C26" s="63" t="s">
        <v>34</v>
      </c>
      <c r="D26" s="17" t="n">
        <f aca="false">D24+D25</f>
        <v>3721522.16568379</v>
      </c>
      <c r="E26" s="17" t="n">
        <f aca="false">E24+E25</f>
        <v>833883.93856851</v>
      </c>
      <c r="F26" s="17" t="n">
        <f aca="false">F24+F25</f>
        <v>10021252.9413631</v>
      </c>
      <c r="G26" s="17" t="n">
        <f aca="false">G24+G25</f>
        <v>20670631.1707801</v>
      </c>
      <c r="H26" s="17" t="n">
        <f aca="false">H24+H25</f>
        <v>21723108.3242633</v>
      </c>
      <c r="I26" s="17" t="n">
        <f aca="false">I24+I25</f>
        <v>22465716.6006663</v>
      </c>
      <c r="J26" s="17" t="n">
        <f aca="false">J24+J25</f>
        <v>23222940.828554</v>
      </c>
    </row>
    <row r="27" customFormat="false" ht="15" hidden="false" customHeight="true" outlineLevel="0" collapsed="false">
      <c r="B27" s="29" t="s">
        <v>59</v>
      </c>
      <c r="C27" s="20" t="s">
        <v>34</v>
      </c>
      <c r="D27" s="22" t="n">
        <f aca="false">D26</f>
        <v>3721522.16568379</v>
      </c>
      <c r="E27" s="22" t="n">
        <f aca="false">D27+E26</f>
        <v>4555406.1042523</v>
      </c>
      <c r="F27" s="22" t="n">
        <f aca="false">E27+F26</f>
        <v>14576659.0456154</v>
      </c>
      <c r="G27" s="22" t="n">
        <f aca="false">F27+G26</f>
        <v>35247290.2163954</v>
      </c>
      <c r="H27" s="22" t="n">
        <f aca="false">G27+H26</f>
        <v>56970398.5406587</v>
      </c>
      <c r="I27" s="22" t="n">
        <f aca="false">H27+I26</f>
        <v>79436115.141325</v>
      </c>
      <c r="J27" s="22" t="n">
        <f aca="false">I27+J26</f>
        <v>102659055.969879</v>
      </c>
    </row>
    <row r="29" customFormat="false" ht="15" hidden="false" customHeight="true" outlineLevel="0" collapsed="false">
      <c r="B29" s="7" t="s">
        <v>534</v>
      </c>
      <c r="C29" s="20" t="s">
        <v>61</v>
      </c>
      <c r="D29" s="21" t="str">
        <f aca="false">"-"</f>
        <v>-</v>
      </c>
      <c r="E29" s="21" t="n">
        <f aca="false">IFERROR(E18/-(E22+E25),0)</f>
        <v>1.33120626989293</v>
      </c>
      <c r="F29" s="21" t="n">
        <f aca="false">IFERROR(F18/-(F22+F25),0)</f>
        <v>3.79824269023568</v>
      </c>
      <c r="G29" s="21" t="n">
        <f aca="false">IFERROR(G18/-(G22+G25),0)</f>
        <v>6.95666654060938</v>
      </c>
      <c r="H29" s="21" t="n">
        <f aca="false">IFERROR(H18/-(H22+H25),0)</f>
        <v>7.6291522787647</v>
      </c>
      <c r="I29" s="21" t="n">
        <f aca="false">IFERROR(I18/-(I22+I25),0)</f>
        <v>8.28679074211933</v>
      </c>
      <c r="J29" s="21" t="n">
        <f aca="false">IFERROR(J18/-(J22+J25),0)</f>
        <v>9.04452721292065</v>
      </c>
    </row>
    <row r="30" customFormat="false" ht="15" hidden="false" customHeight="true" outlineLevel="0" collapsed="false">
      <c r="B30" s="7" t="s">
        <v>535</v>
      </c>
      <c r="C30" s="20" t="s">
        <v>61</v>
      </c>
      <c r="D30" s="21" t="str">
        <f aca="false">"-"</f>
        <v>-</v>
      </c>
      <c r="E30" s="21" t="n">
        <f aca="false">IFERROR((E18+E21)/-(E22+E25),0)</f>
        <v>1.21078094278319</v>
      </c>
      <c r="F30" s="21" t="n">
        <f aca="false">IFERROR((F18+F21)/-(F22+F25),0)</f>
        <v>3.67124835624939</v>
      </c>
      <c r="G30" s="21" t="n">
        <f aca="false">IFERROR((G18+G21)/-(G22+G25),0)</f>
        <v>6.82246870059831</v>
      </c>
      <c r="H30" s="21" t="n">
        <f aca="false">IFERROR((H18+H21)/-(H22+H25),0)</f>
        <v>7.48688458093995</v>
      </c>
      <c r="I30" s="21" t="n">
        <f aca="false">IFERROR((I18+I21)/-(I22+I25),0)</f>
        <v>8.13547138288638</v>
      </c>
      <c r="J30" s="21" t="n">
        <f aca="false">IFERROR((J18+J21)/-(J22+J25),0)</f>
        <v>8.88281011084832</v>
      </c>
    </row>
    <row r="31" customFormat="false" ht="15" hidden="false" customHeight="true" outlineLevel="0" collapsed="false">
      <c r="B31" s="26" t="s">
        <v>536</v>
      </c>
      <c r="D31" s="77" t="n">
        <f aca="false">MIN(E30:J30)</f>
        <v>1.21078094278319</v>
      </c>
    </row>
    <row r="32" customFormat="false" ht="15" hidden="false" customHeight="true" outlineLevel="0" collapsed="false">
      <c r="B32" s="26" t="s">
        <v>537</v>
      </c>
      <c r="D32" s="77" t="n">
        <f aca="false">AVERAGE(E30:J30)</f>
        <v>6.03494401238425</v>
      </c>
    </row>
    <row r="34" customFormat="false" ht="15" hidden="false" customHeight="true" outlineLevel="0" collapsed="false">
      <c r="B34" s="4" t="s">
        <v>538</v>
      </c>
    </row>
  </sheetData>
  <mergeCells count="9"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2"/>
    <col collapsed="false" customWidth="true" hidden="false" outlineLevel="0" max="3" min="3" style="1" width="18"/>
    <col collapsed="false" customWidth="true" hidden="false" outlineLevel="0" max="4" min="4" style="1" width="40"/>
  </cols>
  <sheetData>
    <row r="2" customFormat="false" ht="15" hidden="false" customHeight="true" outlineLevel="0" collapsed="false">
      <c r="B2" s="3" t="s">
        <v>539</v>
      </c>
      <c r="D2" s="52" t="s">
        <v>540</v>
      </c>
    </row>
    <row r="3" customFormat="false" ht="15" hidden="false" customHeight="true" outlineLevel="0" collapsed="false">
      <c r="B3" s="53" t="s">
        <v>541</v>
      </c>
    </row>
    <row r="4" customFormat="false" ht="15" hidden="false" customHeight="true" outlineLevel="0" collapsed="false">
      <c r="B4" s="26" t="s">
        <v>542</v>
      </c>
      <c r="C4" s="22" t="n">
        <f aca="false">CostTotal!C26</f>
        <v>307919597.08125</v>
      </c>
    </row>
    <row r="5" customFormat="false" ht="15" hidden="false" customHeight="true" outlineLevel="0" collapsed="false">
      <c r="B5" s="13" t="s">
        <v>187</v>
      </c>
      <c r="C5" s="14" t="n">
        <f aca="false">SalePlan!F12</f>
        <v>0</v>
      </c>
    </row>
    <row r="6" customFormat="false" ht="15" hidden="false" customHeight="true" outlineLevel="0" collapsed="false">
      <c r="B6" s="13" t="s">
        <v>188</v>
      </c>
      <c r="C6" s="14" t="n">
        <f aca="false">SalePlan!F8</f>
        <v>307919597.08125</v>
      </c>
    </row>
    <row r="7" customFormat="false" ht="15" hidden="false" customHeight="true" outlineLevel="0" collapsed="false">
      <c r="B7" s="13" t="s">
        <v>386</v>
      </c>
      <c r="C7" s="14" t="n">
        <f aca="false">CostTotal!F22</f>
        <v>9682386.55827227</v>
      </c>
    </row>
    <row r="8" customFormat="false" ht="15" hidden="false" customHeight="true" outlineLevel="0" collapsed="false">
      <c r="B8" s="13" t="s">
        <v>387</v>
      </c>
      <c r="C8" s="14" t="n">
        <f aca="false">CostTotal!G22</f>
        <v>275474034.137692</v>
      </c>
    </row>
    <row r="9" customFormat="false" ht="15" hidden="false" customHeight="true" outlineLevel="0" collapsed="false">
      <c r="B9" s="13" t="s">
        <v>543</v>
      </c>
      <c r="C9" s="14" t="n">
        <f aca="false">C4-C8</f>
        <v>32445562.9435581</v>
      </c>
    </row>
    <row r="10" customFormat="false" ht="15" hidden="false" customHeight="true" outlineLevel="0" collapsed="false">
      <c r="B10" s="26" t="s">
        <v>544</v>
      </c>
      <c r="C10" s="23" t="n">
        <f aca="false">IFERROR(C7/C9,0)</f>
        <v>0.298419434889006</v>
      </c>
    </row>
    <row r="11" customFormat="false" ht="15" hidden="false" customHeight="true" outlineLevel="0" collapsed="false">
      <c r="B11" s="13" t="s">
        <v>545</v>
      </c>
      <c r="C11" s="14" t="n">
        <f aca="false">C10*C4</f>
        <v>91889192.152237</v>
      </c>
    </row>
    <row r="12" customFormat="false" ht="15" hidden="false" customHeight="true" outlineLevel="0" collapsed="false">
      <c r="B12" s="13" t="s">
        <v>546</v>
      </c>
      <c r="C12" s="62" t="n">
        <f aca="false">C10*ProdPlan!F13</f>
        <v>792.751228782644</v>
      </c>
      <c r="D12" s="73" t="s">
        <v>232</v>
      </c>
    </row>
    <row r="13" customFormat="false" ht="15" hidden="false" customHeight="true" outlineLevel="0" collapsed="false">
      <c r="B13" s="13" t="s">
        <v>547</v>
      </c>
      <c r="C13" s="15" t="n">
        <f aca="false">1-C10</f>
        <v>0.701580565110994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0"/>
    <col collapsed="false" customWidth="true" hidden="false" outlineLevel="0" max="11" min="4" style="1" width="16"/>
  </cols>
  <sheetData>
    <row r="2" customFormat="false" ht="15" hidden="false" customHeight="true" outlineLevel="0" collapsed="false">
      <c r="B2" s="3" t="s">
        <v>548</v>
      </c>
    </row>
    <row r="3" customFormat="false" ht="15" hidden="false" customHeight="true" outlineLevel="0" collapsed="false">
      <c r="B3" s="53" t="s">
        <v>549</v>
      </c>
    </row>
    <row r="4" customFormat="false" ht="30" hidden="false" customHeight="true" outlineLevel="0" collapsed="false">
      <c r="B4" s="19" t="s">
        <v>44</v>
      </c>
      <c r="C4" s="19" t="s">
        <v>45</v>
      </c>
      <c r="D4" s="19" t="s">
        <v>46</v>
      </c>
      <c r="E4" s="19" t="s">
        <v>47</v>
      </c>
      <c r="F4" s="19" t="s">
        <v>48</v>
      </c>
      <c r="G4" s="19" t="s">
        <v>49</v>
      </c>
      <c r="H4" s="19" t="s">
        <v>50</v>
      </c>
      <c r="I4" s="19" t="s">
        <v>51</v>
      </c>
      <c r="J4" s="19" t="s">
        <v>52</v>
      </c>
    </row>
    <row r="5" customFormat="false" ht="15" hidden="false" customHeight="true" outlineLevel="0" collapsed="false"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true" outlineLevel="0" collapsed="false">
      <c r="B6" s="7" t="s">
        <v>550</v>
      </c>
      <c r="C6" s="20"/>
      <c r="D6" s="59" t="n">
        <v>1</v>
      </c>
      <c r="E6" s="59" t="n">
        <v>2</v>
      </c>
      <c r="F6" s="59" t="n">
        <v>3</v>
      </c>
      <c r="G6" s="59" t="n">
        <v>4</v>
      </c>
      <c r="H6" s="59" t="n">
        <v>5</v>
      </c>
      <c r="I6" s="59" t="n">
        <v>6</v>
      </c>
      <c r="J6" s="59" t="n">
        <v>7</v>
      </c>
    </row>
    <row r="7" customFormat="false" ht="15" hidden="false" customHeight="true" outlineLevel="0" collapsed="false">
      <c r="B7" s="7" t="s">
        <v>56</v>
      </c>
      <c r="C7" s="20" t="s">
        <v>34</v>
      </c>
      <c r="D7" s="14" t="n">
        <f aca="false">CashFlow!D18</f>
        <v>-25431200.0503813</v>
      </c>
      <c r="E7" s="14" t="n">
        <f aca="false">CashFlow!E18</f>
        <v>5266470.07422887</v>
      </c>
      <c r="F7" s="14" t="n">
        <f aca="false">CashFlow!F18</f>
        <v>14249199.4959908</v>
      </c>
      <c r="G7" s="14" t="n">
        <f aca="false">CashFlow!G18</f>
        <v>24697202.4468361</v>
      </c>
      <c r="H7" s="14" t="n">
        <f aca="false">CashFlow!H18</f>
        <v>25548304.3217475</v>
      </c>
      <c r="I7" s="14" t="n">
        <f aca="false">CashFlow!I18</f>
        <v>26090594.7696718</v>
      </c>
      <c r="J7" s="14" t="n">
        <f aca="false">CashFlow!J18</f>
        <v>26645386.2688947</v>
      </c>
    </row>
    <row r="8" customFormat="false" ht="15" hidden="false" customHeight="true" outlineLevel="0" collapsed="false">
      <c r="B8" s="7" t="s">
        <v>551</v>
      </c>
      <c r="C8" s="20" t="s">
        <v>34</v>
      </c>
      <c r="D8" s="14" t="n">
        <f aca="false">CashFlow!D21</f>
        <v>-47761337.7232143</v>
      </c>
      <c r="E8" s="14" t="n">
        <f aca="false">CashFlow!E21</f>
        <v>-476422.321428571</v>
      </c>
      <c r="F8" s="14" t="n">
        <f aca="false">CashFlow!F21</f>
        <v>-476422.321428571</v>
      </c>
      <c r="G8" s="14" t="n">
        <f aca="false">CashFlow!G21</f>
        <v>-476422.321428571</v>
      </c>
      <c r="H8" s="14" t="n">
        <f aca="false">CashFlow!H21</f>
        <v>-476422.321428571</v>
      </c>
      <c r="I8" s="14" t="n">
        <f aca="false">CashFlow!I21</f>
        <v>-476422.321428571</v>
      </c>
      <c r="J8" s="14" t="n">
        <f aca="false">CashFlow!J21</f>
        <v>-476422.321428571</v>
      </c>
    </row>
    <row r="9" customFormat="false" ht="15" hidden="false" customHeight="true" outlineLevel="0" collapsed="false">
      <c r="B9" s="72" t="s">
        <v>552</v>
      </c>
      <c r="C9" s="60" t="s">
        <v>34</v>
      </c>
      <c r="D9" s="49" t="n">
        <f aca="false">D7+D8</f>
        <v>-73192537.7735956</v>
      </c>
      <c r="E9" s="49" t="n">
        <f aca="false">E7+E8</f>
        <v>4790047.7528003</v>
      </c>
      <c r="F9" s="49" t="n">
        <f aca="false">F7+F8</f>
        <v>13772777.1745622</v>
      </c>
      <c r="G9" s="49" t="n">
        <f aca="false">G7+G8</f>
        <v>24220780.1254075</v>
      </c>
      <c r="H9" s="49" t="n">
        <f aca="false">H7+H8</f>
        <v>25071882.000319</v>
      </c>
      <c r="I9" s="49" t="n">
        <f aca="false">I7+I8</f>
        <v>25614172.4482432</v>
      </c>
      <c r="J9" s="49" t="n">
        <f aca="false">J7+J8</f>
        <v>26168963.9474661</v>
      </c>
    </row>
    <row r="10" customFormat="false" ht="15" hidden="false" customHeight="true" outlineLevel="0" collapsed="false">
      <c r="B10" s="7" t="s">
        <v>553</v>
      </c>
      <c r="C10" s="20" t="s">
        <v>235</v>
      </c>
      <c r="D10" s="15" t="n">
        <v>0.112983406727648</v>
      </c>
      <c r="E10" s="15" t="n">
        <f aca="false">D10</f>
        <v>0.112983406727648</v>
      </c>
      <c r="F10" s="15" t="n">
        <f aca="false">D10</f>
        <v>0.112983406727648</v>
      </c>
      <c r="G10" s="15" t="n">
        <f aca="false">D10</f>
        <v>0.112983406727648</v>
      </c>
      <c r="H10" s="15" t="n">
        <f aca="false">D10</f>
        <v>0.112983406727648</v>
      </c>
      <c r="I10" s="15" t="n">
        <f aca="false">D10</f>
        <v>0.112983406727648</v>
      </c>
      <c r="J10" s="15" t="n">
        <f aca="false">D10</f>
        <v>0.112983406727648</v>
      </c>
    </row>
    <row r="11" customFormat="false" ht="15" hidden="false" customHeight="true" outlineLevel="0" collapsed="false">
      <c r="B11" s="7" t="s">
        <v>554</v>
      </c>
      <c r="C11" s="20"/>
      <c r="D11" s="78" t="n">
        <f aca="false">1/(1+D10)^D6</f>
        <v>0.898485991754506</v>
      </c>
      <c r="E11" s="78" t="n">
        <f aca="false">1/(1+E10)^E6</f>
        <v>0.807277077379079</v>
      </c>
      <c r="F11" s="78" t="n">
        <f aca="false">1/(1+F10)^F6</f>
        <v>0.725327145489621</v>
      </c>
      <c r="G11" s="78" t="n">
        <f aca="false">1/(1+G10)^G6</f>
        <v>0.651696279661707</v>
      </c>
      <c r="H11" s="78" t="n">
        <f aca="false">1/(1+H10)^H6</f>
        <v>0.585539978154571</v>
      </c>
      <c r="I11" s="78" t="n">
        <f aca="false">1/(1+I10)^I6</f>
        <v>0.526099467984122</v>
      </c>
      <c r="J11" s="78" t="n">
        <f aca="false">1/(1+J10)^J6</f>
        <v>0.472693002253232</v>
      </c>
    </row>
    <row r="12" customFormat="false" ht="15" hidden="false" customHeight="true" outlineLevel="0" collapsed="false">
      <c r="B12" s="7" t="s">
        <v>555</v>
      </c>
      <c r="C12" s="20" t="s">
        <v>34</v>
      </c>
      <c r="D12" s="14" t="n">
        <f aca="false">D9*D11</f>
        <v>-65762469.8905382</v>
      </c>
      <c r="E12" s="14" t="n">
        <f aca="false">E9*E11</f>
        <v>3866895.75038685</v>
      </c>
      <c r="F12" s="14" t="n">
        <f aca="false">F9*F11</f>
        <v>9989769.15348984</v>
      </c>
      <c r="G12" s="14" t="n">
        <f aca="false">G9*G11</f>
        <v>15784592.2982323</v>
      </c>
      <c r="H12" s="14" t="n">
        <f aca="false">H9*H11</f>
        <v>14680589.2387607</v>
      </c>
      <c r="I12" s="14" t="n">
        <f aca="false">I9*I11</f>
        <v>13475602.4978743</v>
      </c>
      <c r="J12" s="14" t="n">
        <f aca="false">J9*J11</f>
        <v>12369886.1341844</v>
      </c>
    </row>
    <row r="13" customFormat="false" ht="15" hidden="false" customHeight="true" outlineLevel="0" collapsed="false">
      <c r="B13" s="7" t="s">
        <v>556</v>
      </c>
      <c r="C13" s="20" t="s">
        <v>34</v>
      </c>
      <c r="D13" s="14" t="n">
        <f aca="false">D9</f>
        <v>-73192537.7735956</v>
      </c>
      <c r="E13" s="14" t="n">
        <f aca="false">D13+E9</f>
        <v>-68402490.0207953</v>
      </c>
      <c r="F13" s="14" t="n">
        <f aca="false">E13+F9</f>
        <v>-54629712.8462331</v>
      </c>
      <c r="G13" s="14" t="n">
        <f aca="false">F13+G9</f>
        <v>-30408932.7208256</v>
      </c>
      <c r="H13" s="14" t="n">
        <f aca="false">G13+H9</f>
        <v>-5337050.72050662</v>
      </c>
      <c r="I13" s="14" t="n">
        <f aca="false">H13+I9</f>
        <v>20277121.7277366</v>
      </c>
      <c r="J13" s="14" t="n">
        <f aca="false">I13+J9</f>
        <v>46446085.6752027</v>
      </c>
    </row>
    <row r="14" customFormat="false" ht="23.25" hidden="false" customHeight="true" outlineLevel="0" collapsed="false">
      <c r="B14" s="7" t="s">
        <v>557</v>
      </c>
      <c r="C14" s="20" t="s">
        <v>34</v>
      </c>
      <c r="D14" s="14" t="n">
        <f aca="false">D12</f>
        <v>-65762469.8905382</v>
      </c>
      <c r="E14" s="14" t="n">
        <f aca="false">D14+E12</f>
        <v>-61895574.1401514</v>
      </c>
      <c r="F14" s="14" t="n">
        <f aca="false">E14+F12</f>
        <v>-51905804.9866615</v>
      </c>
      <c r="G14" s="14" t="n">
        <f aca="false">F14+G12</f>
        <v>-36121212.6884292</v>
      </c>
      <c r="H14" s="14" t="n">
        <f aca="false">G14+H12</f>
        <v>-21440623.4496685</v>
      </c>
      <c r="I14" s="14" t="n">
        <f aca="false">H14+I12</f>
        <v>-7965020.9517942</v>
      </c>
      <c r="J14" s="14" t="n">
        <f aca="false">I14+J12</f>
        <v>4404865.18239016</v>
      </c>
    </row>
    <row r="15" customFormat="false" ht="15" hidden="false" customHeight="true" outlineLevel="0" collapsed="false">
      <c r="B15" s="7" t="s">
        <v>558</v>
      </c>
      <c r="C15" s="20"/>
      <c r="D15" s="79" t="str">
        <f aca="false">""</f>
        <v/>
      </c>
      <c r="E15" s="79" t="str">
        <f aca="false">IF(AND(D13&lt;0,E13&gt;=0),D6-D13/E9,"")</f>
        <v/>
      </c>
      <c r="F15" s="79" t="str">
        <f aca="false">IF(AND(E13&lt;0,F13&gt;=0),E6-E13/F9,"")</f>
        <v/>
      </c>
      <c r="G15" s="79" t="str">
        <f aca="false">IF(AND(F13&lt;0,G13&gt;=0),F6-F13/G9,"")</f>
        <v/>
      </c>
      <c r="H15" s="79" t="str">
        <f aca="false">IF(AND(G13&lt;0,H13&gt;=0),G6-G13/H9,"")</f>
        <v/>
      </c>
      <c r="I15" s="79" t="n">
        <f aca="false">IF(AND(H13&lt;0,I13&gt;=0),H6-H13/I9,"")</f>
        <v>5.20836319156088</v>
      </c>
      <c r="J15" s="79" t="str">
        <f aca="false">IF(AND(I13&lt;0,J13&gt;=0),I6-I13/J9,"")</f>
        <v/>
      </c>
    </row>
    <row r="16" customFormat="false" ht="15" hidden="false" customHeight="true" outlineLevel="0" collapsed="false">
      <c r="B16" s="7" t="s">
        <v>559</v>
      </c>
      <c r="C16" s="20"/>
      <c r="D16" s="79" t="str">
        <f aca="false">""</f>
        <v/>
      </c>
      <c r="E16" s="79" t="str">
        <f aca="false">IF(AND(D14&lt;0,E14&gt;=0),D6-D14/E12,"")</f>
        <v/>
      </c>
      <c r="F16" s="79" t="str">
        <f aca="false">IF(AND(E14&lt;0,F14&gt;=0),E6-E14/F12,"")</f>
        <v/>
      </c>
      <c r="G16" s="79" t="str">
        <f aca="false">IF(AND(F14&lt;0,G14&gt;=0),F6-F14/G12,"")</f>
        <v/>
      </c>
      <c r="H16" s="79" t="str">
        <f aca="false">IF(AND(G14&lt;0,H14&gt;=0),G6-G14/H12,"")</f>
        <v/>
      </c>
      <c r="I16" s="79" t="str">
        <f aca="false">IF(AND(H14&lt;0,I14&gt;=0),H6-H14/I12,"")</f>
        <v/>
      </c>
      <c r="J16" s="79" t="n">
        <f aca="false">IF(AND(I14&lt;0,J14&gt;=0),I6-I14/J12,"")</f>
        <v>6.64390414474251</v>
      </c>
    </row>
    <row r="18" customFormat="false" ht="15" hidden="false" customHeight="true" outlineLevel="0" collapsed="false">
      <c r="B18" s="16" t="s">
        <v>560</v>
      </c>
      <c r="C18" s="16"/>
      <c r="D18" s="17" t="n">
        <f aca="false">SUM(D12:J12)</f>
        <v>4404865.18239016</v>
      </c>
    </row>
    <row r="19" customFormat="false" ht="15" hidden="false" customHeight="true" outlineLevel="0" collapsed="false">
      <c r="B19" s="16" t="s">
        <v>561</v>
      </c>
      <c r="C19" s="16"/>
      <c r="D19" s="18" t="n">
        <f aca="false">IFERROR(IRR(D9:J9),"-")</f>
        <v>0.131878108331531</v>
      </c>
    </row>
    <row r="20" customFormat="false" ht="15" hidden="false" customHeight="true" outlineLevel="0" collapsed="false">
      <c r="B20" s="16" t="s">
        <v>66</v>
      </c>
      <c r="C20" s="16"/>
      <c r="D20" s="80" t="n">
        <f aca="false">IFERROR(SUM(E12:J12)/-D12,0)</f>
        <v>1.06698144381928</v>
      </c>
    </row>
    <row r="21" customFormat="false" ht="15" hidden="false" customHeight="true" outlineLevel="0" collapsed="false">
      <c r="B21" s="16" t="s">
        <v>562</v>
      </c>
      <c r="C21" s="16"/>
      <c r="D21" s="81" t="n">
        <f aca="false">IF(COUNT(E15:J15)&gt;0,SUM(E15:J15),"&gt; 7")</f>
        <v>5.20836319156088</v>
      </c>
    </row>
    <row r="22" customFormat="false" ht="15" hidden="false" customHeight="true" outlineLevel="0" collapsed="false">
      <c r="B22" s="16" t="s">
        <v>68</v>
      </c>
      <c r="C22" s="16"/>
      <c r="D22" s="81" t="n">
        <f aca="false">IF(COUNT(E16:J16)&gt;0,SUM(E16:J16),"&gt; 7")</f>
        <v>6.64390414474251</v>
      </c>
    </row>
  </sheetData>
  <mergeCells count="14"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2026-10-27T04:02:34Z</dcterms:created>
  <dc:creator>openpyxl</dc:creator>
  <dc:description/>
  <dc:language>en-US</dc:language>
  <cp:lastModifiedBy/>
  <dcterms:modified xsi:type="dcterms:W3CDTF">2026-10-27T04:02:38Z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